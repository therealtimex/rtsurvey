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letua\Downloads\AIO_Form_Demo_G2\"/>
    </mc:Choice>
  </mc:AlternateContent>
  <xr:revisionPtr revIDLastSave="0" documentId="13_ncr:1_{F0FF79CE-670E-43C9-81E8-BEBAD70A878F}" xr6:coauthVersionLast="47" xr6:coauthVersionMax="47" xr10:uidLastSave="{00000000-0000-0000-0000-000000000000}"/>
  <bookViews>
    <workbookView xWindow="-120" yWindow="-120" windowWidth="38640" windowHeight="21120" activeTab="2" xr2:uid="{00000000-000D-0000-FFFF-FFFF00000000}"/>
  </bookViews>
  <sheets>
    <sheet name="survey" sheetId="1" r:id="rId1"/>
    <sheet name="choices" sheetId="2" r:id="rId2"/>
    <sheet name="settings" sheetId="3" r:id="rId3"/>
  </sheets>
  <definedNames>
    <definedName name="_xlnm._FilterDatabase" localSheetId="0" hidden="1">survey!$A$1:$AH$35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18" i="1" l="1"/>
  <c r="J1017" i="1"/>
  <c r="J1016" i="1"/>
  <c r="E1016" i="1" s="1"/>
  <c r="G1016" i="1" s="1"/>
  <c r="B1016" i="1"/>
  <c r="J1015" i="1"/>
  <c r="E1015" i="1" s="1"/>
  <c r="G1015" i="1" s="1"/>
  <c r="B1015" i="1"/>
  <c r="J1014" i="1"/>
  <c r="E1014" i="1" s="1"/>
  <c r="G1014" i="1" s="1"/>
  <c r="B1014" i="1"/>
  <c r="J1013" i="1"/>
  <c r="E1013" i="1" s="1"/>
  <c r="G1013" i="1" s="1"/>
  <c r="B1013" i="1"/>
  <c r="J1012" i="1"/>
  <c r="E1012" i="1" s="1"/>
  <c r="G1012" i="1" s="1"/>
  <c r="B1012" i="1"/>
  <c r="J1011" i="1"/>
  <c r="E1011" i="1" s="1"/>
  <c r="G1011" i="1" s="1"/>
  <c r="B1011" i="1"/>
  <c r="J1010" i="1"/>
  <c r="E1010" i="1" s="1"/>
  <c r="G1010" i="1" s="1"/>
  <c r="B1010" i="1"/>
  <c r="J1009" i="1"/>
  <c r="E1009" i="1" s="1"/>
  <c r="G1009" i="1" s="1"/>
  <c r="B1009" i="1"/>
  <c r="J1008" i="1"/>
  <c r="E1008" i="1" s="1"/>
  <c r="G1008" i="1" s="1"/>
  <c r="B1008" i="1"/>
  <c r="J1007" i="1"/>
  <c r="E1007" i="1" s="1"/>
  <c r="G1007" i="1" s="1"/>
  <c r="B1007" i="1"/>
  <c r="J1006" i="1"/>
  <c r="E1006" i="1" s="1"/>
  <c r="G1006" i="1" s="1"/>
  <c r="B1006" i="1"/>
  <c r="J1005" i="1"/>
  <c r="E1005" i="1" s="1"/>
  <c r="G1005" i="1" s="1"/>
  <c r="B1005" i="1"/>
  <c r="J1004" i="1"/>
  <c r="E1004" i="1" s="1"/>
  <c r="G1004" i="1" s="1"/>
  <c r="B1004" i="1"/>
  <c r="J1003" i="1"/>
  <c r="E1003" i="1" s="1"/>
  <c r="G1003" i="1" s="1"/>
  <c r="B1003" i="1"/>
  <c r="J1002" i="1"/>
  <c r="G1002" i="1"/>
  <c r="E1002" i="1"/>
  <c r="B1002" i="1"/>
  <c r="J1001" i="1"/>
  <c r="J1000" i="1"/>
  <c r="J999" i="1"/>
  <c r="E999" i="1" s="1"/>
  <c r="G999" i="1" s="1"/>
  <c r="B999" i="1"/>
  <c r="J998" i="1"/>
  <c r="E998" i="1" s="1"/>
  <c r="G998" i="1" s="1"/>
  <c r="B998" i="1"/>
  <c r="J997" i="1"/>
  <c r="E997" i="1" s="1"/>
  <c r="G997" i="1" s="1"/>
  <c r="B997" i="1"/>
  <c r="J996" i="1"/>
  <c r="E996" i="1" s="1"/>
  <c r="G996" i="1" s="1"/>
  <c r="B996" i="1"/>
  <c r="J995" i="1"/>
  <c r="E995" i="1" s="1"/>
  <c r="G995" i="1" s="1"/>
  <c r="B995" i="1"/>
  <c r="J994" i="1"/>
  <c r="E994" i="1" s="1"/>
  <c r="G994" i="1" s="1"/>
  <c r="B994" i="1"/>
  <c r="J993" i="1"/>
  <c r="E993" i="1" s="1"/>
  <c r="G993" i="1" s="1"/>
  <c r="B993" i="1"/>
  <c r="J992" i="1"/>
  <c r="E992" i="1" s="1"/>
  <c r="G992" i="1" s="1"/>
  <c r="B992" i="1"/>
  <c r="J991" i="1"/>
  <c r="E991" i="1" s="1"/>
  <c r="G991" i="1" s="1"/>
  <c r="B991" i="1"/>
  <c r="J990" i="1"/>
  <c r="E990" i="1" s="1"/>
  <c r="G990" i="1" s="1"/>
  <c r="B990" i="1"/>
  <c r="J989" i="1"/>
  <c r="E989" i="1" s="1"/>
  <c r="G989" i="1" s="1"/>
  <c r="B989" i="1"/>
  <c r="J988" i="1"/>
  <c r="E988" i="1" s="1"/>
  <c r="G988" i="1" s="1"/>
  <c r="B988" i="1"/>
  <c r="J987" i="1"/>
  <c r="E987" i="1" s="1"/>
  <c r="G987" i="1" s="1"/>
  <c r="B987" i="1"/>
  <c r="J986" i="1"/>
  <c r="E986" i="1" s="1"/>
  <c r="G986" i="1" s="1"/>
  <c r="B986" i="1"/>
  <c r="J985" i="1"/>
  <c r="E985" i="1" s="1"/>
  <c r="G985" i="1" s="1"/>
  <c r="B985" i="1"/>
  <c r="J984" i="1"/>
  <c r="E984" i="1"/>
  <c r="G984" i="1" s="1"/>
  <c r="B984" i="1"/>
  <c r="J983" i="1"/>
  <c r="E983" i="1" s="1"/>
  <c r="G983" i="1" s="1"/>
  <c r="B983" i="1"/>
  <c r="J982" i="1"/>
  <c r="E982" i="1" s="1"/>
  <c r="G982" i="1" s="1"/>
  <c r="B982" i="1"/>
  <c r="J981" i="1"/>
  <c r="E981" i="1" s="1"/>
  <c r="G981" i="1" s="1"/>
  <c r="B981" i="1"/>
  <c r="J980" i="1"/>
  <c r="E980" i="1" s="1"/>
  <c r="G980" i="1" s="1"/>
  <c r="B980" i="1"/>
  <c r="J979" i="1"/>
  <c r="E979" i="1" s="1"/>
  <c r="G979" i="1" s="1"/>
  <c r="B979" i="1"/>
  <c r="J978" i="1"/>
  <c r="E978" i="1" s="1"/>
  <c r="G978" i="1" s="1"/>
  <c r="B978" i="1"/>
  <c r="J977" i="1"/>
  <c r="E977" i="1" s="1"/>
  <c r="G977" i="1" s="1"/>
  <c r="B977" i="1"/>
  <c r="J976" i="1"/>
  <c r="E976" i="1" s="1"/>
  <c r="G976" i="1" s="1"/>
  <c r="B976" i="1"/>
  <c r="J975" i="1"/>
  <c r="E975" i="1" s="1"/>
  <c r="G975" i="1" s="1"/>
  <c r="B975" i="1"/>
  <c r="J974" i="1"/>
  <c r="E974" i="1" s="1"/>
  <c r="G974" i="1" s="1"/>
  <c r="B974" i="1"/>
  <c r="J973" i="1"/>
  <c r="E973" i="1" s="1"/>
  <c r="G973" i="1" s="1"/>
  <c r="B973" i="1"/>
  <c r="J972" i="1"/>
  <c r="E972" i="1" s="1"/>
  <c r="G972" i="1" s="1"/>
  <c r="B972" i="1"/>
  <c r="J971" i="1"/>
  <c r="G971" i="1"/>
  <c r="E971" i="1"/>
  <c r="B971" i="1"/>
  <c r="J970" i="1"/>
  <c r="J969" i="1"/>
  <c r="G969" i="1"/>
  <c r="E969" i="1"/>
  <c r="B969" i="1"/>
  <c r="J966" i="1"/>
  <c r="E966" i="1" s="1"/>
  <c r="G966" i="1" s="1"/>
  <c r="B966" i="1"/>
  <c r="J965" i="1"/>
  <c r="E965" i="1" s="1"/>
  <c r="G965" i="1" s="1"/>
  <c r="H965" i="1"/>
  <c r="F965" i="1"/>
  <c r="B965" i="1"/>
  <c r="J964" i="1"/>
  <c r="E964" i="1" s="1"/>
  <c r="G964" i="1" s="1"/>
  <c r="H964" i="1"/>
  <c r="F964" i="1"/>
  <c r="B964" i="1"/>
  <c r="J963" i="1"/>
  <c r="E963" i="1" s="1"/>
  <c r="G963" i="1" s="1"/>
  <c r="H963" i="1"/>
  <c r="F963" i="1"/>
  <c r="B963" i="1"/>
  <c r="J962" i="1"/>
  <c r="E962" i="1" s="1"/>
  <c r="G962" i="1" s="1"/>
  <c r="H962" i="1"/>
  <c r="F962" i="1"/>
  <c r="B962" i="1"/>
  <c r="J961" i="1"/>
  <c r="J960" i="1"/>
  <c r="G960" i="1" s="1"/>
  <c r="H960" i="1"/>
  <c r="F960" i="1"/>
  <c r="B960" i="1"/>
  <c r="J959" i="1"/>
  <c r="G959" i="1" s="1"/>
  <c r="H959" i="1"/>
  <c r="F959" i="1"/>
  <c r="B959" i="1"/>
  <c r="J958" i="1"/>
  <c r="G958" i="1" s="1"/>
  <c r="H958" i="1"/>
  <c r="F958" i="1"/>
  <c r="E958" i="1"/>
  <c r="B958" i="1"/>
  <c r="J957" i="1"/>
  <c r="G957" i="1"/>
  <c r="E957" i="1"/>
  <c r="B957" i="1"/>
  <c r="J956" i="1"/>
  <c r="E956" i="1"/>
  <c r="J955" i="1"/>
  <c r="E955" i="1"/>
  <c r="J954" i="1"/>
  <c r="E954" i="1" s="1"/>
  <c r="H954" i="1"/>
  <c r="G954" i="1"/>
  <c r="F954" i="1"/>
  <c r="B954" i="1"/>
  <c r="J953" i="1"/>
  <c r="G953" i="1" s="1"/>
  <c r="H953" i="1"/>
  <c r="F953" i="1"/>
  <c r="B953" i="1"/>
  <c r="J952" i="1"/>
  <c r="G952" i="1" s="1"/>
  <c r="H952" i="1"/>
  <c r="F952" i="1"/>
  <c r="B952" i="1"/>
  <c r="J951" i="1"/>
  <c r="G951" i="1" s="1"/>
  <c r="H951" i="1"/>
  <c r="F951" i="1"/>
  <c r="B951" i="1"/>
  <c r="J950" i="1"/>
  <c r="G950" i="1" s="1"/>
  <c r="H950" i="1"/>
  <c r="F950" i="1"/>
  <c r="B950" i="1"/>
  <c r="J949" i="1"/>
  <c r="G949" i="1" s="1"/>
  <c r="H949" i="1"/>
  <c r="F949" i="1"/>
  <c r="B949" i="1"/>
  <c r="J948" i="1"/>
  <c r="G948" i="1" s="1"/>
  <c r="H948" i="1"/>
  <c r="F948" i="1"/>
  <c r="B948" i="1"/>
  <c r="J947" i="1"/>
  <c r="G947" i="1" s="1"/>
  <c r="H947" i="1"/>
  <c r="F947" i="1"/>
  <c r="B947" i="1"/>
  <c r="J946" i="1"/>
  <c r="H946" i="1"/>
  <c r="G946" i="1"/>
  <c r="F946" i="1"/>
  <c r="E946" i="1"/>
  <c r="B946" i="1"/>
  <c r="J945" i="1"/>
  <c r="G945" i="1" s="1"/>
  <c r="H945" i="1"/>
  <c r="F945" i="1"/>
  <c r="B945" i="1"/>
  <c r="J944" i="1"/>
  <c r="G944" i="1" s="1"/>
  <c r="H944" i="1"/>
  <c r="F944" i="1"/>
  <c r="B944" i="1"/>
  <c r="J943" i="1"/>
  <c r="G943" i="1" s="1"/>
  <c r="H943" i="1"/>
  <c r="F943" i="1"/>
  <c r="B943" i="1"/>
  <c r="J942" i="1"/>
  <c r="E942" i="1" s="1"/>
  <c r="H942" i="1"/>
  <c r="F942" i="1"/>
  <c r="B942" i="1"/>
  <c r="J941" i="1"/>
  <c r="G941" i="1" s="1"/>
  <c r="H941" i="1"/>
  <c r="F941" i="1"/>
  <c r="B941" i="1"/>
  <c r="J940" i="1"/>
  <c r="G940" i="1" s="1"/>
  <c r="H940" i="1"/>
  <c r="F940" i="1"/>
  <c r="B940" i="1"/>
  <c r="J939" i="1"/>
  <c r="G939" i="1" s="1"/>
  <c r="H939" i="1"/>
  <c r="F939" i="1"/>
  <c r="B939" i="1"/>
  <c r="J938" i="1"/>
  <c r="E938" i="1" s="1"/>
  <c r="H938" i="1"/>
  <c r="F938" i="1"/>
  <c r="B938" i="1"/>
  <c r="J937" i="1"/>
  <c r="G937" i="1" s="1"/>
  <c r="H937" i="1"/>
  <c r="F937" i="1"/>
  <c r="B937" i="1"/>
  <c r="J936" i="1"/>
  <c r="G936" i="1" s="1"/>
  <c r="H936" i="1"/>
  <c r="F936" i="1"/>
  <c r="E936" i="1"/>
  <c r="B936" i="1"/>
  <c r="J935" i="1"/>
  <c r="G935" i="1" s="1"/>
  <c r="H935" i="1"/>
  <c r="F935" i="1"/>
  <c r="B935" i="1"/>
  <c r="J934" i="1"/>
  <c r="G934" i="1" s="1"/>
  <c r="H934" i="1"/>
  <c r="F934" i="1"/>
  <c r="B934" i="1"/>
  <c r="J933" i="1"/>
  <c r="G933" i="1" s="1"/>
  <c r="H933" i="1"/>
  <c r="F933" i="1"/>
  <c r="B933" i="1"/>
  <c r="J932" i="1"/>
  <c r="G932" i="1" s="1"/>
  <c r="H932" i="1"/>
  <c r="F932" i="1"/>
  <c r="B932" i="1"/>
  <c r="J931" i="1"/>
  <c r="G931" i="1" s="1"/>
  <c r="H931" i="1"/>
  <c r="F931" i="1"/>
  <c r="E931" i="1"/>
  <c r="B931" i="1"/>
  <c r="J930" i="1"/>
  <c r="G930" i="1" s="1"/>
  <c r="H930" i="1"/>
  <c r="F930" i="1"/>
  <c r="B930" i="1"/>
  <c r="J929" i="1"/>
  <c r="G929" i="1" s="1"/>
  <c r="H929" i="1"/>
  <c r="F929" i="1"/>
  <c r="B929" i="1"/>
  <c r="J928" i="1"/>
  <c r="G928" i="1" s="1"/>
  <c r="H928" i="1"/>
  <c r="F928" i="1"/>
  <c r="E928" i="1"/>
  <c r="B928" i="1"/>
  <c r="J927" i="1"/>
  <c r="G927" i="1" s="1"/>
  <c r="H927" i="1"/>
  <c r="F927" i="1"/>
  <c r="B927" i="1"/>
  <c r="J926" i="1"/>
  <c r="G926" i="1" s="1"/>
  <c r="H926" i="1"/>
  <c r="F926" i="1"/>
  <c r="B926" i="1"/>
  <c r="J925" i="1"/>
  <c r="G925" i="1" s="1"/>
  <c r="H925" i="1"/>
  <c r="F925" i="1"/>
  <c r="B925" i="1"/>
  <c r="J924" i="1"/>
  <c r="G924" i="1" s="1"/>
  <c r="H924" i="1"/>
  <c r="F924" i="1"/>
  <c r="B924" i="1"/>
  <c r="J923" i="1"/>
  <c r="G923" i="1" s="1"/>
  <c r="H923" i="1"/>
  <c r="F923" i="1"/>
  <c r="B923" i="1"/>
  <c r="J922" i="1"/>
  <c r="H922" i="1"/>
  <c r="G922" i="1"/>
  <c r="F922" i="1"/>
  <c r="E922" i="1"/>
  <c r="B922" i="1"/>
  <c r="J921" i="1"/>
  <c r="G921" i="1" s="1"/>
  <c r="H921" i="1"/>
  <c r="F921" i="1"/>
  <c r="B921" i="1"/>
  <c r="J920" i="1"/>
  <c r="G920" i="1" s="1"/>
  <c r="H920" i="1"/>
  <c r="F920" i="1"/>
  <c r="B920" i="1"/>
  <c r="J919" i="1"/>
  <c r="G919" i="1" s="1"/>
  <c r="H919" i="1"/>
  <c r="F919" i="1"/>
  <c r="B919" i="1"/>
  <c r="J918" i="1"/>
  <c r="G918" i="1" s="1"/>
  <c r="H918" i="1"/>
  <c r="F918" i="1"/>
  <c r="B918" i="1"/>
  <c r="J917" i="1"/>
  <c r="G917" i="1" s="1"/>
  <c r="H917" i="1"/>
  <c r="F917" i="1"/>
  <c r="B917" i="1"/>
  <c r="J916" i="1"/>
  <c r="G916" i="1" s="1"/>
  <c r="H916" i="1"/>
  <c r="F916" i="1"/>
  <c r="B916" i="1"/>
  <c r="J915" i="1"/>
  <c r="G915" i="1" s="1"/>
  <c r="H915" i="1"/>
  <c r="F915" i="1"/>
  <c r="B915" i="1"/>
  <c r="J914" i="1"/>
  <c r="G914" i="1" s="1"/>
  <c r="H914" i="1"/>
  <c r="F914" i="1"/>
  <c r="E914" i="1"/>
  <c r="B914" i="1"/>
  <c r="J913" i="1"/>
  <c r="G913" i="1" s="1"/>
  <c r="H913" i="1"/>
  <c r="F913" i="1"/>
  <c r="B913" i="1"/>
  <c r="J912" i="1"/>
  <c r="G912" i="1" s="1"/>
  <c r="H912" i="1"/>
  <c r="F912" i="1"/>
  <c r="B912" i="1"/>
  <c r="J911" i="1"/>
  <c r="G911" i="1" s="1"/>
  <c r="H911" i="1"/>
  <c r="F911" i="1"/>
  <c r="B911" i="1"/>
  <c r="J910" i="1"/>
  <c r="G910" i="1" s="1"/>
  <c r="H910" i="1"/>
  <c r="F910" i="1"/>
  <c r="B910" i="1"/>
  <c r="J909" i="1"/>
  <c r="G909" i="1" s="1"/>
  <c r="H909" i="1"/>
  <c r="F909" i="1"/>
  <c r="B909" i="1"/>
  <c r="J908" i="1"/>
  <c r="E908" i="1" s="1"/>
  <c r="H908" i="1"/>
  <c r="F908" i="1"/>
  <c r="B908" i="1"/>
  <c r="J907" i="1"/>
  <c r="G907" i="1" s="1"/>
  <c r="H907" i="1"/>
  <c r="F907" i="1"/>
  <c r="B907" i="1"/>
  <c r="J906" i="1"/>
  <c r="G906" i="1" s="1"/>
  <c r="H906" i="1"/>
  <c r="F906" i="1"/>
  <c r="E906" i="1"/>
  <c r="B906" i="1"/>
  <c r="J905" i="1"/>
  <c r="G905" i="1" s="1"/>
  <c r="H905" i="1"/>
  <c r="F905" i="1"/>
  <c r="B905" i="1"/>
  <c r="J904" i="1"/>
  <c r="G904" i="1" s="1"/>
  <c r="H904" i="1"/>
  <c r="F904" i="1"/>
  <c r="B904" i="1"/>
  <c r="J903" i="1"/>
  <c r="G903" i="1" s="1"/>
  <c r="H903" i="1"/>
  <c r="F903" i="1"/>
  <c r="B903" i="1"/>
  <c r="J902" i="1"/>
  <c r="E902" i="1" s="1"/>
  <c r="H902" i="1"/>
  <c r="G902" i="1"/>
  <c r="F902" i="1"/>
  <c r="B902" i="1"/>
  <c r="J901" i="1"/>
  <c r="G901" i="1" s="1"/>
  <c r="H901" i="1"/>
  <c r="F901" i="1"/>
  <c r="B901" i="1"/>
  <c r="J900" i="1"/>
  <c r="G900" i="1" s="1"/>
  <c r="H900" i="1"/>
  <c r="F900" i="1"/>
  <c r="B900" i="1"/>
  <c r="J899" i="1"/>
  <c r="G899" i="1" s="1"/>
  <c r="H899" i="1"/>
  <c r="F899" i="1"/>
  <c r="B899" i="1"/>
  <c r="J898" i="1"/>
  <c r="G898" i="1" s="1"/>
  <c r="H898" i="1"/>
  <c r="F898" i="1"/>
  <c r="B898" i="1"/>
  <c r="J897" i="1"/>
  <c r="G897" i="1" s="1"/>
  <c r="H897" i="1"/>
  <c r="F897" i="1"/>
  <c r="B897" i="1"/>
  <c r="J896" i="1"/>
  <c r="G896" i="1" s="1"/>
  <c r="H896" i="1"/>
  <c r="F896" i="1"/>
  <c r="E896" i="1"/>
  <c r="B896" i="1"/>
  <c r="J895" i="1"/>
  <c r="G895" i="1" s="1"/>
  <c r="H895" i="1"/>
  <c r="F895" i="1"/>
  <c r="B895" i="1"/>
  <c r="J894" i="1"/>
  <c r="G894" i="1" s="1"/>
  <c r="H894" i="1"/>
  <c r="F894" i="1"/>
  <c r="B894" i="1"/>
  <c r="J893" i="1"/>
  <c r="G893" i="1" s="1"/>
  <c r="H893" i="1"/>
  <c r="F893" i="1"/>
  <c r="B893" i="1"/>
  <c r="J892" i="1"/>
  <c r="G892" i="1" s="1"/>
  <c r="H892" i="1"/>
  <c r="F892" i="1"/>
  <c r="B892" i="1"/>
  <c r="J891" i="1"/>
  <c r="G891" i="1" s="1"/>
  <c r="H891" i="1"/>
  <c r="F891" i="1"/>
  <c r="B891" i="1"/>
  <c r="J890" i="1"/>
  <c r="G890" i="1" s="1"/>
  <c r="H890" i="1"/>
  <c r="F890" i="1"/>
  <c r="E890" i="1"/>
  <c r="B890" i="1"/>
  <c r="J889" i="1"/>
  <c r="G889" i="1" s="1"/>
  <c r="H889" i="1"/>
  <c r="F889" i="1"/>
  <c r="B889" i="1"/>
  <c r="J888" i="1"/>
  <c r="G888" i="1" s="1"/>
  <c r="H888" i="1"/>
  <c r="F888" i="1"/>
  <c r="B888" i="1"/>
  <c r="J887" i="1"/>
  <c r="G887" i="1" s="1"/>
  <c r="H887" i="1"/>
  <c r="F887" i="1"/>
  <c r="B887" i="1"/>
  <c r="J886" i="1"/>
  <c r="H886" i="1"/>
  <c r="G886" i="1"/>
  <c r="F886" i="1"/>
  <c r="E886" i="1"/>
  <c r="B886" i="1"/>
  <c r="J885" i="1"/>
  <c r="G885" i="1" s="1"/>
  <c r="H885" i="1"/>
  <c r="F885" i="1"/>
  <c r="B885" i="1"/>
  <c r="J884" i="1"/>
  <c r="G884" i="1" s="1"/>
  <c r="H884" i="1"/>
  <c r="F884" i="1"/>
  <c r="B884" i="1"/>
  <c r="J883" i="1"/>
  <c r="G883" i="1" s="1"/>
  <c r="H883" i="1"/>
  <c r="F883" i="1"/>
  <c r="B883" i="1"/>
  <c r="J882" i="1"/>
  <c r="G882" i="1" s="1"/>
  <c r="H882" i="1"/>
  <c r="F882" i="1"/>
  <c r="B882" i="1"/>
  <c r="J881" i="1"/>
  <c r="G881" i="1" s="1"/>
  <c r="H881" i="1"/>
  <c r="F881" i="1"/>
  <c r="B881" i="1"/>
  <c r="J880" i="1"/>
  <c r="E880" i="1" s="1"/>
  <c r="H880" i="1"/>
  <c r="F880" i="1"/>
  <c r="B880" i="1"/>
  <c r="J879" i="1"/>
  <c r="G879" i="1" s="1"/>
  <c r="H879" i="1"/>
  <c r="F879" i="1"/>
  <c r="B879" i="1"/>
  <c r="J878" i="1"/>
  <c r="E878" i="1" s="1"/>
  <c r="H878" i="1"/>
  <c r="F878" i="1"/>
  <c r="B878" i="1"/>
  <c r="J877" i="1"/>
  <c r="G877" i="1" s="1"/>
  <c r="H877" i="1"/>
  <c r="F877" i="1"/>
  <c r="B877" i="1"/>
  <c r="J876" i="1"/>
  <c r="E876" i="1" s="1"/>
  <c r="H876" i="1"/>
  <c r="F876" i="1"/>
  <c r="B876" i="1"/>
  <c r="J875" i="1"/>
  <c r="G875" i="1" s="1"/>
  <c r="H875" i="1"/>
  <c r="F875" i="1"/>
  <c r="B875" i="1"/>
  <c r="J874" i="1"/>
  <c r="G874" i="1" s="1"/>
  <c r="H874" i="1"/>
  <c r="F874" i="1"/>
  <c r="B874" i="1"/>
  <c r="H873" i="1"/>
  <c r="F873" i="1"/>
  <c r="B873" i="1"/>
  <c r="J872" i="1"/>
  <c r="E872" i="1" s="1"/>
  <c r="B872" i="1"/>
  <c r="J871" i="1"/>
  <c r="G871" i="1" s="1"/>
  <c r="H871" i="1"/>
  <c r="F871" i="1"/>
  <c r="B871" i="1"/>
  <c r="J870" i="1"/>
  <c r="G870" i="1" s="1"/>
  <c r="H870" i="1"/>
  <c r="F870" i="1"/>
  <c r="B870" i="1"/>
  <c r="J869" i="1"/>
  <c r="G869" i="1" s="1"/>
  <c r="H869" i="1"/>
  <c r="F869" i="1"/>
  <c r="B869" i="1"/>
  <c r="J868" i="1"/>
  <c r="E868" i="1" s="1"/>
  <c r="H868" i="1"/>
  <c r="F868" i="1"/>
  <c r="B868" i="1"/>
  <c r="J867" i="1"/>
  <c r="G867" i="1" s="1"/>
  <c r="H867" i="1"/>
  <c r="F867" i="1"/>
  <c r="B867" i="1"/>
  <c r="J866" i="1"/>
  <c r="G866" i="1" s="1"/>
  <c r="H866" i="1"/>
  <c r="F866" i="1"/>
  <c r="B866" i="1"/>
  <c r="J865" i="1"/>
  <c r="G865" i="1" s="1"/>
  <c r="H865" i="1"/>
  <c r="F865" i="1"/>
  <c r="E865" i="1"/>
  <c r="B865" i="1"/>
  <c r="J864" i="1"/>
  <c r="E864" i="1" s="1"/>
  <c r="H864" i="1"/>
  <c r="F864" i="1"/>
  <c r="B864" i="1"/>
  <c r="J863" i="1"/>
  <c r="G863" i="1" s="1"/>
  <c r="H863" i="1"/>
  <c r="F863" i="1"/>
  <c r="B863" i="1"/>
  <c r="J862" i="1"/>
  <c r="G862" i="1" s="1"/>
  <c r="H862" i="1"/>
  <c r="F862" i="1"/>
  <c r="B862" i="1"/>
  <c r="J861" i="1"/>
  <c r="G861" i="1" s="1"/>
  <c r="H861" i="1"/>
  <c r="F861" i="1"/>
  <c r="B861" i="1"/>
  <c r="J860" i="1"/>
  <c r="G860" i="1" s="1"/>
  <c r="H860" i="1"/>
  <c r="F860" i="1"/>
  <c r="B860" i="1"/>
  <c r="J859" i="1"/>
  <c r="G859" i="1" s="1"/>
  <c r="H859" i="1"/>
  <c r="F859" i="1"/>
  <c r="B859" i="1"/>
  <c r="J858" i="1"/>
  <c r="G858" i="1" s="1"/>
  <c r="H858" i="1"/>
  <c r="F858" i="1"/>
  <c r="B858" i="1"/>
  <c r="J857" i="1"/>
  <c r="G857" i="1" s="1"/>
  <c r="H857" i="1"/>
  <c r="F857" i="1"/>
  <c r="B857" i="1"/>
  <c r="J856" i="1"/>
  <c r="G856" i="1" s="1"/>
  <c r="H856" i="1"/>
  <c r="F856" i="1"/>
  <c r="B856" i="1"/>
  <c r="J855" i="1"/>
  <c r="G855" i="1" s="1"/>
  <c r="H855" i="1"/>
  <c r="F855" i="1"/>
  <c r="B855" i="1"/>
  <c r="J854" i="1"/>
  <c r="E854" i="1" s="1"/>
  <c r="H854" i="1"/>
  <c r="F854" i="1"/>
  <c r="B854" i="1"/>
  <c r="J853" i="1"/>
  <c r="G853" i="1" s="1"/>
  <c r="H853" i="1"/>
  <c r="F853" i="1"/>
  <c r="E853" i="1"/>
  <c r="B853" i="1"/>
  <c r="H852" i="1"/>
  <c r="G852" i="1"/>
  <c r="F852" i="1"/>
  <c r="E852" i="1"/>
  <c r="B852" i="1"/>
  <c r="J851" i="1"/>
  <c r="G851" i="1" s="1"/>
  <c r="H851" i="1"/>
  <c r="F851" i="1"/>
  <c r="B851" i="1"/>
  <c r="J850" i="1"/>
  <c r="G850" i="1" s="1"/>
  <c r="H850" i="1"/>
  <c r="F850" i="1"/>
  <c r="B850" i="1"/>
  <c r="J849" i="1"/>
  <c r="G849" i="1" s="1"/>
  <c r="H849" i="1"/>
  <c r="F849" i="1"/>
  <c r="B849" i="1"/>
  <c r="J848" i="1"/>
  <c r="G848" i="1" s="1"/>
  <c r="H848" i="1"/>
  <c r="F848" i="1"/>
  <c r="B848" i="1"/>
  <c r="J847" i="1"/>
  <c r="G847" i="1" s="1"/>
  <c r="H847" i="1"/>
  <c r="F847" i="1"/>
  <c r="B847" i="1"/>
  <c r="J846" i="1"/>
  <c r="G846" i="1" s="1"/>
  <c r="H846" i="1"/>
  <c r="F846" i="1"/>
  <c r="E846" i="1"/>
  <c r="B846" i="1"/>
  <c r="J845" i="1"/>
  <c r="E845" i="1" s="1"/>
  <c r="H845" i="1"/>
  <c r="F845" i="1"/>
  <c r="B845" i="1"/>
  <c r="J844" i="1"/>
  <c r="G844" i="1" s="1"/>
  <c r="H844" i="1"/>
  <c r="F844" i="1"/>
  <c r="B844" i="1"/>
  <c r="J843" i="1"/>
  <c r="G843" i="1"/>
  <c r="E843" i="1"/>
  <c r="B843" i="1"/>
  <c r="J842" i="1"/>
  <c r="G842" i="1"/>
  <c r="E842" i="1"/>
  <c r="B842" i="1"/>
  <c r="J841" i="1"/>
  <c r="G841" i="1"/>
  <c r="E841" i="1"/>
  <c r="B841" i="1"/>
  <c r="E863" i="1" l="1"/>
  <c r="E897" i="1"/>
  <c r="E874" i="1"/>
  <c r="E930" i="1"/>
  <c r="E912" i="1"/>
  <c r="E894" i="1"/>
  <c r="E940" i="1"/>
  <c r="E923" i="1"/>
  <c r="E869" i="1"/>
  <c r="E898" i="1"/>
  <c r="E907" i="1"/>
  <c r="E917" i="1"/>
  <c r="E932" i="1"/>
  <c r="E941" i="1"/>
  <c r="E949" i="1"/>
  <c r="E859" i="1"/>
  <c r="E849" i="1"/>
  <c r="G878" i="1"/>
  <c r="E910" i="1"/>
  <c r="E944" i="1"/>
  <c r="E904" i="1"/>
  <c r="E920" i="1"/>
  <c r="E952" i="1"/>
  <c r="E882" i="1"/>
  <c r="E899" i="1"/>
  <c r="E924" i="1"/>
  <c r="E933" i="1"/>
  <c r="E947" i="1"/>
  <c r="E959" i="1"/>
  <c r="E855" i="1"/>
  <c r="E857" i="1"/>
  <c r="E905" i="1"/>
  <c r="E916" i="1"/>
  <c r="E925" i="1"/>
  <c r="G938" i="1"/>
  <c r="E939" i="1"/>
  <c r="E948" i="1"/>
  <c r="E960" i="1"/>
  <c r="E861" i="1"/>
  <c r="G845" i="1"/>
  <c r="G872" i="1"/>
  <c r="E847" i="1"/>
  <c r="E851" i="1"/>
  <c r="E888" i="1"/>
  <c r="E892" i="1"/>
  <c r="E900" i="1"/>
  <c r="E926" i="1"/>
  <c r="E950" i="1"/>
  <c r="E867" i="1"/>
  <c r="E871" i="1"/>
  <c r="E895" i="1"/>
  <c r="E903" i="1"/>
  <c r="E921" i="1"/>
  <c r="E929" i="1"/>
  <c r="E937" i="1"/>
  <c r="E945" i="1"/>
  <c r="E953" i="1"/>
  <c r="E884" i="1"/>
  <c r="E918" i="1"/>
  <c r="E934" i="1"/>
  <c r="G876" i="1"/>
  <c r="G880" i="1"/>
  <c r="E893" i="1"/>
  <c r="E901" i="1"/>
  <c r="G908" i="1"/>
  <c r="E909" i="1"/>
  <c r="E919" i="1"/>
  <c r="E927" i="1"/>
  <c r="E935" i="1"/>
  <c r="G942" i="1"/>
  <c r="E943" i="1"/>
  <c r="E951" i="1"/>
  <c r="K873" i="1"/>
  <c r="J873" i="1" s="1"/>
  <c r="G873" i="1" s="1"/>
  <c r="E856" i="1"/>
  <c r="E858" i="1"/>
  <c r="E866" i="1"/>
  <c r="E870" i="1"/>
  <c r="E848" i="1"/>
  <c r="E877" i="1"/>
  <c r="E879" i="1"/>
  <c r="E883" i="1"/>
  <c r="E887" i="1"/>
  <c r="E891" i="1"/>
  <c r="E860" i="1"/>
  <c r="E862" i="1"/>
  <c r="E844" i="1"/>
  <c r="E850" i="1"/>
  <c r="E875" i="1"/>
  <c r="E881" i="1"/>
  <c r="E885" i="1"/>
  <c r="E889" i="1"/>
  <c r="E911" i="1"/>
  <c r="E913" i="1"/>
  <c r="E915" i="1"/>
  <c r="G854" i="1"/>
  <c r="G864" i="1"/>
  <c r="G868" i="1"/>
  <c r="E873" i="1" l="1"/>
  <c r="J840" i="1"/>
  <c r="E840" i="1"/>
  <c r="J839" i="1"/>
  <c r="E839" i="1"/>
  <c r="J838" i="1"/>
  <c r="G838" i="1" s="1"/>
  <c r="H838" i="1"/>
  <c r="F838" i="1"/>
  <c r="B838" i="1"/>
  <c r="J837" i="1"/>
  <c r="G837" i="1" s="1"/>
  <c r="H837" i="1"/>
  <c r="F837" i="1"/>
  <c r="B837" i="1"/>
  <c r="J836" i="1"/>
  <c r="G836" i="1" s="1"/>
  <c r="H836" i="1"/>
  <c r="F836" i="1"/>
  <c r="B836" i="1"/>
  <c r="J835" i="1"/>
  <c r="G835" i="1" s="1"/>
  <c r="H835" i="1"/>
  <c r="F835" i="1"/>
  <c r="B835" i="1"/>
  <c r="J834" i="1"/>
  <c r="G834" i="1" s="1"/>
  <c r="H834" i="1"/>
  <c r="F834" i="1"/>
  <c r="B834" i="1"/>
  <c r="J833" i="1"/>
  <c r="H833" i="1"/>
  <c r="G833" i="1"/>
  <c r="F833" i="1"/>
  <c r="E833" i="1"/>
  <c r="B833" i="1"/>
  <c r="J832" i="1"/>
  <c r="G832" i="1" s="1"/>
  <c r="H832" i="1"/>
  <c r="F832" i="1"/>
  <c r="B832" i="1"/>
  <c r="J831" i="1"/>
  <c r="G831" i="1" s="1"/>
  <c r="B831" i="1"/>
  <c r="J830" i="1"/>
  <c r="G830" i="1" s="1"/>
  <c r="B830" i="1"/>
  <c r="J829" i="1"/>
  <c r="G829" i="1" s="1"/>
  <c r="B829" i="1"/>
  <c r="J828" i="1"/>
  <c r="G828" i="1" s="1"/>
  <c r="H828" i="1"/>
  <c r="F828" i="1"/>
  <c r="B828" i="1"/>
  <c r="J827" i="1"/>
  <c r="G827" i="1" s="1"/>
  <c r="H827" i="1"/>
  <c r="F827" i="1"/>
  <c r="B827" i="1"/>
  <c r="J826" i="1"/>
  <c r="G826" i="1" s="1"/>
  <c r="H826" i="1"/>
  <c r="F826" i="1"/>
  <c r="B826" i="1"/>
  <c r="J825" i="1"/>
  <c r="G825" i="1" s="1"/>
  <c r="H825" i="1"/>
  <c r="F825" i="1"/>
  <c r="B825" i="1"/>
  <c r="J824" i="1"/>
  <c r="G824" i="1" s="1"/>
  <c r="H824" i="1"/>
  <c r="F824" i="1"/>
  <c r="B824" i="1"/>
  <c r="J823" i="1"/>
  <c r="G823" i="1" s="1"/>
  <c r="H823" i="1"/>
  <c r="F823" i="1"/>
  <c r="B823" i="1"/>
  <c r="J822" i="1"/>
  <c r="E822" i="1" s="1"/>
  <c r="H822" i="1"/>
  <c r="F822" i="1"/>
  <c r="B822" i="1"/>
  <c r="J821" i="1"/>
  <c r="G821" i="1" s="1"/>
  <c r="H821" i="1"/>
  <c r="F821" i="1"/>
  <c r="B821" i="1"/>
  <c r="J820" i="1"/>
  <c r="G820" i="1" s="1"/>
  <c r="H820" i="1"/>
  <c r="F820" i="1"/>
  <c r="E820" i="1"/>
  <c r="B820" i="1"/>
  <c r="J819" i="1"/>
  <c r="G819" i="1" s="1"/>
  <c r="H819" i="1"/>
  <c r="F819" i="1"/>
  <c r="B819" i="1"/>
  <c r="J818" i="1"/>
  <c r="G818" i="1" s="1"/>
  <c r="H818" i="1"/>
  <c r="F818" i="1"/>
  <c r="B818" i="1"/>
  <c r="J817" i="1"/>
  <c r="G817" i="1"/>
  <c r="E817" i="1"/>
  <c r="B817" i="1"/>
  <c r="J816" i="1"/>
  <c r="G816" i="1"/>
  <c r="E816" i="1"/>
  <c r="B816" i="1"/>
  <c r="J815" i="1"/>
  <c r="G815" i="1"/>
  <c r="E815" i="1"/>
  <c r="B815" i="1"/>
  <c r="J814" i="1"/>
  <c r="E814" i="1"/>
  <c r="J813" i="1"/>
  <c r="E813" i="1"/>
  <c r="J812" i="1"/>
  <c r="G812" i="1" s="1"/>
  <c r="B812" i="1"/>
  <c r="J811" i="1"/>
  <c r="G811" i="1" s="1"/>
  <c r="H811" i="1"/>
  <c r="F811" i="1"/>
  <c r="B811" i="1"/>
  <c r="J810" i="1"/>
  <c r="G810" i="1" s="1"/>
  <c r="H810" i="1"/>
  <c r="F810" i="1"/>
  <c r="E810" i="1"/>
  <c r="B810" i="1"/>
  <c r="J809" i="1"/>
  <c r="G809" i="1" s="1"/>
  <c r="H809" i="1"/>
  <c r="F809" i="1"/>
  <c r="B809" i="1"/>
  <c r="J808" i="1"/>
  <c r="G808" i="1" s="1"/>
  <c r="H808" i="1"/>
  <c r="F808" i="1"/>
  <c r="B808" i="1"/>
  <c r="J807" i="1"/>
  <c r="G807" i="1" s="1"/>
  <c r="H807" i="1"/>
  <c r="F807" i="1"/>
  <c r="B807" i="1"/>
  <c r="J806" i="1"/>
  <c r="G806" i="1" s="1"/>
  <c r="H806" i="1"/>
  <c r="F806" i="1"/>
  <c r="B806" i="1"/>
  <c r="J805" i="1"/>
  <c r="G805" i="1" s="1"/>
  <c r="H805" i="1"/>
  <c r="F805" i="1"/>
  <c r="E805" i="1"/>
  <c r="B805" i="1"/>
  <c r="J804" i="1"/>
  <c r="G804" i="1" s="1"/>
  <c r="H804" i="1"/>
  <c r="F804" i="1"/>
  <c r="B804" i="1"/>
  <c r="J803" i="1"/>
  <c r="G803" i="1" s="1"/>
  <c r="H803" i="1"/>
  <c r="F803" i="1"/>
  <c r="B803" i="1"/>
  <c r="J802" i="1"/>
  <c r="E802" i="1" s="1"/>
  <c r="H802" i="1"/>
  <c r="F802" i="1"/>
  <c r="B802" i="1"/>
  <c r="J801" i="1"/>
  <c r="G801" i="1" s="1"/>
  <c r="H801" i="1"/>
  <c r="F801" i="1"/>
  <c r="B801" i="1"/>
  <c r="J800" i="1"/>
  <c r="G800" i="1" s="1"/>
  <c r="H800" i="1"/>
  <c r="F800" i="1"/>
  <c r="B800" i="1"/>
  <c r="J799" i="1"/>
  <c r="G799" i="1" s="1"/>
  <c r="H799" i="1"/>
  <c r="F799" i="1"/>
  <c r="B799" i="1"/>
  <c r="J798" i="1"/>
  <c r="G798" i="1" s="1"/>
  <c r="H798" i="1"/>
  <c r="F798" i="1"/>
  <c r="B798" i="1"/>
  <c r="J797" i="1"/>
  <c r="G797" i="1" s="1"/>
  <c r="H797" i="1"/>
  <c r="F797" i="1"/>
  <c r="E797" i="1"/>
  <c r="B797" i="1"/>
  <c r="J796" i="1"/>
  <c r="G796" i="1" s="1"/>
  <c r="H796" i="1"/>
  <c r="F796" i="1"/>
  <c r="B796" i="1"/>
  <c r="J795" i="1"/>
  <c r="G795" i="1" s="1"/>
  <c r="H795" i="1"/>
  <c r="F795" i="1"/>
  <c r="B795" i="1"/>
  <c r="J794" i="1"/>
  <c r="E794" i="1" s="1"/>
  <c r="H794" i="1"/>
  <c r="F794" i="1"/>
  <c r="B794" i="1"/>
  <c r="J793" i="1"/>
  <c r="G793" i="1" s="1"/>
  <c r="H793" i="1"/>
  <c r="F793" i="1"/>
  <c r="B793" i="1"/>
  <c r="J792" i="1"/>
  <c r="G792" i="1"/>
  <c r="E792" i="1"/>
  <c r="B792" i="1"/>
  <c r="J791" i="1"/>
  <c r="G791" i="1"/>
  <c r="E791" i="1"/>
  <c r="B791" i="1"/>
  <c r="J790" i="1"/>
  <c r="G790" i="1"/>
  <c r="E790" i="1"/>
  <c r="B790" i="1"/>
  <c r="J789" i="1"/>
  <c r="E789" i="1"/>
  <c r="J788" i="1"/>
  <c r="E788" i="1"/>
  <c r="J787" i="1"/>
  <c r="E787" i="1" s="1"/>
  <c r="B787" i="1"/>
  <c r="J786" i="1"/>
  <c r="E786" i="1" s="1"/>
  <c r="B786" i="1"/>
  <c r="J785" i="1"/>
  <c r="E785" i="1" s="1"/>
  <c r="B785" i="1"/>
  <c r="J784" i="1"/>
  <c r="G784" i="1" s="1"/>
  <c r="H784" i="1"/>
  <c r="F784" i="1"/>
  <c r="B784" i="1"/>
  <c r="J783" i="1"/>
  <c r="G783" i="1" s="1"/>
  <c r="H783" i="1"/>
  <c r="F783" i="1"/>
  <c r="B783" i="1"/>
  <c r="J782" i="1"/>
  <c r="G782" i="1" s="1"/>
  <c r="H782" i="1"/>
  <c r="F782" i="1"/>
  <c r="B782" i="1"/>
  <c r="J781" i="1"/>
  <c r="G781" i="1" s="1"/>
  <c r="H781" i="1"/>
  <c r="F781" i="1"/>
  <c r="B781" i="1"/>
  <c r="J780" i="1"/>
  <c r="E780" i="1" s="1"/>
  <c r="H780" i="1"/>
  <c r="F780" i="1"/>
  <c r="B780" i="1"/>
  <c r="J779" i="1"/>
  <c r="G779" i="1" s="1"/>
  <c r="H779" i="1"/>
  <c r="F779" i="1"/>
  <c r="B779" i="1"/>
  <c r="J778" i="1"/>
  <c r="G778" i="1" s="1"/>
  <c r="H778" i="1"/>
  <c r="F778" i="1"/>
  <c r="E778" i="1"/>
  <c r="B778" i="1"/>
  <c r="J777" i="1"/>
  <c r="G777" i="1" s="1"/>
  <c r="H777" i="1"/>
  <c r="F777" i="1"/>
  <c r="B777" i="1"/>
  <c r="J776" i="1"/>
  <c r="G776" i="1" s="1"/>
  <c r="H776" i="1"/>
  <c r="F776" i="1"/>
  <c r="B776" i="1"/>
  <c r="J775" i="1"/>
  <c r="G775" i="1" s="1"/>
  <c r="H775" i="1"/>
  <c r="F775" i="1"/>
  <c r="E775" i="1"/>
  <c r="B775" i="1"/>
  <c r="J774" i="1"/>
  <c r="G774" i="1" s="1"/>
  <c r="H774" i="1"/>
  <c r="F774" i="1"/>
  <c r="B774" i="1"/>
  <c r="J773" i="1"/>
  <c r="G773" i="1" s="1"/>
  <c r="H773" i="1"/>
  <c r="F773" i="1"/>
  <c r="B773" i="1"/>
  <c r="J772" i="1"/>
  <c r="E772" i="1" s="1"/>
  <c r="H772" i="1"/>
  <c r="F772" i="1"/>
  <c r="B772" i="1"/>
  <c r="J771" i="1"/>
  <c r="G771" i="1" s="1"/>
  <c r="H771" i="1"/>
  <c r="F771" i="1"/>
  <c r="B771" i="1"/>
  <c r="J770" i="1"/>
  <c r="E770" i="1" s="1"/>
  <c r="H770" i="1"/>
  <c r="F770" i="1"/>
  <c r="B770" i="1"/>
  <c r="J769" i="1"/>
  <c r="G769" i="1" s="1"/>
  <c r="H769" i="1"/>
  <c r="F769" i="1"/>
  <c r="B769" i="1"/>
  <c r="J768" i="1"/>
  <c r="G768" i="1" s="1"/>
  <c r="H768" i="1"/>
  <c r="F768" i="1"/>
  <c r="B768" i="1"/>
  <c r="J767" i="1"/>
  <c r="G767" i="1" s="1"/>
  <c r="H767" i="1"/>
  <c r="F767" i="1"/>
  <c r="B767" i="1"/>
  <c r="J766" i="1"/>
  <c r="G766" i="1" s="1"/>
  <c r="H766" i="1"/>
  <c r="F766" i="1"/>
  <c r="B766" i="1"/>
  <c r="J765" i="1"/>
  <c r="G765" i="1" s="1"/>
  <c r="H765" i="1"/>
  <c r="F765" i="1"/>
  <c r="B765" i="1"/>
  <c r="J764" i="1"/>
  <c r="E764" i="1" s="1"/>
  <c r="H764" i="1"/>
  <c r="F764" i="1"/>
  <c r="B764" i="1"/>
  <c r="J763" i="1"/>
  <c r="G763" i="1" s="1"/>
  <c r="H763" i="1"/>
  <c r="F763" i="1"/>
  <c r="B763" i="1"/>
  <c r="J762" i="1"/>
  <c r="G762" i="1" s="1"/>
  <c r="H762" i="1"/>
  <c r="F762" i="1"/>
  <c r="B762" i="1"/>
  <c r="J761" i="1"/>
  <c r="G761" i="1" s="1"/>
  <c r="H761" i="1"/>
  <c r="F761" i="1"/>
  <c r="B761" i="1"/>
  <c r="J760" i="1"/>
  <c r="G760" i="1" s="1"/>
  <c r="H760" i="1"/>
  <c r="F760" i="1"/>
  <c r="B760" i="1"/>
  <c r="J759" i="1"/>
  <c r="G759" i="1" s="1"/>
  <c r="H759" i="1"/>
  <c r="F759" i="1"/>
  <c r="E759" i="1"/>
  <c r="B759" i="1"/>
  <c r="J758" i="1"/>
  <c r="G758" i="1" s="1"/>
  <c r="H758" i="1"/>
  <c r="F758" i="1"/>
  <c r="B758" i="1"/>
  <c r="J757" i="1"/>
  <c r="G757" i="1" s="1"/>
  <c r="H757" i="1"/>
  <c r="F757" i="1"/>
  <c r="B757" i="1"/>
  <c r="J756" i="1"/>
  <c r="E756" i="1" s="1"/>
  <c r="H756" i="1"/>
  <c r="F756" i="1"/>
  <c r="B756" i="1"/>
  <c r="J755" i="1"/>
  <c r="G755" i="1" s="1"/>
  <c r="H755" i="1"/>
  <c r="F755" i="1"/>
  <c r="B755" i="1"/>
  <c r="J754" i="1"/>
  <c r="H754" i="1"/>
  <c r="G754" i="1"/>
  <c r="F754" i="1"/>
  <c r="E754" i="1"/>
  <c r="B754" i="1"/>
  <c r="J753" i="1"/>
  <c r="G753" i="1" s="1"/>
  <c r="H753" i="1"/>
  <c r="F753" i="1"/>
  <c r="B753" i="1"/>
  <c r="J752" i="1"/>
  <c r="G752" i="1" s="1"/>
  <c r="H752" i="1"/>
  <c r="F752" i="1"/>
  <c r="B752" i="1"/>
  <c r="J751" i="1"/>
  <c r="G751" i="1" s="1"/>
  <c r="H751" i="1"/>
  <c r="F751" i="1"/>
  <c r="B751" i="1"/>
  <c r="J750" i="1"/>
  <c r="G750" i="1" s="1"/>
  <c r="H750" i="1"/>
  <c r="F750" i="1"/>
  <c r="B750" i="1"/>
  <c r="J749" i="1"/>
  <c r="G749" i="1" s="1"/>
  <c r="H749" i="1"/>
  <c r="F749" i="1"/>
  <c r="B749" i="1"/>
  <c r="J748" i="1"/>
  <c r="G748" i="1" s="1"/>
  <c r="H748" i="1"/>
  <c r="F748" i="1"/>
  <c r="B748" i="1"/>
  <c r="J747" i="1"/>
  <c r="G747" i="1" s="1"/>
  <c r="H747" i="1"/>
  <c r="F747" i="1"/>
  <c r="B747" i="1"/>
  <c r="J746" i="1"/>
  <c r="G746" i="1" s="1"/>
  <c r="H746" i="1"/>
  <c r="F746" i="1"/>
  <c r="E746" i="1"/>
  <c r="B746" i="1"/>
  <c r="J745" i="1"/>
  <c r="G745" i="1" s="1"/>
  <c r="H745" i="1"/>
  <c r="F745" i="1"/>
  <c r="B745" i="1"/>
  <c r="J744" i="1"/>
  <c r="G744" i="1" s="1"/>
  <c r="H744" i="1"/>
  <c r="F744" i="1"/>
  <c r="B744" i="1"/>
  <c r="J743" i="1"/>
  <c r="G743" i="1"/>
  <c r="E743" i="1"/>
  <c r="B743" i="1"/>
  <c r="J742" i="1"/>
  <c r="G742" i="1"/>
  <c r="E742" i="1"/>
  <c r="B742" i="1"/>
  <c r="J741" i="1"/>
  <c r="G741" i="1"/>
  <c r="E741" i="1"/>
  <c r="B741" i="1"/>
  <c r="J740" i="1"/>
  <c r="E740" i="1"/>
  <c r="E739" i="1"/>
  <c r="H738" i="1"/>
  <c r="G738" i="1"/>
  <c r="F738" i="1"/>
  <c r="E738" i="1"/>
  <c r="B738" i="1"/>
  <c r="H737" i="1"/>
  <c r="G737" i="1"/>
  <c r="F737" i="1"/>
  <c r="E737" i="1"/>
  <c r="B737" i="1"/>
  <c r="H736" i="1"/>
  <c r="G736" i="1"/>
  <c r="F736" i="1"/>
  <c r="E736" i="1"/>
  <c r="B736" i="1"/>
  <c r="H735" i="1"/>
  <c r="G735" i="1"/>
  <c r="F735" i="1"/>
  <c r="E735" i="1"/>
  <c r="B735" i="1"/>
  <c r="H734" i="1"/>
  <c r="G734" i="1"/>
  <c r="F734" i="1"/>
  <c r="E734" i="1"/>
  <c r="B734" i="1"/>
  <c r="H733" i="1"/>
  <c r="G733" i="1"/>
  <c r="F733" i="1"/>
  <c r="E733" i="1"/>
  <c r="B733" i="1"/>
  <c r="H732" i="1"/>
  <c r="G732" i="1"/>
  <c r="F732" i="1"/>
  <c r="E732" i="1"/>
  <c r="B732" i="1"/>
  <c r="H731" i="1"/>
  <c r="G731" i="1"/>
  <c r="F731" i="1"/>
  <c r="E731" i="1"/>
  <c r="B731" i="1"/>
  <c r="H730" i="1"/>
  <c r="G730" i="1"/>
  <c r="F730" i="1"/>
  <c r="E730" i="1"/>
  <c r="B730" i="1"/>
  <c r="H729" i="1"/>
  <c r="G729" i="1"/>
  <c r="F729" i="1"/>
  <c r="E729" i="1"/>
  <c r="B729" i="1"/>
  <c r="H728" i="1"/>
  <c r="G728" i="1"/>
  <c r="F728" i="1"/>
  <c r="E728" i="1"/>
  <c r="B728" i="1"/>
  <c r="H727" i="1"/>
  <c r="G727" i="1"/>
  <c r="F727" i="1"/>
  <c r="E727" i="1"/>
  <c r="B727" i="1"/>
  <c r="H726" i="1"/>
  <c r="G726" i="1"/>
  <c r="F726" i="1"/>
  <c r="E726" i="1"/>
  <c r="B726" i="1"/>
  <c r="H725" i="1"/>
  <c r="G725" i="1"/>
  <c r="F725" i="1"/>
  <c r="E725" i="1"/>
  <c r="B725" i="1"/>
  <c r="H724" i="1"/>
  <c r="G724" i="1"/>
  <c r="F724" i="1"/>
  <c r="E724" i="1"/>
  <c r="B724" i="1"/>
  <c r="H723" i="1"/>
  <c r="G723" i="1"/>
  <c r="F723" i="1"/>
  <c r="E723" i="1"/>
  <c r="B723" i="1"/>
  <c r="J722" i="1"/>
  <c r="G722" i="1" s="1"/>
  <c r="H722" i="1"/>
  <c r="F722" i="1"/>
  <c r="B722" i="1"/>
  <c r="J721" i="1"/>
  <c r="G721" i="1" s="1"/>
  <c r="H721" i="1"/>
  <c r="F721" i="1"/>
  <c r="B721" i="1"/>
  <c r="J720" i="1"/>
  <c r="G720" i="1" s="1"/>
  <c r="H720" i="1"/>
  <c r="F720" i="1"/>
  <c r="B720" i="1"/>
  <c r="J719" i="1"/>
  <c r="G719" i="1" s="1"/>
  <c r="H719" i="1"/>
  <c r="F719" i="1"/>
  <c r="B719" i="1"/>
  <c r="J718" i="1"/>
  <c r="G718" i="1" s="1"/>
  <c r="H718" i="1"/>
  <c r="F718" i="1"/>
  <c r="B718" i="1"/>
  <c r="J717" i="1"/>
  <c r="G717" i="1" s="1"/>
  <c r="H717" i="1"/>
  <c r="F717" i="1"/>
  <c r="B717" i="1"/>
  <c r="J716" i="1"/>
  <c r="G716" i="1" s="1"/>
  <c r="H716" i="1"/>
  <c r="F716" i="1"/>
  <c r="B716" i="1"/>
  <c r="J715" i="1"/>
  <c r="G715" i="1" s="1"/>
  <c r="H715" i="1"/>
  <c r="F715" i="1"/>
  <c r="B715" i="1"/>
  <c r="J714" i="1"/>
  <c r="G714" i="1" s="1"/>
  <c r="H714" i="1"/>
  <c r="F714" i="1"/>
  <c r="B714" i="1"/>
  <c r="J713" i="1"/>
  <c r="E713" i="1" s="1"/>
  <c r="H713" i="1"/>
  <c r="F713" i="1"/>
  <c r="B713" i="1"/>
  <c r="J712" i="1"/>
  <c r="G712" i="1" s="1"/>
  <c r="H712" i="1"/>
  <c r="F712" i="1"/>
  <c r="B712" i="1"/>
  <c r="J711" i="1"/>
  <c r="G711" i="1" s="1"/>
  <c r="H711" i="1"/>
  <c r="F711" i="1"/>
  <c r="B711" i="1"/>
  <c r="J710" i="1"/>
  <c r="G710" i="1" s="1"/>
  <c r="H710" i="1"/>
  <c r="F710" i="1"/>
  <c r="B710" i="1"/>
  <c r="J709" i="1"/>
  <c r="H709" i="1"/>
  <c r="G709" i="1"/>
  <c r="F709" i="1"/>
  <c r="E709" i="1"/>
  <c r="B709" i="1"/>
  <c r="J708" i="1"/>
  <c r="G708" i="1"/>
  <c r="E708" i="1"/>
  <c r="B708" i="1"/>
  <c r="J707" i="1"/>
  <c r="G707" i="1"/>
  <c r="E707" i="1"/>
  <c r="B707" i="1"/>
  <c r="J706" i="1"/>
  <c r="G706" i="1"/>
  <c r="E706" i="1"/>
  <c r="B706" i="1"/>
  <c r="J705" i="1"/>
  <c r="E705" i="1"/>
  <c r="E704" i="1"/>
  <c r="H703" i="1"/>
  <c r="G703" i="1"/>
  <c r="F703" i="1"/>
  <c r="E703" i="1"/>
  <c r="B703" i="1"/>
  <c r="H702" i="1"/>
  <c r="G702" i="1"/>
  <c r="F702" i="1"/>
  <c r="E702" i="1"/>
  <c r="B702" i="1"/>
  <c r="H701" i="1"/>
  <c r="G701" i="1"/>
  <c r="F701" i="1"/>
  <c r="E701" i="1"/>
  <c r="B701" i="1"/>
  <c r="H700" i="1"/>
  <c r="G700" i="1"/>
  <c r="F700" i="1"/>
  <c r="E700" i="1"/>
  <c r="B700" i="1"/>
  <c r="H699" i="1"/>
  <c r="G699" i="1"/>
  <c r="F699" i="1"/>
  <c r="E699" i="1"/>
  <c r="B699" i="1"/>
  <c r="H698" i="1"/>
  <c r="G698" i="1"/>
  <c r="F698" i="1"/>
  <c r="E698" i="1"/>
  <c r="B698" i="1"/>
  <c r="H697" i="1"/>
  <c r="G697" i="1"/>
  <c r="F697" i="1"/>
  <c r="E697" i="1"/>
  <c r="B697" i="1"/>
  <c r="H696" i="1"/>
  <c r="G696" i="1"/>
  <c r="F696" i="1"/>
  <c r="E696" i="1"/>
  <c r="B696" i="1"/>
  <c r="H695" i="1"/>
  <c r="G695" i="1"/>
  <c r="F695" i="1"/>
  <c r="E695" i="1"/>
  <c r="B695" i="1"/>
  <c r="H694" i="1"/>
  <c r="G694" i="1"/>
  <c r="F694" i="1"/>
  <c r="E694" i="1"/>
  <c r="B694" i="1"/>
  <c r="H693" i="1"/>
  <c r="G693" i="1"/>
  <c r="F693" i="1"/>
  <c r="E693" i="1"/>
  <c r="B693" i="1"/>
  <c r="H692" i="1"/>
  <c r="G692" i="1"/>
  <c r="F692" i="1"/>
  <c r="E692" i="1"/>
  <c r="B692" i="1"/>
  <c r="H691" i="1"/>
  <c r="G691" i="1"/>
  <c r="F691" i="1"/>
  <c r="E691" i="1"/>
  <c r="B691" i="1"/>
  <c r="H690" i="1"/>
  <c r="G690" i="1"/>
  <c r="F690" i="1"/>
  <c r="E690" i="1"/>
  <c r="B690" i="1"/>
  <c r="H689" i="1"/>
  <c r="G689" i="1"/>
  <c r="F689" i="1"/>
  <c r="E689" i="1"/>
  <c r="B689" i="1"/>
  <c r="H688" i="1"/>
  <c r="G688" i="1"/>
  <c r="F688" i="1"/>
  <c r="E688" i="1"/>
  <c r="B688" i="1"/>
  <c r="H687" i="1"/>
  <c r="G687" i="1"/>
  <c r="F687" i="1"/>
  <c r="E687" i="1"/>
  <c r="B687" i="1"/>
  <c r="H686" i="1"/>
  <c r="G686" i="1"/>
  <c r="F686" i="1"/>
  <c r="E686" i="1"/>
  <c r="B686" i="1"/>
  <c r="H685" i="1"/>
  <c r="G685" i="1"/>
  <c r="F685" i="1"/>
  <c r="E685" i="1"/>
  <c r="B685" i="1"/>
  <c r="H684" i="1"/>
  <c r="G684" i="1"/>
  <c r="F684" i="1"/>
  <c r="E684" i="1"/>
  <c r="B684" i="1"/>
  <c r="H683" i="1"/>
  <c r="G683" i="1"/>
  <c r="F683" i="1"/>
  <c r="E683" i="1"/>
  <c r="B683" i="1"/>
  <c r="H682" i="1"/>
  <c r="G682" i="1"/>
  <c r="F682" i="1"/>
  <c r="E682" i="1"/>
  <c r="B682" i="1"/>
  <c r="H681" i="1"/>
  <c r="G681" i="1"/>
  <c r="F681" i="1"/>
  <c r="E681" i="1"/>
  <c r="B681" i="1"/>
  <c r="H680" i="1"/>
  <c r="G680" i="1"/>
  <c r="F680" i="1"/>
  <c r="E680" i="1"/>
  <c r="B680" i="1"/>
  <c r="J679" i="1"/>
  <c r="G679" i="1" s="1"/>
  <c r="H679" i="1"/>
  <c r="F679" i="1"/>
  <c r="B679" i="1"/>
  <c r="J678" i="1"/>
  <c r="G678" i="1" s="1"/>
  <c r="H678" i="1"/>
  <c r="F678" i="1"/>
  <c r="B678" i="1"/>
  <c r="J677" i="1"/>
  <c r="E677" i="1" s="1"/>
  <c r="H677" i="1"/>
  <c r="F677" i="1"/>
  <c r="B677" i="1"/>
  <c r="J676" i="1"/>
  <c r="G676" i="1" s="1"/>
  <c r="H676" i="1"/>
  <c r="F676" i="1"/>
  <c r="B676" i="1"/>
  <c r="J675" i="1"/>
  <c r="G675" i="1" s="1"/>
  <c r="H675" i="1"/>
  <c r="F675" i="1"/>
  <c r="B675" i="1"/>
  <c r="J674" i="1"/>
  <c r="G674" i="1" s="1"/>
  <c r="H674" i="1"/>
  <c r="F674" i="1"/>
  <c r="B674" i="1"/>
  <c r="K673" i="1" s="1"/>
  <c r="J673" i="1" s="1"/>
  <c r="G673" i="1" s="1"/>
  <c r="H673" i="1"/>
  <c r="F673" i="1"/>
  <c r="B673" i="1"/>
  <c r="J672" i="1"/>
  <c r="G672" i="1" s="1"/>
  <c r="H672" i="1"/>
  <c r="F672" i="1"/>
  <c r="B672" i="1"/>
  <c r="K671" i="1" s="1"/>
  <c r="J671" i="1" s="1"/>
  <c r="H671" i="1"/>
  <c r="F671" i="1"/>
  <c r="B671" i="1"/>
  <c r="J670" i="1"/>
  <c r="H670" i="1"/>
  <c r="G670" i="1"/>
  <c r="F670" i="1"/>
  <c r="E670" i="1"/>
  <c r="B670" i="1"/>
  <c r="K669" i="1" s="1"/>
  <c r="J669" i="1" s="1"/>
  <c r="H669" i="1"/>
  <c r="F669" i="1"/>
  <c r="B669" i="1"/>
  <c r="J668" i="1"/>
  <c r="G668" i="1" s="1"/>
  <c r="H668" i="1"/>
  <c r="F668" i="1"/>
  <c r="B668" i="1"/>
  <c r="K667" i="1" s="1"/>
  <c r="J667" i="1" s="1"/>
  <c r="H667" i="1"/>
  <c r="F667" i="1"/>
  <c r="B667" i="1"/>
  <c r="J666" i="1"/>
  <c r="G666" i="1" s="1"/>
  <c r="H666" i="1"/>
  <c r="F666" i="1"/>
  <c r="B666" i="1"/>
  <c r="J665" i="1"/>
  <c r="G665" i="1" s="1"/>
  <c r="H665" i="1"/>
  <c r="F665" i="1"/>
  <c r="B665" i="1"/>
  <c r="J664" i="1"/>
  <c r="G664" i="1" s="1"/>
  <c r="H664" i="1"/>
  <c r="F664" i="1"/>
  <c r="B664" i="1"/>
  <c r="J663" i="1"/>
  <c r="G663" i="1" s="1"/>
  <c r="H663" i="1"/>
  <c r="F663" i="1"/>
  <c r="B663" i="1"/>
  <c r="J662" i="1"/>
  <c r="G662" i="1" s="1"/>
  <c r="H662" i="1"/>
  <c r="F662" i="1"/>
  <c r="B662" i="1"/>
  <c r="J661" i="1"/>
  <c r="G661" i="1" s="1"/>
  <c r="H661" i="1"/>
  <c r="F661" i="1"/>
  <c r="B661" i="1"/>
  <c r="J660" i="1"/>
  <c r="G660" i="1" s="1"/>
  <c r="H660" i="1"/>
  <c r="F660" i="1"/>
  <c r="B660" i="1"/>
  <c r="J659" i="1"/>
  <c r="G659" i="1" s="1"/>
  <c r="H659" i="1"/>
  <c r="F659" i="1"/>
  <c r="B659" i="1"/>
  <c r="J658" i="1"/>
  <c r="G658" i="1" s="1"/>
  <c r="H658" i="1"/>
  <c r="F658" i="1"/>
  <c r="B658" i="1"/>
  <c r="J657" i="1"/>
  <c r="G657" i="1" s="1"/>
  <c r="H657" i="1"/>
  <c r="F657" i="1"/>
  <c r="B657" i="1"/>
  <c r="J656" i="1"/>
  <c r="G656" i="1" s="1"/>
  <c r="H656" i="1"/>
  <c r="F656" i="1"/>
  <c r="B656" i="1"/>
  <c r="J655" i="1"/>
  <c r="G655" i="1" s="1"/>
  <c r="H655" i="1"/>
  <c r="F655" i="1"/>
  <c r="B655" i="1"/>
  <c r="J654" i="1"/>
  <c r="G654" i="1" s="1"/>
  <c r="H654" i="1"/>
  <c r="F654" i="1"/>
  <c r="B654" i="1"/>
  <c r="J653" i="1"/>
  <c r="G653" i="1" s="1"/>
  <c r="H653" i="1"/>
  <c r="F653" i="1"/>
  <c r="B653" i="1"/>
  <c r="J652" i="1"/>
  <c r="G652" i="1" s="1"/>
  <c r="H652" i="1"/>
  <c r="F652" i="1"/>
  <c r="B652" i="1"/>
  <c r="J651" i="1"/>
  <c r="G651" i="1" s="1"/>
  <c r="H651" i="1"/>
  <c r="F651" i="1"/>
  <c r="B651" i="1"/>
  <c r="J650" i="1"/>
  <c r="G650" i="1" s="1"/>
  <c r="H650" i="1"/>
  <c r="F650" i="1"/>
  <c r="B650" i="1"/>
  <c r="J649" i="1"/>
  <c r="G649" i="1" s="1"/>
  <c r="H649" i="1"/>
  <c r="F649" i="1"/>
  <c r="B649" i="1"/>
  <c r="J648" i="1"/>
  <c r="G648" i="1" s="1"/>
  <c r="H648" i="1"/>
  <c r="F648" i="1"/>
  <c r="B648" i="1"/>
  <c r="J647" i="1"/>
  <c r="G647" i="1" s="1"/>
  <c r="H647" i="1"/>
  <c r="F647" i="1"/>
  <c r="B647" i="1"/>
  <c r="J646" i="1"/>
  <c r="G646" i="1" s="1"/>
  <c r="H646" i="1"/>
  <c r="F646" i="1"/>
  <c r="B646" i="1"/>
  <c r="J645" i="1"/>
  <c r="H645" i="1"/>
  <c r="G645" i="1"/>
  <c r="F645" i="1"/>
  <c r="E645" i="1"/>
  <c r="B645" i="1"/>
  <c r="J644" i="1"/>
  <c r="G644" i="1" s="1"/>
  <c r="H644" i="1"/>
  <c r="F644" i="1"/>
  <c r="B644" i="1"/>
  <c r="J643" i="1"/>
  <c r="G643" i="1"/>
  <c r="E643" i="1"/>
  <c r="B643" i="1"/>
  <c r="J642" i="1"/>
  <c r="G642" i="1"/>
  <c r="E642" i="1"/>
  <c r="B642" i="1"/>
  <c r="J641" i="1"/>
  <c r="G641" i="1"/>
  <c r="E641" i="1"/>
  <c r="B641" i="1"/>
  <c r="J640" i="1"/>
  <c r="E640" i="1"/>
  <c r="J639" i="1"/>
  <c r="E639" i="1"/>
  <c r="J638" i="1"/>
  <c r="G638" i="1" s="1"/>
  <c r="H638" i="1"/>
  <c r="F638" i="1"/>
  <c r="B638" i="1"/>
  <c r="J637" i="1"/>
  <c r="G637" i="1" s="1"/>
  <c r="H637" i="1"/>
  <c r="F637" i="1"/>
  <c r="B637" i="1"/>
  <c r="J636" i="1"/>
  <c r="G636" i="1" s="1"/>
  <c r="H636" i="1"/>
  <c r="F636" i="1"/>
  <c r="B636" i="1"/>
  <c r="J635" i="1"/>
  <c r="G635" i="1" s="1"/>
  <c r="H635" i="1"/>
  <c r="F635" i="1"/>
  <c r="B635" i="1"/>
  <c r="J634" i="1"/>
  <c r="G634" i="1" s="1"/>
  <c r="H634" i="1"/>
  <c r="F634" i="1"/>
  <c r="B634" i="1"/>
  <c r="J633" i="1"/>
  <c r="G633" i="1" s="1"/>
  <c r="H633" i="1"/>
  <c r="F633" i="1"/>
  <c r="E633" i="1"/>
  <c r="B633" i="1"/>
  <c r="J632" i="1"/>
  <c r="G632" i="1" s="1"/>
  <c r="H632" i="1"/>
  <c r="F632" i="1"/>
  <c r="B632" i="1"/>
  <c r="J631" i="1"/>
  <c r="G631" i="1" s="1"/>
  <c r="H631" i="1"/>
  <c r="F631" i="1"/>
  <c r="B631" i="1"/>
  <c r="J630" i="1"/>
  <c r="G630" i="1" s="1"/>
  <c r="H630" i="1"/>
  <c r="F630" i="1"/>
  <c r="B630" i="1"/>
  <c r="J629" i="1"/>
  <c r="G629" i="1" s="1"/>
  <c r="H629" i="1"/>
  <c r="F629" i="1"/>
  <c r="B629" i="1"/>
  <c r="J628" i="1"/>
  <c r="E628" i="1" s="1"/>
  <c r="H628" i="1"/>
  <c r="F628" i="1"/>
  <c r="B628" i="1"/>
  <c r="J627" i="1"/>
  <c r="G627" i="1" s="1"/>
  <c r="H627" i="1"/>
  <c r="F627" i="1"/>
  <c r="B627" i="1"/>
  <c r="J626" i="1"/>
  <c r="E626" i="1" s="1"/>
  <c r="H626" i="1"/>
  <c r="F626" i="1"/>
  <c r="B626" i="1"/>
  <c r="J625" i="1"/>
  <c r="G625" i="1" s="1"/>
  <c r="H625" i="1"/>
  <c r="F625" i="1"/>
  <c r="B625" i="1"/>
  <c r="J624" i="1"/>
  <c r="E624" i="1" s="1"/>
  <c r="H624" i="1"/>
  <c r="F624" i="1"/>
  <c r="B624" i="1"/>
  <c r="J623" i="1"/>
  <c r="G623" i="1" s="1"/>
  <c r="H623" i="1"/>
  <c r="F623" i="1"/>
  <c r="B623" i="1"/>
  <c r="J622" i="1"/>
  <c r="G622" i="1" s="1"/>
  <c r="H622" i="1"/>
  <c r="F622" i="1"/>
  <c r="B622" i="1"/>
  <c r="J621" i="1"/>
  <c r="G621" i="1" s="1"/>
  <c r="H621" i="1"/>
  <c r="F621" i="1"/>
  <c r="B621" i="1"/>
  <c r="J620" i="1"/>
  <c r="G620" i="1" s="1"/>
  <c r="H620" i="1"/>
  <c r="F620" i="1"/>
  <c r="B620" i="1"/>
  <c r="J619" i="1"/>
  <c r="G619" i="1" s="1"/>
  <c r="H619" i="1"/>
  <c r="F619" i="1"/>
  <c r="B619" i="1"/>
  <c r="J618" i="1"/>
  <c r="E618" i="1" s="1"/>
  <c r="H618" i="1"/>
  <c r="G618" i="1"/>
  <c r="F618" i="1"/>
  <c r="B618" i="1"/>
  <c r="J617" i="1"/>
  <c r="G617" i="1" s="1"/>
  <c r="H617" i="1"/>
  <c r="F617" i="1"/>
  <c r="B617" i="1"/>
  <c r="J616" i="1"/>
  <c r="G616" i="1" s="1"/>
  <c r="H616" i="1"/>
  <c r="F616" i="1"/>
  <c r="B616" i="1"/>
  <c r="J615" i="1"/>
  <c r="G615" i="1" s="1"/>
  <c r="H615" i="1"/>
  <c r="F615" i="1"/>
  <c r="B615" i="1"/>
  <c r="J614" i="1"/>
  <c r="G614" i="1" s="1"/>
  <c r="H614" i="1"/>
  <c r="F614" i="1"/>
  <c r="B614" i="1"/>
  <c r="J613" i="1"/>
  <c r="G613" i="1" s="1"/>
  <c r="H613" i="1"/>
  <c r="F613" i="1"/>
  <c r="B613" i="1"/>
  <c r="J612" i="1"/>
  <c r="G612" i="1" s="1"/>
  <c r="H612" i="1"/>
  <c r="F612" i="1"/>
  <c r="B612" i="1"/>
  <c r="H611" i="1"/>
  <c r="G611" i="1"/>
  <c r="F611" i="1"/>
  <c r="E611" i="1"/>
  <c r="B611" i="1"/>
  <c r="J610" i="1"/>
  <c r="G610" i="1" s="1"/>
  <c r="H610" i="1"/>
  <c r="F610" i="1"/>
  <c r="E610" i="1"/>
  <c r="B610" i="1"/>
  <c r="J609" i="1"/>
  <c r="G609" i="1" s="1"/>
  <c r="H609" i="1"/>
  <c r="F609" i="1"/>
  <c r="B609" i="1"/>
  <c r="J608" i="1"/>
  <c r="G608" i="1" s="1"/>
  <c r="H608" i="1"/>
  <c r="F608" i="1"/>
  <c r="B608" i="1"/>
  <c r="J607" i="1"/>
  <c r="G607" i="1" s="1"/>
  <c r="H607" i="1"/>
  <c r="F607" i="1"/>
  <c r="B607" i="1"/>
  <c r="K606" i="1" s="1"/>
  <c r="J606" i="1" s="1"/>
  <c r="H606" i="1"/>
  <c r="F606" i="1"/>
  <c r="B606" i="1"/>
  <c r="J605" i="1"/>
  <c r="G605" i="1" s="1"/>
  <c r="H605" i="1"/>
  <c r="F605" i="1"/>
  <c r="B605" i="1"/>
  <c r="K604" i="1" s="1"/>
  <c r="J604" i="1" s="1"/>
  <c r="G604" i="1" s="1"/>
  <c r="H604" i="1"/>
  <c r="F604" i="1"/>
  <c r="B604" i="1"/>
  <c r="J603" i="1"/>
  <c r="G603" i="1" s="1"/>
  <c r="H603" i="1"/>
  <c r="F603" i="1"/>
  <c r="B603" i="1"/>
  <c r="J602" i="1"/>
  <c r="G602" i="1" s="1"/>
  <c r="H602" i="1"/>
  <c r="F602" i="1"/>
  <c r="B602" i="1"/>
  <c r="J601" i="1"/>
  <c r="G601" i="1" s="1"/>
  <c r="H601" i="1"/>
  <c r="F601" i="1"/>
  <c r="B601" i="1"/>
  <c r="J600" i="1"/>
  <c r="G600" i="1" s="1"/>
  <c r="H600" i="1"/>
  <c r="F600" i="1"/>
  <c r="B600" i="1"/>
  <c r="J599" i="1"/>
  <c r="G599" i="1" s="1"/>
  <c r="H599" i="1"/>
  <c r="F599" i="1"/>
  <c r="B599" i="1"/>
  <c r="J598" i="1"/>
  <c r="G598" i="1" s="1"/>
  <c r="H598" i="1"/>
  <c r="F598" i="1"/>
  <c r="B598" i="1"/>
  <c r="J597" i="1"/>
  <c r="G597" i="1" s="1"/>
  <c r="H597" i="1"/>
  <c r="F597" i="1"/>
  <c r="B597" i="1"/>
  <c r="J596" i="1"/>
  <c r="G596" i="1" s="1"/>
  <c r="H596" i="1"/>
  <c r="F596" i="1"/>
  <c r="B596" i="1"/>
  <c r="J595" i="1"/>
  <c r="G595" i="1" s="1"/>
  <c r="H595" i="1"/>
  <c r="F595" i="1"/>
  <c r="B595" i="1"/>
  <c r="J594" i="1"/>
  <c r="E594" i="1" s="1"/>
  <c r="H594" i="1"/>
  <c r="F594" i="1"/>
  <c r="B594" i="1"/>
  <c r="J593" i="1"/>
  <c r="G593" i="1" s="1"/>
  <c r="H593" i="1"/>
  <c r="F593" i="1"/>
  <c r="B593" i="1"/>
  <c r="J592" i="1"/>
  <c r="E592" i="1" s="1"/>
  <c r="H592" i="1"/>
  <c r="F592" i="1"/>
  <c r="B592" i="1"/>
  <c r="J591" i="1"/>
  <c r="G591" i="1" s="1"/>
  <c r="H591" i="1"/>
  <c r="F591" i="1"/>
  <c r="B591" i="1"/>
  <c r="J590" i="1"/>
  <c r="G590" i="1" s="1"/>
  <c r="H590" i="1"/>
  <c r="F590" i="1"/>
  <c r="B590" i="1"/>
  <c r="J589" i="1"/>
  <c r="G589" i="1" s="1"/>
  <c r="H589" i="1"/>
  <c r="F589" i="1"/>
  <c r="B589" i="1"/>
  <c r="J588" i="1"/>
  <c r="E588" i="1" s="1"/>
  <c r="H588" i="1"/>
  <c r="F588" i="1"/>
  <c r="B588" i="1"/>
  <c r="J587" i="1"/>
  <c r="G587" i="1" s="1"/>
  <c r="H587" i="1"/>
  <c r="F587" i="1"/>
  <c r="E587" i="1"/>
  <c r="B587" i="1"/>
  <c r="J586" i="1"/>
  <c r="G586" i="1" s="1"/>
  <c r="H586" i="1"/>
  <c r="F586" i="1"/>
  <c r="B586" i="1"/>
  <c r="J585" i="1"/>
  <c r="G585" i="1" s="1"/>
  <c r="H585" i="1"/>
  <c r="F585" i="1"/>
  <c r="B585" i="1"/>
  <c r="J584" i="1"/>
  <c r="G584" i="1" s="1"/>
  <c r="H584" i="1"/>
  <c r="F584" i="1"/>
  <c r="B584" i="1"/>
  <c r="J583" i="1"/>
  <c r="H583" i="1"/>
  <c r="G583" i="1"/>
  <c r="F583" i="1"/>
  <c r="E583" i="1"/>
  <c r="B583" i="1"/>
  <c r="J582" i="1"/>
  <c r="G582" i="1" s="1"/>
  <c r="H582" i="1"/>
  <c r="F582" i="1"/>
  <c r="B582" i="1"/>
  <c r="J581" i="1"/>
  <c r="G581" i="1" s="1"/>
  <c r="H581" i="1"/>
  <c r="F581" i="1"/>
  <c r="B581" i="1"/>
  <c r="J580" i="1"/>
  <c r="E580" i="1" s="1"/>
  <c r="H580" i="1"/>
  <c r="F580" i="1"/>
  <c r="B580" i="1"/>
  <c r="J579" i="1"/>
  <c r="G579" i="1" s="1"/>
  <c r="H579" i="1"/>
  <c r="F579" i="1"/>
  <c r="B579" i="1"/>
  <c r="J578" i="1"/>
  <c r="G578" i="1" s="1"/>
  <c r="H578" i="1"/>
  <c r="F578" i="1"/>
  <c r="B578" i="1"/>
  <c r="J577" i="1"/>
  <c r="G577" i="1" s="1"/>
  <c r="H577" i="1"/>
  <c r="F577" i="1"/>
  <c r="B577" i="1"/>
  <c r="J576" i="1"/>
  <c r="E576" i="1" s="1"/>
  <c r="H576" i="1"/>
  <c r="F576" i="1"/>
  <c r="B576" i="1"/>
  <c r="J575" i="1"/>
  <c r="G575" i="1" s="1"/>
  <c r="H575" i="1"/>
  <c r="F575" i="1"/>
  <c r="E575" i="1"/>
  <c r="B575" i="1"/>
  <c r="J574" i="1"/>
  <c r="G574" i="1" s="1"/>
  <c r="H574" i="1"/>
  <c r="F574" i="1"/>
  <c r="B574" i="1"/>
  <c r="J573" i="1"/>
  <c r="G573" i="1" s="1"/>
  <c r="H573" i="1"/>
  <c r="F573" i="1"/>
  <c r="B573" i="1"/>
  <c r="J572" i="1"/>
  <c r="G572" i="1" s="1"/>
  <c r="H572" i="1"/>
  <c r="F572" i="1"/>
  <c r="B572" i="1"/>
  <c r="J571" i="1"/>
  <c r="G571" i="1" s="1"/>
  <c r="H571" i="1"/>
  <c r="F571" i="1"/>
  <c r="B571" i="1"/>
  <c r="J570" i="1"/>
  <c r="G570" i="1" s="1"/>
  <c r="H570" i="1"/>
  <c r="F570" i="1"/>
  <c r="B570" i="1"/>
  <c r="J569" i="1"/>
  <c r="G569" i="1" s="1"/>
  <c r="H569" i="1"/>
  <c r="F569" i="1"/>
  <c r="B569" i="1"/>
  <c r="J568" i="1"/>
  <c r="G568" i="1" s="1"/>
  <c r="H568" i="1"/>
  <c r="F568" i="1"/>
  <c r="B568" i="1"/>
  <c r="J567" i="1"/>
  <c r="H567" i="1"/>
  <c r="G567" i="1"/>
  <c r="F567" i="1"/>
  <c r="E567" i="1"/>
  <c r="B567" i="1"/>
  <c r="J566" i="1"/>
  <c r="G566" i="1" s="1"/>
  <c r="H566" i="1"/>
  <c r="F566" i="1"/>
  <c r="B566" i="1"/>
  <c r="J565" i="1"/>
  <c r="G565" i="1" s="1"/>
  <c r="H565" i="1"/>
  <c r="F565" i="1"/>
  <c r="B565" i="1"/>
  <c r="J564" i="1"/>
  <c r="G564" i="1" s="1"/>
  <c r="H564" i="1"/>
  <c r="F564" i="1"/>
  <c r="B564" i="1"/>
  <c r="J563" i="1"/>
  <c r="G563" i="1" s="1"/>
  <c r="H563" i="1"/>
  <c r="F563" i="1"/>
  <c r="B563" i="1"/>
  <c r="J562" i="1"/>
  <c r="G562" i="1" s="1"/>
  <c r="H562" i="1"/>
  <c r="F562" i="1"/>
  <c r="B562" i="1"/>
  <c r="J561" i="1"/>
  <c r="G561" i="1"/>
  <c r="E561" i="1"/>
  <c r="B561" i="1"/>
  <c r="J560" i="1"/>
  <c r="G560" i="1"/>
  <c r="E560" i="1"/>
  <c r="B560" i="1"/>
  <c r="J559" i="1"/>
  <c r="G559" i="1"/>
  <c r="E559" i="1"/>
  <c r="B559" i="1"/>
  <c r="G677" i="1" l="1"/>
  <c r="E679" i="1"/>
  <c r="E715" i="1"/>
  <c r="E828" i="1"/>
  <c r="G626" i="1"/>
  <c r="E636" i="1"/>
  <c r="E824" i="1"/>
  <c r="E613" i="1"/>
  <c r="E762" i="1"/>
  <c r="E647" i="1"/>
  <c r="E829" i="1"/>
  <c r="E612" i="1"/>
  <c r="E655" i="1"/>
  <c r="E796" i="1"/>
  <c r="E622" i="1"/>
  <c r="E751" i="1"/>
  <c r="E783" i="1"/>
  <c r="E821" i="1"/>
  <c r="E599" i="1"/>
  <c r="E804" i="1"/>
  <c r="E603" i="1"/>
  <c r="E659" i="1"/>
  <c r="G713" i="1"/>
  <c r="G770" i="1"/>
  <c r="E589" i="1"/>
  <c r="E648" i="1"/>
  <c r="E666" i="1"/>
  <c r="E672" i="1"/>
  <c r="E721" i="1"/>
  <c r="E767" i="1"/>
  <c r="E800" i="1"/>
  <c r="E808" i="1"/>
  <c r="E818" i="1"/>
  <c r="E825" i="1"/>
  <c r="E834" i="1"/>
  <c r="E595" i="1"/>
  <c r="E663" i="1"/>
  <c r="E579" i="1"/>
  <c r="E591" i="1"/>
  <c r="E607" i="1"/>
  <c r="E614" i="1"/>
  <c r="E625" i="1"/>
  <c r="E634" i="1"/>
  <c r="E646" i="1"/>
  <c r="E678" i="1"/>
  <c r="E711" i="1"/>
  <c r="E744" i="1"/>
  <c r="E752" i="1"/>
  <c r="E760" i="1"/>
  <c r="E768" i="1"/>
  <c r="E776" i="1"/>
  <c r="E784" i="1"/>
  <c r="E798" i="1"/>
  <c r="E806" i="1"/>
  <c r="E826" i="1"/>
  <c r="E832" i="1"/>
  <c r="E835" i="1"/>
  <c r="E563" i="1"/>
  <c r="E653" i="1"/>
  <c r="E748" i="1"/>
  <c r="E571" i="1"/>
  <c r="E585" i="1"/>
  <c r="E601" i="1"/>
  <c r="E637" i="1"/>
  <c r="E656" i="1"/>
  <c r="E674" i="1"/>
  <c r="E617" i="1"/>
  <c r="G628" i="1"/>
  <c r="E629" i="1"/>
  <c r="E638" i="1"/>
  <c r="E650" i="1"/>
  <c r="E654" i="1"/>
  <c r="E657" i="1"/>
  <c r="E664" i="1"/>
  <c r="E675" i="1"/>
  <c r="E749" i="1"/>
  <c r="G756" i="1"/>
  <c r="E757" i="1"/>
  <c r="G764" i="1"/>
  <c r="E765" i="1"/>
  <c r="G772" i="1"/>
  <c r="E773" i="1"/>
  <c r="G780" i="1"/>
  <c r="E781" i="1"/>
  <c r="G794" i="1"/>
  <c r="E799" i="1"/>
  <c r="G802" i="1"/>
  <c r="E807" i="1"/>
  <c r="G822" i="1"/>
  <c r="E823" i="1"/>
  <c r="E831" i="1"/>
  <c r="E836" i="1"/>
  <c r="E605" i="1"/>
  <c r="E620" i="1"/>
  <c r="E649" i="1"/>
  <c r="E661" i="1"/>
  <c r="E717" i="1"/>
  <c r="E565" i="1"/>
  <c r="E597" i="1"/>
  <c r="E608" i="1"/>
  <c r="E593" i="1"/>
  <c r="E602" i="1"/>
  <c r="E621" i="1"/>
  <c r="E630" i="1"/>
  <c r="E651" i="1"/>
  <c r="E658" i="1"/>
  <c r="E662" i="1"/>
  <c r="E665" i="1"/>
  <c r="E719" i="1"/>
  <c r="E750" i="1"/>
  <c r="E758" i="1"/>
  <c r="E766" i="1"/>
  <c r="E774" i="1"/>
  <c r="E782" i="1"/>
  <c r="E830" i="1"/>
  <c r="E837" i="1"/>
  <c r="G785" i="1"/>
  <c r="G786" i="1"/>
  <c r="G787" i="1"/>
  <c r="E632" i="1"/>
  <c r="E573" i="1"/>
  <c r="E600" i="1"/>
  <c r="E619" i="1"/>
  <c r="E627" i="1"/>
  <c r="E635" i="1"/>
  <c r="E616" i="1"/>
  <c r="E577" i="1"/>
  <c r="E581" i="1"/>
  <c r="G624" i="1"/>
  <c r="E747" i="1"/>
  <c r="E755" i="1"/>
  <c r="E763" i="1"/>
  <c r="E771" i="1"/>
  <c r="E779" i="1"/>
  <c r="E795" i="1"/>
  <c r="E803" i="1"/>
  <c r="E811" i="1"/>
  <c r="E569" i="1"/>
  <c r="E615" i="1"/>
  <c r="E623" i="1"/>
  <c r="E631" i="1"/>
  <c r="E644" i="1"/>
  <c r="E652" i="1"/>
  <c r="E660" i="1"/>
  <c r="E676" i="1"/>
  <c r="E745" i="1"/>
  <c r="E753" i="1"/>
  <c r="E761" i="1"/>
  <c r="E769" i="1"/>
  <c r="E777" i="1"/>
  <c r="E793" i="1"/>
  <c r="E801" i="1"/>
  <c r="E809" i="1"/>
  <c r="E819" i="1"/>
  <c r="E827" i="1"/>
  <c r="E838" i="1"/>
  <c r="G606" i="1"/>
  <c r="E606" i="1"/>
  <c r="G667" i="1"/>
  <c r="E667" i="1"/>
  <c r="E671" i="1"/>
  <c r="G671" i="1"/>
  <c r="E669" i="1"/>
  <c r="G669" i="1"/>
  <c r="E564" i="1"/>
  <c r="E566" i="1"/>
  <c r="E570" i="1"/>
  <c r="E582" i="1"/>
  <c r="E574" i="1"/>
  <c r="E584" i="1"/>
  <c r="E598" i="1"/>
  <c r="E604" i="1"/>
  <c r="E609" i="1"/>
  <c r="E712" i="1"/>
  <c r="E714" i="1"/>
  <c r="E718" i="1"/>
  <c r="E812" i="1"/>
  <c r="E562" i="1"/>
  <c r="E568" i="1"/>
  <c r="E572" i="1"/>
  <c r="E578" i="1"/>
  <c r="E586" i="1"/>
  <c r="E590" i="1"/>
  <c r="E596" i="1"/>
  <c r="E668" i="1"/>
  <c r="E673" i="1"/>
  <c r="E710" i="1"/>
  <c r="E716" i="1"/>
  <c r="E720" i="1"/>
  <c r="E722" i="1"/>
  <c r="G576" i="1"/>
  <c r="G580" i="1"/>
  <c r="G588" i="1"/>
  <c r="G592" i="1"/>
  <c r="G594" i="1"/>
  <c r="J558" i="1" l="1"/>
  <c r="E558" i="1"/>
  <c r="E557" i="1"/>
  <c r="H556" i="1"/>
  <c r="G556" i="1"/>
  <c r="F556" i="1"/>
  <c r="E556" i="1"/>
  <c r="B556" i="1"/>
  <c r="H555" i="1"/>
  <c r="G555" i="1"/>
  <c r="F555" i="1"/>
  <c r="E555" i="1"/>
  <c r="B555" i="1"/>
  <c r="H554" i="1"/>
  <c r="G554" i="1"/>
  <c r="F554" i="1"/>
  <c r="E554" i="1"/>
  <c r="B554" i="1"/>
  <c r="H553" i="1"/>
  <c r="G553" i="1"/>
  <c r="F553" i="1"/>
  <c r="E553" i="1"/>
  <c r="B553" i="1"/>
  <c r="H552" i="1"/>
  <c r="G552" i="1"/>
  <c r="F552" i="1"/>
  <c r="E552" i="1"/>
  <c r="B552" i="1"/>
  <c r="H551" i="1"/>
  <c r="G551" i="1"/>
  <c r="F551" i="1"/>
  <c r="E551" i="1"/>
  <c r="B551" i="1"/>
  <c r="H550" i="1"/>
  <c r="G550" i="1"/>
  <c r="F550" i="1"/>
  <c r="E550" i="1"/>
  <c r="B550" i="1"/>
  <c r="H549" i="1"/>
  <c r="G549" i="1"/>
  <c r="F549" i="1"/>
  <c r="E549" i="1"/>
  <c r="B549" i="1"/>
  <c r="J548" i="1"/>
  <c r="E548" i="1" s="1"/>
  <c r="H548" i="1"/>
  <c r="F548" i="1"/>
  <c r="B548" i="1"/>
  <c r="J547" i="1"/>
  <c r="G547" i="1" s="1"/>
  <c r="H547" i="1"/>
  <c r="F547" i="1"/>
  <c r="B547" i="1"/>
  <c r="J546" i="1"/>
  <c r="G546" i="1" s="1"/>
  <c r="H546" i="1"/>
  <c r="F546" i="1"/>
  <c r="B546" i="1"/>
  <c r="J545" i="1"/>
  <c r="E545" i="1" s="1"/>
  <c r="H545" i="1"/>
  <c r="F545" i="1"/>
  <c r="B545" i="1"/>
  <c r="J544" i="1"/>
  <c r="G544" i="1" s="1"/>
  <c r="H544" i="1"/>
  <c r="F544" i="1"/>
  <c r="B544" i="1"/>
  <c r="J543" i="1"/>
  <c r="G543" i="1" s="1"/>
  <c r="H543" i="1"/>
  <c r="F543" i="1"/>
  <c r="B543" i="1"/>
  <c r="J542" i="1"/>
  <c r="G542" i="1" s="1"/>
  <c r="H542" i="1"/>
  <c r="F542" i="1"/>
  <c r="B542" i="1"/>
  <c r="J541" i="1"/>
  <c r="G541" i="1" s="1"/>
  <c r="H541" i="1"/>
  <c r="F541" i="1"/>
  <c r="B541" i="1"/>
  <c r="J540" i="1"/>
  <c r="G540" i="1" s="1"/>
  <c r="H540" i="1"/>
  <c r="F540" i="1"/>
  <c r="B540" i="1"/>
  <c r="J539" i="1"/>
  <c r="G539" i="1" s="1"/>
  <c r="H539" i="1"/>
  <c r="F539" i="1"/>
  <c r="B539" i="1"/>
  <c r="J538" i="1"/>
  <c r="G538" i="1" s="1"/>
  <c r="H538" i="1"/>
  <c r="F538" i="1"/>
  <c r="B538" i="1"/>
  <c r="J537" i="1"/>
  <c r="G537" i="1" s="1"/>
  <c r="H537" i="1"/>
  <c r="F537" i="1"/>
  <c r="B537" i="1"/>
  <c r="J536" i="1"/>
  <c r="G536" i="1" s="1"/>
  <c r="H536" i="1"/>
  <c r="F536" i="1"/>
  <c r="B536" i="1"/>
  <c r="J535" i="1"/>
  <c r="G535" i="1" s="1"/>
  <c r="H535" i="1"/>
  <c r="F535" i="1"/>
  <c r="E535" i="1"/>
  <c r="B535" i="1"/>
  <c r="J534" i="1"/>
  <c r="G534" i="1" s="1"/>
  <c r="H534" i="1"/>
  <c r="F534" i="1"/>
  <c r="B534" i="1"/>
  <c r="H533" i="1"/>
  <c r="G533" i="1"/>
  <c r="F533" i="1"/>
  <c r="E533" i="1"/>
  <c r="B533" i="1"/>
  <c r="J532" i="1"/>
  <c r="G532" i="1" s="1"/>
  <c r="H532" i="1"/>
  <c r="F532" i="1"/>
  <c r="B532" i="1"/>
  <c r="H531" i="1"/>
  <c r="G531" i="1"/>
  <c r="F531" i="1"/>
  <c r="E531" i="1"/>
  <c r="B531" i="1"/>
  <c r="J530" i="1"/>
  <c r="G530" i="1" s="1"/>
  <c r="H530" i="1"/>
  <c r="F530" i="1"/>
  <c r="B530" i="1"/>
  <c r="J529" i="1"/>
  <c r="E529" i="1" s="1"/>
  <c r="H529" i="1"/>
  <c r="F529" i="1"/>
  <c r="B529" i="1"/>
  <c r="J528" i="1"/>
  <c r="G528" i="1" s="1"/>
  <c r="H528" i="1"/>
  <c r="F528" i="1"/>
  <c r="B528" i="1"/>
  <c r="J527" i="1"/>
  <c r="G527" i="1" s="1"/>
  <c r="H527" i="1"/>
  <c r="F527" i="1"/>
  <c r="B527" i="1"/>
  <c r="J526" i="1"/>
  <c r="G526" i="1" s="1"/>
  <c r="H526" i="1"/>
  <c r="F526" i="1"/>
  <c r="E526" i="1"/>
  <c r="B526" i="1"/>
  <c r="J525" i="1"/>
  <c r="G525" i="1" s="1"/>
  <c r="H525" i="1"/>
  <c r="F525" i="1"/>
  <c r="B525" i="1"/>
  <c r="J524" i="1"/>
  <c r="G524" i="1" s="1"/>
  <c r="H524" i="1"/>
  <c r="F524" i="1"/>
  <c r="E524" i="1"/>
  <c r="B524" i="1"/>
  <c r="J523" i="1"/>
  <c r="G523" i="1" s="1"/>
  <c r="H523" i="1"/>
  <c r="F523" i="1"/>
  <c r="B523" i="1"/>
  <c r="J522" i="1"/>
  <c r="H522" i="1"/>
  <c r="G522" i="1"/>
  <c r="F522" i="1"/>
  <c r="E522" i="1"/>
  <c r="B522" i="1"/>
  <c r="J521" i="1"/>
  <c r="E521" i="1" s="1"/>
  <c r="H521" i="1"/>
  <c r="F521" i="1"/>
  <c r="B521" i="1"/>
  <c r="J520" i="1"/>
  <c r="G520" i="1" s="1"/>
  <c r="H520" i="1"/>
  <c r="F520" i="1"/>
  <c r="B520" i="1"/>
  <c r="J519" i="1"/>
  <c r="G519" i="1" s="1"/>
  <c r="H519" i="1"/>
  <c r="F519" i="1"/>
  <c r="B519" i="1"/>
  <c r="J518" i="1"/>
  <c r="G518" i="1" s="1"/>
  <c r="H518" i="1"/>
  <c r="F518" i="1"/>
  <c r="E518" i="1"/>
  <c r="B518" i="1"/>
  <c r="J517" i="1"/>
  <c r="G517" i="1" s="1"/>
  <c r="H517" i="1"/>
  <c r="F517" i="1"/>
  <c r="B517" i="1"/>
  <c r="J516" i="1"/>
  <c r="G516" i="1" s="1"/>
  <c r="H516" i="1"/>
  <c r="F516" i="1"/>
  <c r="B516" i="1"/>
  <c r="J515" i="1"/>
  <c r="E515" i="1" s="1"/>
  <c r="H515" i="1"/>
  <c r="F515" i="1"/>
  <c r="B515" i="1"/>
  <c r="J514" i="1"/>
  <c r="G514" i="1" s="1"/>
  <c r="H514" i="1"/>
  <c r="F514" i="1"/>
  <c r="E514" i="1"/>
  <c r="B514" i="1"/>
  <c r="J513" i="1"/>
  <c r="G513" i="1" s="1"/>
  <c r="H513" i="1"/>
  <c r="F513" i="1"/>
  <c r="B513" i="1"/>
  <c r="J512" i="1"/>
  <c r="G512" i="1" s="1"/>
  <c r="H512" i="1"/>
  <c r="F512" i="1"/>
  <c r="B512" i="1"/>
  <c r="J511" i="1"/>
  <c r="E511" i="1" s="1"/>
  <c r="H511" i="1"/>
  <c r="F511" i="1"/>
  <c r="B511" i="1"/>
  <c r="J510" i="1"/>
  <c r="G510" i="1" s="1"/>
  <c r="H510" i="1"/>
  <c r="F510" i="1"/>
  <c r="B510" i="1"/>
  <c r="J509" i="1"/>
  <c r="G509" i="1" s="1"/>
  <c r="H509" i="1"/>
  <c r="F509" i="1"/>
  <c r="B509" i="1"/>
  <c r="J508" i="1"/>
  <c r="G508" i="1" s="1"/>
  <c r="H508" i="1"/>
  <c r="F508" i="1"/>
  <c r="B508" i="1"/>
  <c r="J507" i="1"/>
  <c r="G507" i="1" s="1"/>
  <c r="H507" i="1"/>
  <c r="F507" i="1"/>
  <c r="B507" i="1"/>
  <c r="J506" i="1"/>
  <c r="G506" i="1" s="1"/>
  <c r="H506" i="1"/>
  <c r="F506" i="1"/>
  <c r="E506" i="1"/>
  <c r="B506" i="1"/>
  <c r="J505" i="1"/>
  <c r="E505" i="1" s="1"/>
  <c r="H505" i="1"/>
  <c r="F505" i="1"/>
  <c r="B505" i="1"/>
  <c r="J504" i="1"/>
  <c r="G504" i="1" s="1"/>
  <c r="H504" i="1"/>
  <c r="F504" i="1"/>
  <c r="B504" i="1"/>
  <c r="J503" i="1"/>
  <c r="G503" i="1" s="1"/>
  <c r="H503" i="1"/>
  <c r="F503" i="1"/>
  <c r="B503" i="1"/>
  <c r="J502" i="1"/>
  <c r="G502" i="1" s="1"/>
  <c r="H502" i="1"/>
  <c r="F502" i="1"/>
  <c r="B502" i="1"/>
  <c r="J501" i="1"/>
  <c r="G501" i="1" s="1"/>
  <c r="H501" i="1"/>
  <c r="F501" i="1"/>
  <c r="B501" i="1"/>
  <c r="J500" i="1"/>
  <c r="E500" i="1" s="1"/>
  <c r="H500" i="1"/>
  <c r="F500" i="1"/>
  <c r="B500" i="1"/>
  <c r="J499" i="1"/>
  <c r="G499" i="1" s="1"/>
  <c r="H499" i="1"/>
  <c r="F499" i="1"/>
  <c r="B499" i="1"/>
  <c r="J498" i="1"/>
  <c r="G498" i="1" s="1"/>
  <c r="H498" i="1"/>
  <c r="F498" i="1"/>
  <c r="E498" i="1"/>
  <c r="B498" i="1"/>
  <c r="J497" i="1"/>
  <c r="G497" i="1" s="1"/>
  <c r="H497" i="1"/>
  <c r="F497" i="1"/>
  <c r="B497" i="1"/>
  <c r="J496" i="1"/>
  <c r="G496" i="1" s="1"/>
  <c r="H496" i="1"/>
  <c r="F496" i="1"/>
  <c r="B496" i="1"/>
  <c r="J495" i="1"/>
  <c r="G495" i="1" s="1"/>
  <c r="H495" i="1"/>
  <c r="F495" i="1"/>
  <c r="B495" i="1"/>
  <c r="J494" i="1"/>
  <c r="G494" i="1" s="1"/>
  <c r="H494" i="1"/>
  <c r="F494" i="1"/>
  <c r="E494" i="1"/>
  <c r="B494" i="1"/>
  <c r="J493" i="1"/>
  <c r="E493" i="1" s="1"/>
  <c r="H493" i="1"/>
  <c r="F493" i="1"/>
  <c r="B493" i="1"/>
  <c r="J492" i="1"/>
  <c r="E492" i="1" s="1"/>
  <c r="H492" i="1"/>
  <c r="F492" i="1"/>
  <c r="B492" i="1"/>
  <c r="J491" i="1"/>
  <c r="G491" i="1" s="1"/>
  <c r="H491" i="1"/>
  <c r="F491" i="1"/>
  <c r="B491" i="1"/>
  <c r="J490" i="1"/>
  <c r="G490" i="1"/>
  <c r="E490" i="1"/>
  <c r="B490" i="1"/>
  <c r="J489" i="1"/>
  <c r="G489" i="1"/>
  <c r="E489" i="1"/>
  <c r="B489" i="1"/>
  <c r="J488" i="1"/>
  <c r="G488" i="1"/>
  <c r="E488" i="1"/>
  <c r="B488" i="1"/>
  <c r="J487" i="1"/>
  <c r="E487" i="1"/>
  <c r="E486" i="1"/>
  <c r="H485" i="1"/>
  <c r="G485" i="1"/>
  <c r="F485" i="1"/>
  <c r="E485" i="1"/>
  <c r="B485" i="1"/>
  <c r="H484" i="1"/>
  <c r="G484" i="1"/>
  <c r="F484" i="1"/>
  <c r="E484" i="1"/>
  <c r="B484" i="1"/>
  <c r="H483" i="1"/>
  <c r="G483" i="1"/>
  <c r="F483" i="1"/>
  <c r="E483" i="1"/>
  <c r="B483" i="1"/>
  <c r="H482" i="1"/>
  <c r="G482" i="1"/>
  <c r="F482" i="1"/>
  <c r="E482" i="1"/>
  <c r="B482" i="1"/>
  <c r="H481" i="1"/>
  <c r="G481" i="1"/>
  <c r="F481" i="1"/>
  <c r="E481" i="1"/>
  <c r="B481" i="1"/>
  <c r="J480" i="1"/>
  <c r="G480" i="1" s="1"/>
  <c r="H480" i="1"/>
  <c r="F480" i="1"/>
  <c r="B480" i="1"/>
  <c r="J479" i="1"/>
  <c r="G479" i="1" s="1"/>
  <c r="H479" i="1"/>
  <c r="F479" i="1"/>
  <c r="B479" i="1"/>
  <c r="J478" i="1"/>
  <c r="G478" i="1" s="1"/>
  <c r="H478" i="1"/>
  <c r="F478" i="1"/>
  <c r="B478" i="1"/>
  <c r="J477" i="1"/>
  <c r="G477" i="1" s="1"/>
  <c r="H477" i="1"/>
  <c r="F477" i="1"/>
  <c r="B477" i="1"/>
  <c r="J476" i="1"/>
  <c r="E476" i="1" s="1"/>
  <c r="H476" i="1"/>
  <c r="F476" i="1"/>
  <c r="B476" i="1"/>
  <c r="J475" i="1"/>
  <c r="G475" i="1" s="1"/>
  <c r="H475" i="1"/>
  <c r="F475" i="1"/>
  <c r="B475" i="1"/>
  <c r="J474" i="1"/>
  <c r="E474" i="1" s="1"/>
  <c r="H474" i="1"/>
  <c r="F474" i="1"/>
  <c r="B474" i="1"/>
  <c r="J473" i="1"/>
  <c r="G473" i="1" s="1"/>
  <c r="H473" i="1"/>
  <c r="F473" i="1"/>
  <c r="B473" i="1"/>
  <c r="J472" i="1"/>
  <c r="G472" i="1" s="1"/>
  <c r="H472" i="1"/>
  <c r="F472" i="1"/>
  <c r="B472" i="1"/>
  <c r="J471" i="1"/>
  <c r="G471" i="1" s="1"/>
  <c r="H471" i="1"/>
  <c r="F471" i="1"/>
  <c r="B471" i="1"/>
  <c r="J470" i="1"/>
  <c r="E470" i="1" s="1"/>
  <c r="H470" i="1"/>
  <c r="F470" i="1"/>
  <c r="B470" i="1"/>
  <c r="J469" i="1"/>
  <c r="G469" i="1" s="1"/>
  <c r="H469" i="1"/>
  <c r="F469" i="1"/>
  <c r="B469" i="1"/>
  <c r="J468" i="1"/>
  <c r="E468" i="1" s="1"/>
  <c r="H468" i="1"/>
  <c r="F468" i="1"/>
  <c r="B468" i="1"/>
  <c r="H467" i="1"/>
  <c r="G467" i="1"/>
  <c r="F467" i="1"/>
  <c r="E467" i="1"/>
  <c r="B467" i="1"/>
  <c r="H466" i="1"/>
  <c r="G466" i="1"/>
  <c r="F466" i="1"/>
  <c r="E466" i="1"/>
  <c r="B466" i="1"/>
  <c r="J465" i="1"/>
  <c r="E465" i="1" s="1"/>
  <c r="H465" i="1"/>
  <c r="F465" i="1"/>
  <c r="B465" i="1"/>
  <c r="J464" i="1"/>
  <c r="G464" i="1" s="1"/>
  <c r="H464" i="1"/>
  <c r="F464" i="1"/>
  <c r="B464" i="1"/>
  <c r="J463" i="1"/>
  <c r="G463" i="1" s="1"/>
  <c r="H463" i="1"/>
  <c r="F463" i="1"/>
  <c r="B463" i="1"/>
  <c r="J462" i="1"/>
  <c r="G462" i="1" s="1"/>
  <c r="H462" i="1"/>
  <c r="F462" i="1"/>
  <c r="B462" i="1"/>
  <c r="J461" i="1"/>
  <c r="G461" i="1" s="1"/>
  <c r="H461" i="1"/>
  <c r="F461" i="1"/>
  <c r="E461" i="1"/>
  <c r="B461" i="1"/>
  <c r="J460" i="1"/>
  <c r="G460" i="1" s="1"/>
  <c r="H460" i="1"/>
  <c r="F460" i="1"/>
  <c r="B460" i="1"/>
  <c r="J459" i="1"/>
  <c r="G459" i="1" s="1"/>
  <c r="H459" i="1"/>
  <c r="F459" i="1"/>
  <c r="B459" i="1"/>
  <c r="J458" i="1"/>
  <c r="G458" i="1" s="1"/>
  <c r="H458" i="1"/>
  <c r="F458" i="1"/>
  <c r="B458" i="1"/>
  <c r="J457" i="1"/>
  <c r="G457" i="1" s="1"/>
  <c r="H457" i="1"/>
  <c r="F457" i="1"/>
  <c r="B457" i="1"/>
  <c r="J456" i="1"/>
  <c r="G456" i="1" s="1"/>
  <c r="H456" i="1"/>
  <c r="F456" i="1"/>
  <c r="B456" i="1"/>
  <c r="J455" i="1"/>
  <c r="E455" i="1" s="1"/>
  <c r="H455" i="1"/>
  <c r="F455" i="1"/>
  <c r="B455" i="1"/>
  <c r="J454" i="1"/>
  <c r="G454" i="1" s="1"/>
  <c r="H454" i="1"/>
  <c r="F454" i="1"/>
  <c r="B454" i="1"/>
  <c r="J453" i="1"/>
  <c r="G453" i="1" s="1"/>
  <c r="H453" i="1"/>
  <c r="F453" i="1"/>
  <c r="B453" i="1"/>
  <c r="J452" i="1"/>
  <c r="G452" i="1" s="1"/>
  <c r="H452" i="1"/>
  <c r="F452" i="1"/>
  <c r="B452" i="1"/>
  <c r="J451" i="1"/>
  <c r="E451" i="1" s="1"/>
  <c r="H451" i="1"/>
  <c r="F451" i="1"/>
  <c r="B451" i="1"/>
  <c r="J450" i="1"/>
  <c r="G450" i="1" s="1"/>
  <c r="H450" i="1"/>
  <c r="F450" i="1"/>
  <c r="B450" i="1"/>
  <c r="J449" i="1"/>
  <c r="G449" i="1" s="1"/>
  <c r="H449" i="1"/>
  <c r="F449" i="1"/>
  <c r="B449" i="1"/>
  <c r="J448" i="1"/>
  <c r="G448" i="1" s="1"/>
  <c r="H448" i="1"/>
  <c r="F448" i="1"/>
  <c r="B448" i="1"/>
  <c r="J447" i="1"/>
  <c r="G447" i="1" s="1"/>
  <c r="H447" i="1"/>
  <c r="F447" i="1"/>
  <c r="B447" i="1"/>
  <c r="J446" i="1"/>
  <c r="G446" i="1" s="1"/>
  <c r="H446" i="1"/>
  <c r="F446" i="1"/>
  <c r="B446" i="1"/>
  <c r="J445" i="1"/>
  <c r="G445" i="1" s="1"/>
  <c r="H445" i="1"/>
  <c r="F445" i="1"/>
  <c r="B445" i="1"/>
  <c r="J444" i="1"/>
  <c r="G444" i="1" s="1"/>
  <c r="H444" i="1"/>
  <c r="F444" i="1"/>
  <c r="B444" i="1"/>
  <c r="J443" i="1"/>
  <c r="G443" i="1" s="1"/>
  <c r="H443" i="1"/>
  <c r="F443" i="1"/>
  <c r="B443" i="1"/>
  <c r="J442" i="1"/>
  <c r="E442" i="1" s="1"/>
  <c r="H442" i="1"/>
  <c r="F442" i="1"/>
  <c r="B442" i="1"/>
  <c r="J441" i="1"/>
  <c r="G441" i="1" s="1"/>
  <c r="H441" i="1"/>
  <c r="F441" i="1"/>
  <c r="B441" i="1"/>
  <c r="J440" i="1"/>
  <c r="G440" i="1" s="1"/>
  <c r="H440" i="1"/>
  <c r="F440" i="1"/>
  <c r="B440" i="1"/>
  <c r="J439" i="1"/>
  <c r="E439" i="1" s="1"/>
  <c r="H439" i="1"/>
  <c r="F439" i="1"/>
  <c r="B439" i="1"/>
  <c r="J438" i="1"/>
  <c r="G438" i="1" s="1"/>
  <c r="H438" i="1"/>
  <c r="F438" i="1"/>
  <c r="B438" i="1"/>
  <c r="J437" i="1"/>
  <c r="G437" i="1" s="1"/>
  <c r="H437" i="1"/>
  <c r="F437" i="1"/>
  <c r="B437" i="1"/>
  <c r="J436" i="1"/>
  <c r="G436" i="1" s="1"/>
  <c r="H436" i="1"/>
  <c r="F436" i="1"/>
  <c r="B436" i="1"/>
  <c r="J435" i="1"/>
  <c r="G435" i="1" s="1"/>
  <c r="H435" i="1"/>
  <c r="F435" i="1"/>
  <c r="B435" i="1"/>
  <c r="J434" i="1"/>
  <c r="G434" i="1" s="1"/>
  <c r="H434" i="1"/>
  <c r="F434" i="1"/>
  <c r="B434" i="1"/>
  <c r="J433" i="1"/>
  <c r="G433" i="1" s="1"/>
  <c r="H433" i="1"/>
  <c r="F433" i="1"/>
  <c r="E433" i="1"/>
  <c r="B433" i="1"/>
  <c r="J432" i="1"/>
  <c r="E432" i="1" s="1"/>
  <c r="H432" i="1"/>
  <c r="F432" i="1"/>
  <c r="B432" i="1"/>
  <c r="J431" i="1"/>
  <c r="G431" i="1" s="1"/>
  <c r="H431" i="1"/>
  <c r="F431" i="1"/>
  <c r="B431" i="1"/>
  <c r="J430" i="1"/>
  <c r="G430" i="1" s="1"/>
  <c r="H430" i="1"/>
  <c r="F430" i="1"/>
  <c r="B430" i="1"/>
  <c r="J429" i="1"/>
  <c r="G429" i="1" s="1"/>
  <c r="H429" i="1"/>
  <c r="F429" i="1"/>
  <c r="B429" i="1"/>
  <c r="J428" i="1"/>
  <c r="G428" i="1" s="1"/>
  <c r="H428" i="1"/>
  <c r="F428" i="1"/>
  <c r="B428" i="1"/>
  <c r="J427" i="1"/>
  <c r="E427" i="1" s="1"/>
  <c r="H427" i="1"/>
  <c r="F427" i="1"/>
  <c r="B427" i="1"/>
  <c r="J426" i="1"/>
  <c r="E426" i="1" s="1"/>
  <c r="H426" i="1"/>
  <c r="F426" i="1"/>
  <c r="B426" i="1"/>
  <c r="J425" i="1"/>
  <c r="G425" i="1"/>
  <c r="E425" i="1"/>
  <c r="B425" i="1"/>
  <c r="J424" i="1"/>
  <c r="G424" i="1"/>
  <c r="E424" i="1"/>
  <c r="B424" i="1"/>
  <c r="J423" i="1"/>
  <c r="G423" i="1"/>
  <c r="E423" i="1"/>
  <c r="B423" i="1"/>
  <c r="J422" i="1"/>
  <c r="E422" i="1"/>
  <c r="E421" i="1"/>
  <c r="H420" i="1"/>
  <c r="G420" i="1"/>
  <c r="F420" i="1"/>
  <c r="E420" i="1"/>
  <c r="B420" i="1"/>
  <c r="H419" i="1"/>
  <c r="G419" i="1"/>
  <c r="F419" i="1"/>
  <c r="E419" i="1"/>
  <c r="B419" i="1"/>
  <c r="H418" i="1"/>
  <c r="G418" i="1"/>
  <c r="F418" i="1"/>
  <c r="E418" i="1"/>
  <c r="B418" i="1"/>
  <c r="H417" i="1"/>
  <c r="G417" i="1"/>
  <c r="F417" i="1"/>
  <c r="E417" i="1"/>
  <c r="B417" i="1"/>
  <c r="H416" i="1"/>
  <c r="G416" i="1"/>
  <c r="F416" i="1"/>
  <c r="E416" i="1"/>
  <c r="B416" i="1"/>
  <c r="J415" i="1"/>
  <c r="H415" i="1"/>
  <c r="G415" i="1"/>
  <c r="F415" i="1"/>
  <c r="E415" i="1"/>
  <c r="B415" i="1"/>
  <c r="J414" i="1"/>
  <c r="G414" i="1" s="1"/>
  <c r="H414" i="1"/>
  <c r="F414" i="1"/>
  <c r="B414" i="1"/>
  <c r="J413" i="1"/>
  <c r="G413" i="1" s="1"/>
  <c r="H413" i="1"/>
  <c r="F413" i="1"/>
  <c r="B413" i="1"/>
  <c r="J412" i="1"/>
  <c r="G412" i="1" s="1"/>
  <c r="H412" i="1"/>
  <c r="F412" i="1"/>
  <c r="B412" i="1"/>
  <c r="J411" i="1"/>
  <c r="E411" i="1" s="1"/>
  <c r="H411" i="1"/>
  <c r="F411" i="1"/>
  <c r="B411" i="1"/>
  <c r="J410" i="1"/>
  <c r="G410" i="1" s="1"/>
  <c r="H410" i="1"/>
  <c r="F410" i="1"/>
  <c r="B410" i="1"/>
  <c r="J409" i="1"/>
  <c r="G409" i="1" s="1"/>
  <c r="H409" i="1"/>
  <c r="F409" i="1"/>
  <c r="B409" i="1"/>
  <c r="J408" i="1"/>
  <c r="G408" i="1" s="1"/>
  <c r="H408" i="1"/>
  <c r="F408" i="1"/>
  <c r="B408" i="1"/>
  <c r="J407" i="1"/>
  <c r="G407" i="1" s="1"/>
  <c r="H407" i="1"/>
  <c r="F407" i="1"/>
  <c r="B407" i="1"/>
  <c r="J406" i="1"/>
  <c r="G406" i="1" s="1"/>
  <c r="H406" i="1"/>
  <c r="F406" i="1"/>
  <c r="B406" i="1"/>
  <c r="J405" i="1"/>
  <c r="G405" i="1" s="1"/>
  <c r="H405" i="1"/>
  <c r="F405" i="1"/>
  <c r="B405" i="1"/>
  <c r="J404" i="1"/>
  <c r="G404" i="1" s="1"/>
  <c r="H404" i="1"/>
  <c r="F404" i="1"/>
  <c r="B404" i="1"/>
  <c r="J403" i="1"/>
  <c r="E403" i="1" s="1"/>
  <c r="H403" i="1"/>
  <c r="F403" i="1"/>
  <c r="B403" i="1"/>
  <c r="H402" i="1"/>
  <c r="G402" i="1"/>
  <c r="F402" i="1"/>
  <c r="E402" i="1"/>
  <c r="B402" i="1"/>
  <c r="H401" i="1"/>
  <c r="G401" i="1"/>
  <c r="F401" i="1"/>
  <c r="E401" i="1"/>
  <c r="B401" i="1"/>
  <c r="J400" i="1"/>
  <c r="G400" i="1" s="1"/>
  <c r="H400" i="1"/>
  <c r="F400" i="1"/>
  <c r="B400" i="1"/>
  <c r="J399" i="1"/>
  <c r="G399" i="1" s="1"/>
  <c r="H399" i="1"/>
  <c r="F399" i="1"/>
  <c r="B399" i="1"/>
  <c r="J398" i="1"/>
  <c r="E398" i="1" s="1"/>
  <c r="H398" i="1"/>
  <c r="G398" i="1"/>
  <c r="F398" i="1"/>
  <c r="B398" i="1"/>
  <c r="J397" i="1"/>
  <c r="G397" i="1" s="1"/>
  <c r="H397" i="1"/>
  <c r="F397" i="1"/>
  <c r="B397" i="1"/>
  <c r="J396" i="1"/>
  <c r="G396" i="1" s="1"/>
  <c r="H396" i="1"/>
  <c r="F396" i="1"/>
  <c r="E396" i="1"/>
  <c r="B396" i="1"/>
  <c r="J395" i="1"/>
  <c r="G395" i="1" s="1"/>
  <c r="H395" i="1"/>
  <c r="F395" i="1"/>
  <c r="B395" i="1"/>
  <c r="J394" i="1"/>
  <c r="G394" i="1" s="1"/>
  <c r="H394" i="1"/>
  <c r="F394" i="1"/>
  <c r="E394" i="1"/>
  <c r="B394" i="1"/>
  <c r="J393" i="1"/>
  <c r="G393" i="1" s="1"/>
  <c r="H393" i="1"/>
  <c r="F393" i="1"/>
  <c r="B393" i="1"/>
  <c r="J392" i="1"/>
  <c r="E392" i="1" s="1"/>
  <c r="H392" i="1"/>
  <c r="F392" i="1"/>
  <c r="B392" i="1"/>
  <c r="J391" i="1"/>
  <c r="G391" i="1" s="1"/>
  <c r="H391" i="1"/>
  <c r="F391" i="1"/>
  <c r="B391" i="1"/>
  <c r="J390" i="1"/>
  <c r="G390" i="1" s="1"/>
  <c r="H390" i="1"/>
  <c r="F390" i="1"/>
  <c r="E390" i="1"/>
  <c r="B390" i="1"/>
  <c r="J389" i="1"/>
  <c r="G389" i="1" s="1"/>
  <c r="H389" i="1"/>
  <c r="F389" i="1"/>
  <c r="B389" i="1"/>
  <c r="J388" i="1"/>
  <c r="G388" i="1" s="1"/>
  <c r="H388" i="1"/>
  <c r="F388" i="1"/>
  <c r="B388" i="1"/>
  <c r="J387" i="1"/>
  <c r="G387" i="1" s="1"/>
  <c r="H387" i="1"/>
  <c r="F387" i="1"/>
  <c r="B387" i="1"/>
  <c r="J386" i="1"/>
  <c r="G386" i="1" s="1"/>
  <c r="H386" i="1"/>
  <c r="F386" i="1"/>
  <c r="B386" i="1"/>
  <c r="J385" i="1"/>
  <c r="G385" i="1" s="1"/>
  <c r="H385" i="1"/>
  <c r="F385" i="1"/>
  <c r="B385" i="1"/>
  <c r="J384" i="1"/>
  <c r="G384" i="1" s="1"/>
  <c r="H384" i="1"/>
  <c r="F384" i="1"/>
  <c r="B384" i="1"/>
  <c r="J383" i="1"/>
  <c r="G383" i="1" s="1"/>
  <c r="H383" i="1"/>
  <c r="F383" i="1"/>
  <c r="B383" i="1"/>
  <c r="J382" i="1"/>
  <c r="G382" i="1" s="1"/>
  <c r="H382" i="1"/>
  <c r="F382" i="1"/>
  <c r="B382" i="1"/>
  <c r="J381" i="1"/>
  <c r="G381" i="1" s="1"/>
  <c r="H381" i="1"/>
  <c r="F381" i="1"/>
  <c r="B381" i="1"/>
  <c r="J380" i="1"/>
  <c r="G380" i="1" s="1"/>
  <c r="H380" i="1"/>
  <c r="F380" i="1"/>
  <c r="B380" i="1"/>
  <c r="J379" i="1"/>
  <c r="G379" i="1" s="1"/>
  <c r="H379" i="1"/>
  <c r="F379" i="1"/>
  <c r="B379" i="1"/>
  <c r="J378" i="1"/>
  <c r="G378" i="1" s="1"/>
  <c r="H378" i="1"/>
  <c r="F378" i="1"/>
  <c r="B378" i="1"/>
  <c r="J377" i="1"/>
  <c r="G377" i="1" s="1"/>
  <c r="H377" i="1"/>
  <c r="F377" i="1"/>
  <c r="B377" i="1"/>
  <c r="J376" i="1"/>
  <c r="E376" i="1" s="1"/>
  <c r="H376" i="1"/>
  <c r="F376" i="1"/>
  <c r="B376" i="1"/>
  <c r="J375" i="1"/>
  <c r="G375" i="1" s="1"/>
  <c r="H375" i="1"/>
  <c r="F375" i="1"/>
  <c r="B375" i="1"/>
  <c r="J374" i="1"/>
  <c r="G374" i="1" s="1"/>
  <c r="H374" i="1"/>
  <c r="F374" i="1"/>
  <c r="E374" i="1"/>
  <c r="B374" i="1"/>
  <c r="J373" i="1"/>
  <c r="G373" i="1" s="1"/>
  <c r="H373" i="1"/>
  <c r="F373" i="1"/>
  <c r="B373" i="1"/>
  <c r="J372" i="1"/>
  <c r="E372" i="1" s="1"/>
  <c r="H372" i="1"/>
  <c r="F372" i="1"/>
  <c r="B372" i="1"/>
  <c r="J371" i="1"/>
  <c r="G371" i="1" s="1"/>
  <c r="H371" i="1"/>
  <c r="F371" i="1"/>
  <c r="B371" i="1"/>
  <c r="J370" i="1"/>
  <c r="G370" i="1" s="1"/>
  <c r="H370" i="1"/>
  <c r="F370" i="1"/>
  <c r="B370" i="1"/>
  <c r="J369" i="1"/>
  <c r="G369" i="1" s="1"/>
  <c r="H369" i="1"/>
  <c r="F369" i="1"/>
  <c r="B369" i="1"/>
  <c r="J368" i="1"/>
  <c r="G368" i="1" s="1"/>
  <c r="H368" i="1"/>
  <c r="F368" i="1"/>
  <c r="B368" i="1"/>
  <c r="J367" i="1"/>
  <c r="G367" i="1" s="1"/>
  <c r="H367" i="1"/>
  <c r="F367" i="1"/>
  <c r="B367" i="1"/>
  <c r="J366" i="1"/>
  <c r="G366" i="1" s="1"/>
  <c r="H366" i="1"/>
  <c r="F366" i="1"/>
  <c r="E366" i="1"/>
  <c r="B366" i="1"/>
  <c r="J365" i="1"/>
  <c r="G365" i="1" s="1"/>
  <c r="H365" i="1"/>
  <c r="F365" i="1"/>
  <c r="B365" i="1"/>
  <c r="J364" i="1"/>
  <c r="E364" i="1" s="1"/>
  <c r="H364" i="1"/>
  <c r="F364" i="1"/>
  <c r="B364" i="1"/>
  <c r="J363" i="1"/>
  <c r="G363" i="1" s="1"/>
  <c r="H363" i="1"/>
  <c r="F363" i="1"/>
  <c r="B363" i="1"/>
  <c r="J362" i="1"/>
  <c r="G362" i="1" s="1"/>
  <c r="H362" i="1"/>
  <c r="F362" i="1"/>
  <c r="B362" i="1"/>
  <c r="J361" i="1"/>
  <c r="G361" i="1" s="1"/>
  <c r="H361" i="1"/>
  <c r="F361" i="1"/>
  <c r="B361" i="1"/>
  <c r="J360" i="1"/>
  <c r="G360" i="1"/>
  <c r="E360" i="1"/>
  <c r="B360" i="1"/>
  <c r="J359" i="1"/>
  <c r="G359" i="1"/>
  <c r="E359" i="1"/>
  <c r="B359" i="1"/>
  <c r="J358" i="1"/>
  <c r="G358" i="1"/>
  <c r="E358" i="1"/>
  <c r="B358" i="1"/>
  <c r="G465" i="1" l="1"/>
  <c r="E453" i="1"/>
  <c r="E502" i="1"/>
  <c r="E539" i="1"/>
  <c r="G468" i="1"/>
  <c r="E388" i="1"/>
  <c r="E409" i="1"/>
  <c r="E437" i="1"/>
  <c r="E510" i="1"/>
  <c r="E370" i="1"/>
  <c r="E378" i="1"/>
  <c r="E389" i="1"/>
  <c r="E429" i="1"/>
  <c r="E457" i="1"/>
  <c r="E530" i="1"/>
  <c r="E537" i="1"/>
  <c r="E445" i="1"/>
  <c r="E365" i="1"/>
  <c r="E380" i="1"/>
  <c r="E404" i="1"/>
  <c r="E413" i="1"/>
  <c r="E441" i="1"/>
  <c r="E449" i="1"/>
  <c r="G476" i="1"/>
  <c r="G545" i="1"/>
  <c r="G372" i="1"/>
  <c r="E373" i="1"/>
  <c r="E385" i="1"/>
  <c r="E408" i="1"/>
  <c r="E443" i="1"/>
  <c r="E472" i="1"/>
  <c r="E541" i="1"/>
  <c r="E407" i="1"/>
  <c r="E480" i="1"/>
  <c r="E369" i="1"/>
  <c r="E393" i="1"/>
  <c r="E397" i="1"/>
  <c r="E412" i="1"/>
  <c r="E435" i="1"/>
  <c r="E520" i="1"/>
  <c r="E547" i="1"/>
  <c r="G364" i="1"/>
  <c r="E508" i="1"/>
  <c r="E543" i="1"/>
  <c r="E382" i="1"/>
  <c r="E377" i="1"/>
  <c r="E381" i="1"/>
  <c r="E386" i="1"/>
  <c r="E405" i="1"/>
  <c r="E459" i="1"/>
  <c r="E528" i="1"/>
  <c r="E400" i="1"/>
  <c r="E447" i="1"/>
  <c r="E496" i="1"/>
  <c r="E512" i="1"/>
  <c r="E516" i="1"/>
  <c r="E371" i="1"/>
  <c r="E379" i="1"/>
  <c r="E387" i="1"/>
  <c r="E395" i="1"/>
  <c r="E406" i="1"/>
  <c r="E414" i="1"/>
  <c r="E532" i="1"/>
  <c r="E384" i="1"/>
  <c r="E431" i="1"/>
  <c r="E463" i="1"/>
  <c r="E478" i="1"/>
  <c r="E504" i="1"/>
  <c r="G376" i="1"/>
  <c r="G392" i="1"/>
  <c r="G403" i="1"/>
  <c r="G411" i="1"/>
  <c r="G427" i="1"/>
  <c r="G439" i="1"/>
  <c r="G451" i="1"/>
  <c r="G455" i="1"/>
  <c r="G470" i="1"/>
  <c r="G474" i="1"/>
  <c r="G492" i="1"/>
  <c r="G500" i="1"/>
  <c r="E362" i="1"/>
  <c r="E368" i="1"/>
  <c r="E361" i="1"/>
  <c r="E367" i="1"/>
  <c r="E375" i="1"/>
  <c r="E383" i="1"/>
  <c r="E391" i="1"/>
  <c r="E399" i="1"/>
  <c r="E410" i="1"/>
  <c r="E538" i="1"/>
  <c r="E430" i="1"/>
  <c r="E438" i="1"/>
  <c r="E440" i="1"/>
  <c r="E444" i="1"/>
  <c r="E446" i="1"/>
  <c r="E450" i="1"/>
  <c r="E452" i="1"/>
  <c r="E454" i="1"/>
  <c r="E456" i="1"/>
  <c r="E462" i="1"/>
  <c r="E469" i="1"/>
  <c r="E475" i="1"/>
  <c r="E479" i="1"/>
  <c r="E495" i="1"/>
  <c r="E501" i="1"/>
  <c r="E509" i="1"/>
  <c r="E428" i="1"/>
  <c r="E434" i="1"/>
  <c r="E436" i="1"/>
  <c r="E448" i="1"/>
  <c r="E458" i="1"/>
  <c r="E460" i="1"/>
  <c r="E464" i="1"/>
  <c r="E471" i="1"/>
  <c r="E473" i="1"/>
  <c r="E477" i="1"/>
  <c r="E491" i="1"/>
  <c r="E497" i="1"/>
  <c r="E499" i="1"/>
  <c r="E503" i="1"/>
  <c r="E507" i="1"/>
  <c r="E513" i="1"/>
  <c r="E517" i="1"/>
  <c r="E519" i="1"/>
  <c r="E523" i="1"/>
  <c r="E525" i="1"/>
  <c r="E527" i="1"/>
  <c r="E534" i="1"/>
  <c r="E536" i="1"/>
  <c r="E540" i="1"/>
  <c r="E542" i="1"/>
  <c r="E544" i="1"/>
  <c r="E546" i="1"/>
  <c r="G432" i="1"/>
  <c r="G442" i="1"/>
  <c r="G493" i="1"/>
  <c r="G505" i="1"/>
  <c r="G511" i="1"/>
  <c r="G515" i="1"/>
  <c r="G521" i="1"/>
  <c r="G529" i="1"/>
  <c r="G548" i="1"/>
  <c r="E363" i="1"/>
  <c r="E357" i="1" l="1"/>
  <c r="J356" i="1"/>
  <c r="E356" i="1"/>
  <c r="H355" i="1"/>
  <c r="G355" i="1"/>
  <c r="F355" i="1"/>
  <c r="E355" i="1"/>
  <c r="B355" i="1"/>
  <c r="H354" i="1"/>
  <c r="G354" i="1"/>
  <c r="F354" i="1"/>
  <c r="E354" i="1"/>
  <c r="B354" i="1"/>
  <c r="H353" i="1"/>
  <c r="G353" i="1"/>
  <c r="F353" i="1"/>
  <c r="E353" i="1"/>
  <c r="B353" i="1"/>
  <c r="H352" i="1"/>
  <c r="G352" i="1"/>
  <c r="F352" i="1"/>
  <c r="E352" i="1"/>
  <c r="B352" i="1"/>
  <c r="H351" i="1"/>
  <c r="G351" i="1"/>
  <c r="F351" i="1"/>
  <c r="E351" i="1"/>
  <c r="B351" i="1"/>
  <c r="J350" i="1"/>
  <c r="G350" i="1" s="1"/>
  <c r="H350" i="1"/>
  <c r="F350" i="1"/>
  <c r="B350" i="1"/>
  <c r="J349" i="1"/>
  <c r="G349" i="1" s="1"/>
  <c r="H349" i="1"/>
  <c r="F349" i="1"/>
  <c r="E349" i="1"/>
  <c r="B349" i="1"/>
  <c r="J348" i="1"/>
  <c r="G348" i="1" s="1"/>
  <c r="H348" i="1"/>
  <c r="F348" i="1"/>
  <c r="B348" i="1"/>
  <c r="J347" i="1"/>
  <c r="G347" i="1"/>
  <c r="E347" i="1"/>
  <c r="B347" i="1"/>
  <c r="E346" i="1"/>
  <c r="J345" i="1"/>
  <c r="G345" i="1" s="1"/>
  <c r="H345" i="1"/>
  <c r="F345" i="1"/>
  <c r="B345" i="1"/>
  <c r="H344" i="1"/>
  <c r="G344" i="1"/>
  <c r="F344" i="1"/>
  <c r="E344" i="1"/>
  <c r="B344" i="1"/>
  <c r="H343" i="1"/>
  <c r="G343" i="1"/>
  <c r="F343" i="1"/>
  <c r="E343" i="1"/>
  <c r="B343" i="1"/>
  <c r="H342" i="1"/>
  <c r="G342" i="1"/>
  <c r="F342" i="1"/>
  <c r="E342" i="1"/>
  <c r="B342" i="1"/>
  <c r="H341" i="1"/>
  <c r="G341" i="1"/>
  <c r="F341" i="1"/>
  <c r="E341" i="1"/>
  <c r="B341" i="1"/>
  <c r="H340" i="1"/>
  <c r="G340" i="1"/>
  <c r="F340" i="1"/>
  <c r="E340" i="1"/>
  <c r="B340" i="1"/>
  <c r="H339" i="1"/>
  <c r="G339" i="1"/>
  <c r="F339" i="1"/>
  <c r="E339" i="1"/>
  <c r="B339" i="1"/>
  <c r="H338" i="1"/>
  <c r="G338" i="1"/>
  <c r="F338" i="1"/>
  <c r="E338" i="1"/>
  <c r="B338" i="1"/>
  <c r="H337" i="1"/>
  <c r="G337" i="1"/>
  <c r="F337" i="1"/>
  <c r="E337" i="1"/>
  <c r="B337" i="1"/>
  <c r="H336" i="1"/>
  <c r="G336" i="1"/>
  <c r="F336" i="1"/>
  <c r="E336" i="1"/>
  <c r="B336" i="1"/>
  <c r="H335" i="1"/>
  <c r="G335" i="1"/>
  <c r="F335" i="1"/>
  <c r="E335" i="1"/>
  <c r="B335" i="1"/>
  <c r="H334" i="1"/>
  <c r="G334" i="1"/>
  <c r="F334" i="1"/>
  <c r="E334" i="1"/>
  <c r="B334" i="1"/>
  <c r="H333" i="1"/>
  <c r="G333" i="1"/>
  <c r="F333" i="1"/>
  <c r="E333" i="1"/>
  <c r="B333" i="1"/>
  <c r="H332" i="1"/>
  <c r="G332" i="1"/>
  <c r="F332" i="1"/>
  <c r="E332" i="1"/>
  <c r="B332" i="1"/>
  <c r="H331" i="1"/>
  <c r="G331" i="1"/>
  <c r="F331" i="1"/>
  <c r="E331" i="1"/>
  <c r="B331" i="1"/>
  <c r="H330" i="1"/>
  <c r="G330" i="1"/>
  <c r="F330" i="1"/>
  <c r="E330" i="1"/>
  <c r="B330" i="1"/>
  <c r="H329" i="1"/>
  <c r="G329" i="1"/>
  <c r="F329" i="1"/>
  <c r="E329" i="1"/>
  <c r="B329" i="1"/>
  <c r="H328" i="1"/>
  <c r="G328" i="1"/>
  <c r="F328" i="1"/>
  <c r="E328" i="1"/>
  <c r="B328" i="1"/>
  <c r="H327" i="1"/>
  <c r="G327" i="1"/>
  <c r="F327" i="1"/>
  <c r="E327" i="1"/>
  <c r="B327" i="1"/>
  <c r="H326" i="1"/>
  <c r="G326" i="1"/>
  <c r="F326" i="1"/>
  <c r="E326" i="1"/>
  <c r="B326" i="1"/>
  <c r="H325" i="1"/>
  <c r="G325" i="1"/>
  <c r="F325" i="1"/>
  <c r="E325" i="1"/>
  <c r="B325" i="1"/>
  <c r="H324" i="1"/>
  <c r="G324" i="1"/>
  <c r="F324" i="1"/>
  <c r="E324" i="1"/>
  <c r="B324" i="1"/>
  <c r="H323" i="1"/>
  <c r="G323" i="1"/>
  <c r="F323" i="1"/>
  <c r="E323" i="1"/>
  <c r="B323" i="1"/>
  <c r="H322" i="1"/>
  <c r="G322" i="1"/>
  <c r="F322" i="1"/>
  <c r="E322" i="1"/>
  <c r="B322" i="1"/>
  <c r="H321" i="1"/>
  <c r="G321" i="1"/>
  <c r="F321" i="1"/>
  <c r="E321" i="1"/>
  <c r="B321" i="1"/>
  <c r="H320" i="1"/>
  <c r="G320" i="1"/>
  <c r="F320" i="1"/>
  <c r="E320" i="1"/>
  <c r="B320" i="1"/>
  <c r="H319" i="1"/>
  <c r="G319" i="1"/>
  <c r="F319" i="1"/>
  <c r="E319" i="1"/>
  <c r="B319" i="1"/>
  <c r="H318" i="1"/>
  <c r="G318" i="1"/>
  <c r="F318" i="1"/>
  <c r="E318" i="1"/>
  <c r="B318" i="1"/>
  <c r="J317" i="1"/>
  <c r="G317" i="1" s="1"/>
  <c r="H317" i="1"/>
  <c r="F317" i="1"/>
  <c r="E317" i="1"/>
  <c r="B317" i="1"/>
  <c r="J316" i="1"/>
  <c r="G316" i="1" s="1"/>
  <c r="H316" i="1"/>
  <c r="F316" i="1"/>
  <c r="B316" i="1"/>
  <c r="J315" i="1"/>
  <c r="G315" i="1" s="1"/>
  <c r="H315" i="1"/>
  <c r="F315" i="1"/>
  <c r="B315" i="1"/>
  <c r="J314" i="1"/>
  <c r="G314" i="1" s="1"/>
  <c r="H314" i="1"/>
  <c r="F314" i="1"/>
  <c r="B314" i="1"/>
  <c r="J313" i="1"/>
  <c r="G313" i="1" s="1"/>
  <c r="H313" i="1"/>
  <c r="F313" i="1"/>
  <c r="B313" i="1"/>
  <c r="J312" i="1"/>
  <c r="G312" i="1" s="1"/>
  <c r="H312" i="1"/>
  <c r="F312" i="1"/>
  <c r="B312" i="1"/>
  <c r="J311" i="1"/>
  <c r="G311" i="1" s="1"/>
  <c r="H311" i="1"/>
  <c r="F311" i="1"/>
  <c r="B311" i="1"/>
  <c r="J310" i="1"/>
  <c r="G310" i="1" s="1"/>
  <c r="H310" i="1"/>
  <c r="F310" i="1"/>
  <c r="E310" i="1"/>
  <c r="B310" i="1"/>
  <c r="J309" i="1"/>
  <c r="G309" i="1" s="1"/>
  <c r="H309" i="1"/>
  <c r="F309" i="1"/>
  <c r="B309" i="1"/>
  <c r="J308" i="1"/>
  <c r="G308" i="1" s="1"/>
  <c r="H308" i="1"/>
  <c r="F308" i="1"/>
  <c r="E308" i="1"/>
  <c r="B308" i="1"/>
  <c r="J307" i="1"/>
  <c r="G307" i="1" s="1"/>
  <c r="H307" i="1"/>
  <c r="F307" i="1"/>
  <c r="B307" i="1"/>
  <c r="J306" i="1"/>
  <c r="G306" i="1" s="1"/>
  <c r="H306" i="1"/>
  <c r="F306" i="1"/>
  <c r="B306" i="1"/>
  <c r="J305" i="1"/>
  <c r="G305" i="1" s="1"/>
  <c r="H305" i="1"/>
  <c r="F305" i="1"/>
  <c r="B305" i="1"/>
  <c r="J304" i="1"/>
  <c r="G304" i="1" s="1"/>
  <c r="H304" i="1"/>
  <c r="F304" i="1"/>
  <c r="B304" i="1"/>
  <c r="J303" i="1"/>
  <c r="G303" i="1" s="1"/>
  <c r="H303" i="1"/>
  <c r="F303" i="1"/>
  <c r="B303" i="1"/>
  <c r="J302" i="1"/>
  <c r="G302" i="1" s="1"/>
  <c r="H302" i="1"/>
  <c r="F302" i="1"/>
  <c r="B302" i="1"/>
  <c r="J301" i="1"/>
  <c r="G301" i="1" s="1"/>
  <c r="H301" i="1"/>
  <c r="F301" i="1"/>
  <c r="B301" i="1"/>
  <c r="J300" i="1"/>
  <c r="G300" i="1" s="1"/>
  <c r="H300" i="1"/>
  <c r="F300" i="1"/>
  <c r="B300" i="1"/>
  <c r="J299" i="1"/>
  <c r="G299" i="1" s="1"/>
  <c r="H299" i="1"/>
  <c r="F299" i="1"/>
  <c r="B299" i="1"/>
  <c r="J298" i="1"/>
  <c r="G298" i="1" s="1"/>
  <c r="H298" i="1"/>
  <c r="F298" i="1"/>
  <c r="E298" i="1"/>
  <c r="B298" i="1"/>
  <c r="J297" i="1"/>
  <c r="G297" i="1" s="1"/>
  <c r="H297" i="1"/>
  <c r="F297" i="1"/>
  <c r="B297" i="1"/>
  <c r="J296" i="1"/>
  <c r="G296" i="1" s="1"/>
  <c r="H296" i="1"/>
  <c r="F296" i="1"/>
  <c r="B296" i="1"/>
  <c r="J295" i="1"/>
  <c r="G295" i="1" s="1"/>
  <c r="H295" i="1"/>
  <c r="F295" i="1"/>
  <c r="B295" i="1"/>
  <c r="J294" i="1"/>
  <c r="G294" i="1" s="1"/>
  <c r="H294" i="1"/>
  <c r="F294" i="1"/>
  <c r="B294" i="1"/>
  <c r="J293" i="1"/>
  <c r="G293" i="1" s="1"/>
  <c r="H293" i="1"/>
  <c r="F293" i="1"/>
  <c r="B293" i="1"/>
  <c r="J292" i="1"/>
  <c r="G292" i="1" s="1"/>
  <c r="H292" i="1"/>
  <c r="F292" i="1"/>
  <c r="B292" i="1"/>
  <c r="J291" i="1"/>
  <c r="G291" i="1" s="1"/>
  <c r="H291" i="1"/>
  <c r="F291" i="1"/>
  <c r="B291" i="1"/>
  <c r="J290" i="1"/>
  <c r="G290" i="1" s="1"/>
  <c r="H290" i="1"/>
  <c r="F290" i="1"/>
  <c r="B290" i="1"/>
  <c r="J289" i="1"/>
  <c r="G289" i="1" s="1"/>
  <c r="H289" i="1"/>
  <c r="F289" i="1"/>
  <c r="B289" i="1"/>
  <c r="J288" i="1"/>
  <c r="E288" i="1" s="1"/>
  <c r="H288" i="1"/>
  <c r="F288" i="1"/>
  <c r="B288" i="1"/>
  <c r="J287" i="1"/>
  <c r="G287" i="1" s="1"/>
  <c r="H287" i="1"/>
  <c r="F287" i="1"/>
  <c r="B287" i="1"/>
  <c r="J286" i="1"/>
  <c r="G286" i="1" s="1"/>
  <c r="H286" i="1"/>
  <c r="F286" i="1"/>
  <c r="B286" i="1"/>
  <c r="J285" i="1"/>
  <c r="G285" i="1" s="1"/>
  <c r="H285" i="1"/>
  <c r="F285" i="1"/>
  <c r="B285" i="1"/>
  <c r="J284" i="1"/>
  <c r="G284" i="1" s="1"/>
  <c r="H284" i="1"/>
  <c r="F284" i="1"/>
  <c r="E284" i="1"/>
  <c r="B284" i="1"/>
  <c r="J283" i="1"/>
  <c r="G283" i="1" s="1"/>
  <c r="H283" i="1"/>
  <c r="F283" i="1"/>
  <c r="B283" i="1"/>
  <c r="J282" i="1"/>
  <c r="G282" i="1" s="1"/>
  <c r="H282" i="1"/>
  <c r="F282" i="1"/>
  <c r="B282" i="1"/>
  <c r="J281" i="1"/>
  <c r="G281" i="1" s="1"/>
  <c r="H281" i="1"/>
  <c r="F281" i="1"/>
  <c r="B281" i="1"/>
  <c r="J280" i="1"/>
  <c r="G280" i="1" s="1"/>
  <c r="H280" i="1"/>
  <c r="F280" i="1"/>
  <c r="B280" i="1"/>
  <c r="J279" i="1"/>
  <c r="G279" i="1" s="1"/>
  <c r="H279" i="1"/>
  <c r="F279" i="1"/>
  <c r="B279" i="1"/>
  <c r="J278" i="1"/>
  <c r="G278" i="1" s="1"/>
  <c r="H278" i="1"/>
  <c r="F278" i="1"/>
  <c r="E278" i="1"/>
  <c r="B278" i="1"/>
  <c r="J277" i="1"/>
  <c r="G277" i="1"/>
  <c r="E277" i="1"/>
  <c r="B277" i="1"/>
  <c r="J276" i="1"/>
  <c r="G276" i="1"/>
  <c r="E276" i="1"/>
  <c r="B276" i="1"/>
  <c r="J275" i="1"/>
  <c r="G275" i="1"/>
  <c r="E275" i="1"/>
  <c r="B275" i="1"/>
  <c r="J274" i="1"/>
  <c r="E274" i="1"/>
  <c r="J273" i="1"/>
  <c r="E273" i="1"/>
  <c r="J272" i="1"/>
  <c r="E272" i="1" s="1"/>
  <c r="H272" i="1"/>
  <c r="F272" i="1"/>
  <c r="B272" i="1"/>
  <c r="J271" i="1"/>
  <c r="G271" i="1" s="1"/>
  <c r="H271" i="1"/>
  <c r="F271" i="1"/>
  <c r="B271" i="1"/>
  <c r="J270" i="1"/>
  <c r="G270" i="1" s="1"/>
  <c r="H270" i="1"/>
  <c r="F270" i="1"/>
  <c r="E270" i="1"/>
  <c r="B270" i="1"/>
  <c r="J269" i="1"/>
  <c r="G269" i="1" s="1"/>
  <c r="H269" i="1"/>
  <c r="F269" i="1"/>
  <c r="B269" i="1"/>
  <c r="J268" i="1"/>
  <c r="G268" i="1" s="1"/>
  <c r="H268" i="1"/>
  <c r="F268" i="1"/>
  <c r="B268" i="1"/>
  <c r="J267" i="1"/>
  <c r="G267" i="1" s="1"/>
  <c r="H267" i="1"/>
  <c r="F267" i="1"/>
  <c r="B267" i="1"/>
  <c r="J266" i="1"/>
  <c r="G266" i="1" s="1"/>
  <c r="H266" i="1"/>
  <c r="F266" i="1"/>
  <c r="B266" i="1"/>
  <c r="J265" i="1"/>
  <c r="G265" i="1" s="1"/>
  <c r="H265" i="1"/>
  <c r="F265" i="1"/>
  <c r="B265" i="1"/>
  <c r="J264" i="1"/>
  <c r="G264" i="1" s="1"/>
  <c r="H264" i="1"/>
  <c r="F264" i="1"/>
  <c r="B264" i="1"/>
  <c r="J263" i="1"/>
  <c r="G263" i="1" s="1"/>
  <c r="H263" i="1"/>
  <c r="F263" i="1"/>
  <c r="B263" i="1"/>
  <c r="J262" i="1"/>
  <c r="G262" i="1" s="1"/>
  <c r="H262" i="1"/>
  <c r="F262" i="1"/>
  <c r="E262" i="1"/>
  <c r="B262" i="1"/>
  <c r="J261" i="1"/>
  <c r="G261" i="1" s="1"/>
  <c r="H261" i="1"/>
  <c r="F261" i="1"/>
  <c r="E261" i="1"/>
  <c r="B261" i="1"/>
  <c r="J260" i="1"/>
  <c r="G260" i="1" s="1"/>
  <c r="H260" i="1"/>
  <c r="F260" i="1"/>
  <c r="E260" i="1"/>
  <c r="B260" i="1"/>
  <c r="J259" i="1"/>
  <c r="G259" i="1" s="1"/>
  <c r="H259" i="1"/>
  <c r="F259" i="1"/>
  <c r="B259" i="1"/>
  <c r="J258" i="1"/>
  <c r="G258" i="1" s="1"/>
  <c r="H258" i="1"/>
  <c r="F258" i="1"/>
  <c r="B258" i="1"/>
  <c r="J257" i="1"/>
  <c r="G257" i="1" s="1"/>
  <c r="H257" i="1"/>
  <c r="F257" i="1"/>
  <c r="B257" i="1"/>
  <c r="J256" i="1"/>
  <c r="G256" i="1" s="1"/>
  <c r="H256" i="1"/>
  <c r="F256" i="1"/>
  <c r="B256" i="1"/>
  <c r="J255" i="1"/>
  <c r="G255" i="1" s="1"/>
  <c r="H255" i="1"/>
  <c r="F255" i="1"/>
  <c r="B255" i="1"/>
  <c r="J254" i="1"/>
  <c r="E254" i="1" s="1"/>
  <c r="H254" i="1"/>
  <c r="F254" i="1"/>
  <c r="B254" i="1"/>
  <c r="J253" i="1"/>
  <c r="G253" i="1" s="1"/>
  <c r="H253" i="1"/>
  <c r="F253" i="1"/>
  <c r="B253" i="1"/>
  <c r="J252" i="1"/>
  <c r="G252" i="1" s="1"/>
  <c r="H252" i="1"/>
  <c r="F252" i="1"/>
  <c r="B252" i="1"/>
  <c r="J251" i="1"/>
  <c r="G251" i="1" s="1"/>
  <c r="H251" i="1"/>
  <c r="F251" i="1"/>
  <c r="B251" i="1"/>
  <c r="J250" i="1"/>
  <c r="G250" i="1" s="1"/>
  <c r="H250" i="1"/>
  <c r="F250" i="1"/>
  <c r="B250" i="1"/>
  <c r="J249" i="1"/>
  <c r="G249" i="1" s="1"/>
  <c r="H249" i="1"/>
  <c r="F249" i="1"/>
  <c r="B249" i="1"/>
  <c r="J248" i="1"/>
  <c r="G248" i="1" s="1"/>
  <c r="H248" i="1"/>
  <c r="F248" i="1"/>
  <c r="B248" i="1"/>
  <c r="J247" i="1"/>
  <c r="G247" i="1" s="1"/>
  <c r="H247" i="1"/>
  <c r="F247" i="1"/>
  <c r="B247" i="1"/>
  <c r="J246" i="1"/>
  <c r="G246" i="1" s="1"/>
  <c r="H246" i="1"/>
  <c r="F246" i="1"/>
  <c r="E246" i="1"/>
  <c r="B246" i="1"/>
  <c r="J245" i="1"/>
  <c r="G245" i="1"/>
  <c r="E245" i="1"/>
  <c r="B245" i="1"/>
  <c r="J244" i="1"/>
  <c r="G244" i="1"/>
  <c r="E244" i="1"/>
  <c r="B244" i="1"/>
  <c r="J243" i="1"/>
  <c r="G243" i="1"/>
  <c r="E243" i="1"/>
  <c r="B243" i="1"/>
  <c r="J242" i="1"/>
  <c r="E242" i="1"/>
  <c r="J241" i="1"/>
  <c r="E241" i="1"/>
  <c r="J240" i="1"/>
  <c r="G240" i="1" s="1"/>
  <c r="H240" i="1"/>
  <c r="F240" i="1"/>
  <c r="B240" i="1"/>
  <c r="J239" i="1"/>
  <c r="E239" i="1" s="1"/>
  <c r="H239" i="1"/>
  <c r="F239" i="1"/>
  <c r="B239" i="1"/>
  <c r="J238" i="1"/>
  <c r="G238" i="1" s="1"/>
  <c r="H238" i="1"/>
  <c r="F238" i="1"/>
  <c r="B238" i="1"/>
  <c r="J237" i="1"/>
  <c r="G237" i="1" s="1"/>
  <c r="H237" i="1"/>
  <c r="F237" i="1"/>
  <c r="B237" i="1"/>
  <c r="J236" i="1"/>
  <c r="G236" i="1" s="1"/>
  <c r="H236" i="1"/>
  <c r="F236" i="1"/>
  <c r="B236" i="1"/>
  <c r="J235" i="1"/>
  <c r="E235" i="1" s="1"/>
  <c r="H235" i="1"/>
  <c r="F235" i="1"/>
  <c r="B235" i="1"/>
  <c r="J234" i="1"/>
  <c r="G234" i="1" s="1"/>
  <c r="H234" i="1"/>
  <c r="F234" i="1"/>
  <c r="B234" i="1"/>
  <c r="J233" i="1"/>
  <c r="G233" i="1" s="1"/>
  <c r="H233" i="1"/>
  <c r="F233" i="1"/>
  <c r="E233" i="1"/>
  <c r="B233" i="1"/>
  <c r="J232" i="1"/>
  <c r="G232" i="1" s="1"/>
  <c r="H232" i="1"/>
  <c r="F232" i="1"/>
  <c r="B232" i="1"/>
  <c r="J231" i="1"/>
  <c r="G231" i="1" s="1"/>
  <c r="H231" i="1"/>
  <c r="F231" i="1"/>
  <c r="B231" i="1"/>
  <c r="J230" i="1"/>
  <c r="G230" i="1" s="1"/>
  <c r="H230" i="1"/>
  <c r="F230" i="1"/>
  <c r="B230" i="1"/>
  <c r="J229" i="1"/>
  <c r="G229" i="1" s="1"/>
  <c r="H229" i="1"/>
  <c r="F229" i="1"/>
  <c r="E229" i="1"/>
  <c r="B229" i="1"/>
  <c r="J228" i="1"/>
  <c r="G228" i="1" s="1"/>
  <c r="H228" i="1"/>
  <c r="F228" i="1"/>
  <c r="B228" i="1"/>
  <c r="J227" i="1"/>
  <c r="G227" i="1" s="1"/>
  <c r="H227" i="1"/>
  <c r="F227" i="1"/>
  <c r="B227" i="1"/>
  <c r="J226" i="1"/>
  <c r="H226" i="1"/>
  <c r="F226" i="1"/>
  <c r="B226" i="1"/>
  <c r="J225" i="1"/>
  <c r="E225" i="1" s="1"/>
  <c r="H225" i="1"/>
  <c r="F225" i="1"/>
  <c r="B225" i="1"/>
  <c r="J224" i="1"/>
  <c r="H224" i="1"/>
  <c r="F224" i="1"/>
  <c r="B224" i="1"/>
  <c r="J223" i="1"/>
  <c r="E223" i="1" s="1"/>
  <c r="H223" i="1"/>
  <c r="F223" i="1"/>
  <c r="B223" i="1"/>
  <c r="J222" i="1"/>
  <c r="H222" i="1"/>
  <c r="F222" i="1"/>
  <c r="B222" i="1"/>
  <c r="J221" i="1"/>
  <c r="E221" i="1" s="1"/>
  <c r="H221" i="1"/>
  <c r="F221" i="1"/>
  <c r="B221" i="1"/>
  <c r="J220" i="1"/>
  <c r="H220" i="1"/>
  <c r="F220" i="1"/>
  <c r="B220" i="1"/>
  <c r="J219" i="1"/>
  <c r="G219" i="1" s="1"/>
  <c r="H219" i="1"/>
  <c r="F219" i="1"/>
  <c r="B219" i="1"/>
  <c r="J218" i="1"/>
  <c r="G218" i="1" s="1"/>
  <c r="H218" i="1"/>
  <c r="F218" i="1"/>
  <c r="B218" i="1"/>
  <c r="J217" i="1"/>
  <c r="G217" i="1" s="1"/>
  <c r="H217" i="1"/>
  <c r="F217" i="1"/>
  <c r="E217" i="1"/>
  <c r="B217" i="1"/>
  <c r="J216" i="1"/>
  <c r="G216" i="1" s="1"/>
  <c r="H216" i="1"/>
  <c r="F216" i="1"/>
  <c r="B216" i="1"/>
  <c r="J215" i="1"/>
  <c r="H215" i="1"/>
  <c r="G215" i="1"/>
  <c r="F215" i="1"/>
  <c r="E215" i="1"/>
  <c r="B215" i="1"/>
  <c r="J214" i="1"/>
  <c r="G214" i="1" s="1"/>
  <c r="H214" i="1"/>
  <c r="F214" i="1"/>
  <c r="B214" i="1"/>
  <c r="J213" i="1"/>
  <c r="E213" i="1"/>
  <c r="B213" i="1"/>
  <c r="J212" i="1"/>
  <c r="G212" i="1"/>
  <c r="E212" i="1"/>
  <c r="B212" i="1"/>
  <c r="J211" i="1"/>
  <c r="G211" i="1"/>
  <c r="E211" i="1"/>
  <c r="B211" i="1"/>
  <c r="E292" i="1" l="1"/>
  <c r="E306" i="1"/>
  <c r="E268" i="1"/>
  <c r="E302" i="1"/>
  <c r="E316" i="1"/>
  <c r="E293" i="1"/>
  <c r="E300" i="1"/>
  <c r="E227" i="1"/>
  <c r="E252" i="1"/>
  <c r="E219" i="1"/>
  <c r="E236" i="1"/>
  <c r="E250" i="1"/>
  <c r="G254" i="1"/>
  <c r="E257" i="1"/>
  <c r="E266" i="1"/>
  <c r="E281" i="1"/>
  <c r="E286" i="1"/>
  <c r="E294" i="1"/>
  <c r="E304" i="1"/>
  <c r="E313" i="1"/>
  <c r="G225" i="1"/>
  <c r="E240" i="1"/>
  <c r="E282" i="1"/>
  <c r="E289" i="1"/>
  <c r="E249" i="1"/>
  <c r="E253" i="1"/>
  <c r="E258" i="1"/>
  <c r="E285" i="1"/>
  <c r="E290" i="1"/>
  <c r="E350" i="1"/>
  <c r="G239" i="1"/>
  <c r="E231" i="1"/>
  <c r="E237" i="1"/>
  <c r="E265" i="1"/>
  <c r="E269" i="1"/>
  <c r="E279" i="1"/>
  <c r="E297" i="1"/>
  <c r="E301" i="1"/>
  <c r="E305" i="1"/>
  <c r="E309" i="1"/>
  <c r="E314" i="1"/>
  <c r="E248" i="1"/>
  <c r="E256" i="1"/>
  <c r="G224" i="1"/>
  <c r="E224" i="1"/>
  <c r="E238" i="1"/>
  <c r="E251" i="1"/>
  <c r="E259" i="1"/>
  <c r="E267" i="1"/>
  <c r="E280" i="1"/>
  <c r="E283" i="1"/>
  <c r="E291" i="1"/>
  <c r="E299" i="1"/>
  <c r="E307" i="1"/>
  <c r="E315" i="1"/>
  <c r="E348" i="1"/>
  <c r="E264" i="1"/>
  <c r="E296" i="1"/>
  <c r="E312" i="1"/>
  <c r="G221" i="1"/>
  <c r="G226" i="1"/>
  <c r="E226" i="1"/>
  <c r="G235" i="1"/>
  <c r="G272" i="1"/>
  <c r="G288" i="1"/>
  <c r="G222" i="1"/>
  <c r="E222" i="1"/>
  <c r="G220" i="1"/>
  <c r="E220" i="1"/>
  <c r="G223" i="1"/>
  <c r="E247" i="1"/>
  <c r="E255" i="1"/>
  <c r="E263" i="1"/>
  <c r="E271" i="1"/>
  <c r="E287" i="1"/>
  <c r="E295" i="1"/>
  <c r="E303" i="1"/>
  <c r="E311" i="1"/>
  <c r="E345" i="1"/>
  <c r="E232" i="1"/>
  <c r="E214" i="1"/>
  <c r="E216" i="1"/>
  <c r="E234" i="1"/>
  <c r="E218" i="1"/>
  <c r="E228" i="1"/>
  <c r="E230" i="1"/>
  <c r="J210" i="1" l="1"/>
  <c r="E210" i="1"/>
  <c r="J209" i="1"/>
  <c r="E209" i="1"/>
  <c r="J208" i="1"/>
  <c r="H208" i="1"/>
  <c r="G208" i="1"/>
  <c r="F208" i="1"/>
  <c r="E208" i="1"/>
  <c r="B208" i="1"/>
  <c r="J207" i="1"/>
  <c r="H207" i="1"/>
  <c r="G207" i="1"/>
  <c r="F207" i="1"/>
  <c r="E207" i="1"/>
  <c r="B207" i="1"/>
  <c r="J206" i="1"/>
  <c r="G206" i="1"/>
  <c r="E206" i="1"/>
  <c r="B206" i="1"/>
  <c r="J205" i="1"/>
  <c r="E205" i="1"/>
  <c r="J204" i="1"/>
  <c r="G204" i="1"/>
  <c r="E204" i="1"/>
  <c r="B204" i="1"/>
  <c r="J203" i="1"/>
  <c r="G203" i="1"/>
  <c r="E203" i="1"/>
  <c r="B203" i="1"/>
  <c r="J202" i="1"/>
  <c r="G202" i="1"/>
  <c r="E202" i="1"/>
  <c r="B202" i="1"/>
  <c r="J201" i="1"/>
  <c r="G201" i="1"/>
  <c r="E201" i="1"/>
  <c r="B201" i="1"/>
  <c r="J200" i="1"/>
  <c r="E200" i="1"/>
  <c r="J199" i="1"/>
  <c r="G199" i="1" s="1"/>
  <c r="H199" i="1"/>
  <c r="F199" i="1"/>
  <c r="B199" i="1"/>
  <c r="J198" i="1"/>
  <c r="G198" i="1" s="1"/>
  <c r="H198" i="1"/>
  <c r="F198" i="1"/>
  <c r="B198" i="1"/>
  <c r="J197" i="1"/>
  <c r="G197" i="1" s="1"/>
  <c r="H197" i="1"/>
  <c r="F197" i="1"/>
  <c r="B197" i="1"/>
  <c r="J196" i="1"/>
  <c r="E196" i="1" s="1"/>
  <c r="H196" i="1"/>
  <c r="F196" i="1"/>
  <c r="B196" i="1"/>
  <c r="J195" i="1"/>
  <c r="G195" i="1" s="1"/>
  <c r="H195" i="1"/>
  <c r="F195" i="1"/>
  <c r="E195" i="1"/>
  <c r="B195" i="1"/>
  <c r="H194" i="1"/>
  <c r="G194" i="1"/>
  <c r="F194" i="1"/>
  <c r="E194" i="1"/>
  <c r="B194" i="1"/>
  <c r="H193" i="1"/>
  <c r="G193" i="1"/>
  <c r="F193" i="1"/>
  <c r="E193" i="1"/>
  <c r="B193" i="1"/>
  <c r="H192" i="1"/>
  <c r="G192" i="1"/>
  <c r="F192" i="1"/>
  <c r="E192" i="1"/>
  <c r="B192" i="1"/>
  <c r="J191" i="1"/>
  <c r="G191" i="1" s="1"/>
  <c r="H191" i="1"/>
  <c r="F191" i="1"/>
  <c r="E191" i="1"/>
  <c r="B191" i="1"/>
  <c r="J190" i="1"/>
  <c r="G190" i="1" s="1"/>
  <c r="H190" i="1"/>
  <c r="F190" i="1"/>
  <c r="B190" i="1"/>
  <c r="J189" i="1"/>
  <c r="G189" i="1" s="1"/>
  <c r="H189" i="1"/>
  <c r="F189" i="1"/>
  <c r="E189" i="1"/>
  <c r="B189" i="1"/>
  <c r="J188" i="1"/>
  <c r="G188" i="1" s="1"/>
  <c r="H188" i="1"/>
  <c r="F188" i="1"/>
  <c r="B188" i="1"/>
  <c r="J187" i="1"/>
  <c r="E187" i="1" s="1"/>
  <c r="H187" i="1"/>
  <c r="F187" i="1"/>
  <c r="B187" i="1"/>
  <c r="J186" i="1"/>
  <c r="G186" i="1" s="1"/>
  <c r="H186" i="1"/>
  <c r="F186" i="1"/>
  <c r="B186" i="1"/>
  <c r="J185" i="1"/>
  <c r="G185" i="1" s="1"/>
  <c r="H185" i="1"/>
  <c r="F185" i="1"/>
  <c r="B185" i="1"/>
  <c r="J184" i="1"/>
  <c r="G184" i="1" s="1"/>
  <c r="H184" i="1"/>
  <c r="F184" i="1"/>
  <c r="E184" i="1"/>
  <c r="B184" i="1"/>
  <c r="J183" i="1"/>
  <c r="G183" i="1" s="1"/>
  <c r="H183" i="1"/>
  <c r="F183" i="1"/>
  <c r="B183" i="1"/>
  <c r="J182" i="1"/>
  <c r="G182" i="1" s="1"/>
  <c r="H182" i="1"/>
  <c r="F182" i="1"/>
  <c r="B182" i="1"/>
  <c r="J181" i="1"/>
  <c r="G181" i="1" s="1"/>
  <c r="H181" i="1"/>
  <c r="F181" i="1"/>
  <c r="B181" i="1"/>
  <c r="J180" i="1"/>
  <c r="G180" i="1" s="1"/>
  <c r="H180" i="1"/>
  <c r="F180" i="1"/>
  <c r="B180" i="1"/>
  <c r="J179" i="1"/>
  <c r="E179" i="1" s="1"/>
  <c r="H179" i="1"/>
  <c r="F179" i="1"/>
  <c r="B179" i="1"/>
  <c r="J178" i="1"/>
  <c r="G178" i="1" s="1"/>
  <c r="H178" i="1"/>
  <c r="F178" i="1"/>
  <c r="B178" i="1"/>
  <c r="J177" i="1"/>
  <c r="G177" i="1" s="1"/>
  <c r="H177" i="1"/>
  <c r="F177" i="1"/>
  <c r="B177" i="1"/>
  <c r="J176" i="1"/>
  <c r="G176" i="1" s="1"/>
  <c r="H176" i="1"/>
  <c r="F176" i="1"/>
  <c r="B176" i="1"/>
  <c r="J175" i="1"/>
  <c r="G175" i="1" s="1"/>
  <c r="H175" i="1"/>
  <c r="F175" i="1"/>
  <c r="B175" i="1"/>
  <c r="J174" i="1"/>
  <c r="G174" i="1" s="1"/>
  <c r="H174" i="1"/>
  <c r="F174" i="1"/>
  <c r="B174" i="1"/>
  <c r="J173" i="1"/>
  <c r="G173" i="1" s="1"/>
  <c r="H173" i="1"/>
  <c r="F173" i="1"/>
  <c r="E173" i="1"/>
  <c r="B173" i="1"/>
  <c r="J172" i="1"/>
  <c r="G172" i="1" s="1"/>
  <c r="H172" i="1"/>
  <c r="F172" i="1"/>
  <c r="B172" i="1"/>
  <c r="J171" i="1"/>
  <c r="G171" i="1" s="1"/>
  <c r="H171" i="1"/>
  <c r="F171" i="1"/>
  <c r="B171" i="1"/>
  <c r="J170" i="1"/>
  <c r="G170" i="1" s="1"/>
  <c r="H170" i="1"/>
  <c r="F170" i="1"/>
  <c r="B170" i="1"/>
  <c r="J169" i="1"/>
  <c r="G169" i="1" s="1"/>
  <c r="H169" i="1"/>
  <c r="F169" i="1"/>
  <c r="B169" i="1"/>
  <c r="J168" i="1"/>
  <c r="G168" i="1" s="1"/>
  <c r="H168" i="1"/>
  <c r="F168" i="1"/>
  <c r="B168" i="1"/>
  <c r="J167" i="1"/>
  <c r="G167" i="1" s="1"/>
  <c r="H167" i="1"/>
  <c r="F167" i="1"/>
  <c r="B167" i="1"/>
  <c r="J166" i="1"/>
  <c r="G166" i="1" s="1"/>
  <c r="H166" i="1"/>
  <c r="F166" i="1"/>
  <c r="B166" i="1"/>
  <c r="J165" i="1"/>
  <c r="G165" i="1" s="1"/>
  <c r="H165" i="1"/>
  <c r="F165" i="1"/>
  <c r="E165" i="1"/>
  <c r="B165" i="1"/>
  <c r="J164" i="1"/>
  <c r="G164" i="1" s="1"/>
  <c r="H164" i="1"/>
  <c r="F164" i="1"/>
  <c r="B164" i="1"/>
  <c r="J163" i="1"/>
  <c r="G163" i="1" s="1"/>
  <c r="H163" i="1"/>
  <c r="F163" i="1"/>
  <c r="B163" i="1"/>
  <c r="J162" i="1"/>
  <c r="G162" i="1" s="1"/>
  <c r="H162" i="1"/>
  <c r="F162" i="1"/>
  <c r="B162" i="1"/>
  <c r="J161" i="1"/>
  <c r="G161" i="1" s="1"/>
  <c r="H161" i="1"/>
  <c r="F161" i="1"/>
  <c r="B161" i="1"/>
  <c r="J160" i="1"/>
  <c r="G160" i="1" s="1"/>
  <c r="H160" i="1"/>
  <c r="F160" i="1"/>
  <c r="B160" i="1"/>
  <c r="J159" i="1"/>
  <c r="G159" i="1" s="1"/>
  <c r="H159" i="1"/>
  <c r="F159" i="1"/>
  <c r="E159" i="1"/>
  <c r="B159" i="1"/>
  <c r="J158" i="1"/>
  <c r="G158" i="1" s="1"/>
  <c r="H158" i="1"/>
  <c r="F158" i="1"/>
  <c r="B158" i="1"/>
  <c r="J157" i="1"/>
  <c r="G157" i="1" s="1"/>
  <c r="H157" i="1"/>
  <c r="F157" i="1"/>
  <c r="B157" i="1"/>
  <c r="J156" i="1"/>
  <c r="G156" i="1" s="1"/>
  <c r="H156" i="1"/>
  <c r="F156" i="1"/>
  <c r="B156" i="1"/>
  <c r="J155" i="1"/>
  <c r="G155" i="1" s="1"/>
  <c r="H155" i="1"/>
  <c r="F155" i="1"/>
  <c r="B155" i="1"/>
  <c r="J154" i="1"/>
  <c r="G154" i="1" s="1"/>
  <c r="H154" i="1"/>
  <c r="F154" i="1"/>
  <c r="B154" i="1"/>
  <c r="J153" i="1"/>
  <c r="G153" i="1" s="1"/>
  <c r="H153" i="1"/>
  <c r="F153" i="1"/>
  <c r="E153" i="1"/>
  <c r="B153" i="1"/>
  <c r="J152" i="1"/>
  <c r="G152" i="1" s="1"/>
  <c r="H152" i="1"/>
  <c r="F152" i="1"/>
  <c r="E152" i="1"/>
  <c r="B152" i="1"/>
  <c r="J151" i="1"/>
  <c r="G151" i="1" s="1"/>
  <c r="H151" i="1"/>
  <c r="F151" i="1"/>
  <c r="B151" i="1"/>
  <c r="J150" i="1"/>
  <c r="G150" i="1" s="1"/>
  <c r="H150" i="1"/>
  <c r="F150" i="1"/>
  <c r="B150" i="1"/>
  <c r="J149" i="1"/>
  <c r="G149" i="1" s="1"/>
  <c r="H149" i="1"/>
  <c r="F149" i="1"/>
  <c r="B149" i="1"/>
  <c r="J148" i="1"/>
  <c r="G148" i="1" s="1"/>
  <c r="H148" i="1"/>
  <c r="F148" i="1"/>
  <c r="B148" i="1"/>
  <c r="J147" i="1"/>
  <c r="G147" i="1" s="1"/>
  <c r="H147" i="1"/>
  <c r="F147" i="1"/>
  <c r="B147" i="1"/>
  <c r="J146" i="1"/>
  <c r="G146" i="1" s="1"/>
  <c r="H146" i="1"/>
  <c r="F146" i="1"/>
  <c r="B146" i="1"/>
  <c r="J145" i="1"/>
  <c r="H145" i="1"/>
  <c r="G145" i="1"/>
  <c r="F145" i="1"/>
  <c r="E145" i="1"/>
  <c r="B145" i="1"/>
  <c r="J144" i="1"/>
  <c r="G144" i="1" s="1"/>
  <c r="H144" i="1"/>
  <c r="F144" i="1"/>
  <c r="B144" i="1"/>
  <c r="J143" i="1"/>
  <c r="G143" i="1" s="1"/>
  <c r="H143" i="1"/>
  <c r="F143" i="1"/>
  <c r="E143" i="1"/>
  <c r="B143" i="1"/>
  <c r="J142" i="1"/>
  <c r="G142" i="1" s="1"/>
  <c r="H142" i="1"/>
  <c r="F142" i="1"/>
  <c r="B142" i="1"/>
  <c r="J141" i="1"/>
  <c r="G141" i="1" s="1"/>
  <c r="H141" i="1"/>
  <c r="F141" i="1"/>
  <c r="B141" i="1"/>
  <c r="J140" i="1"/>
  <c r="G140" i="1" s="1"/>
  <c r="H140" i="1"/>
  <c r="F140" i="1"/>
  <c r="B140" i="1"/>
  <c r="J139" i="1"/>
  <c r="G139" i="1" s="1"/>
  <c r="H139" i="1"/>
  <c r="F139" i="1"/>
  <c r="B139" i="1"/>
  <c r="J138" i="1"/>
  <c r="G138" i="1" s="1"/>
  <c r="H138" i="1"/>
  <c r="F138" i="1"/>
  <c r="B138" i="1"/>
  <c r="J137" i="1"/>
  <c r="G137" i="1" s="1"/>
  <c r="H137" i="1"/>
  <c r="F137" i="1"/>
  <c r="E137" i="1"/>
  <c r="B137" i="1"/>
  <c r="J136" i="1"/>
  <c r="G136" i="1" s="1"/>
  <c r="H136" i="1"/>
  <c r="F136" i="1"/>
  <c r="B136" i="1"/>
  <c r="J135" i="1"/>
  <c r="G135" i="1" s="1"/>
  <c r="H135" i="1"/>
  <c r="F135" i="1"/>
  <c r="E135" i="1"/>
  <c r="B135" i="1"/>
  <c r="J134" i="1"/>
  <c r="G134" i="1" s="1"/>
  <c r="H134" i="1"/>
  <c r="F134" i="1"/>
  <c r="B134" i="1"/>
  <c r="J133" i="1"/>
  <c r="G133" i="1" s="1"/>
  <c r="H133" i="1"/>
  <c r="F133" i="1"/>
  <c r="B133" i="1"/>
  <c r="J132" i="1"/>
  <c r="G132" i="1" s="1"/>
  <c r="H132" i="1"/>
  <c r="F132" i="1"/>
  <c r="E132" i="1"/>
  <c r="B132" i="1"/>
  <c r="J131" i="1"/>
  <c r="E131" i="1"/>
  <c r="B131" i="1"/>
  <c r="J130" i="1"/>
  <c r="G130" i="1"/>
  <c r="E130" i="1"/>
  <c r="B130" i="1"/>
  <c r="J129" i="1"/>
  <c r="G129" i="1"/>
  <c r="E129" i="1"/>
  <c r="B129" i="1"/>
  <c r="J128" i="1"/>
  <c r="E128" i="1"/>
  <c r="J127" i="1"/>
  <c r="E127" i="1"/>
  <c r="J126" i="1"/>
  <c r="G126" i="1" s="1"/>
  <c r="H126" i="1"/>
  <c r="F126" i="1"/>
  <c r="E126" i="1"/>
  <c r="B126" i="1"/>
  <c r="J125" i="1"/>
  <c r="G125" i="1" s="1"/>
  <c r="H125" i="1"/>
  <c r="F125" i="1"/>
  <c r="E125" i="1"/>
  <c r="B125" i="1"/>
  <c r="J124" i="1"/>
  <c r="G124" i="1"/>
  <c r="E124" i="1"/>
  <c r="B124" i="1"/>
  <c r="J123" i="1"/>
  <c r="E123" i="1"/>
  <c r="J122" i="1"/>
  <c r="H122" i="1"/>
  <c r="G122" i="1"/>
  <c r="F122" i="1"/>
  <c r="E122" i="1"/>
  <c r="B122" i="1"/>
  <c r="J121" i="1"/>
  <c r="H121" i="1"/>
  <c r="G121" i="1"/>
  <c r="F121" i="1"/>
  <c r="E121" i="1"/>
  <c r="B121" i="1"/>
  <c r="J120" i="1"/>
  <c r="H120" i="1"/>
  <c r="G120" i="1"/>
  <c r="F120" i="1"/>
  <c r="E120" i="1"/>
  <c r="B120" i="1"/>
  <c r="J119" i="1"/>
  <c r="G119" i="1" s="1"/>
  <c r="H119" i="1"/>
  <c r="F119" i="1"/>
  <c r="B119" i="1"/>
  <c r="J118" i="1"/>
  <c r="G118" i="1" s="1"/>
  <c r="H118" i="1"/>
  <c r="F118" i="1"/>
  <c r="E118" i="1"/>
  <c r="B118" i="1"/>
  <c r="J117" i="1"/>
  <c r="G117" i="1" s="1"/>
  <c r="H117" i="1"/>
  <c r="F117" i="1"/>
  <c r="B117" i="1"/>
  <c r="J116" i="1"/>
  <c r="G116" i="1" s="1"/>
  <c r="H116" i="1"/>
  <c r="F116" i="1"/>
  <c r="B116" i="1"/>
  <c r="J115" i="1"/>
  <c r="G115" i="1"/>
  <c r="E115" i="1"/>
  <c r="B115" i="1"/>
  <c r="J114" i="1"/>
  <c r="E114" i="1"/>
  <c r="J113" i="1"/>
  <c r="G113" i="1" s="1"/>
  <c r="H113" i="1"/>
  <c r="F113" i="1"/>
  <c r="B113" i="1"/>
  <c r="J112" i="1"/>
  <c r="G112" i="1" s="1"/>
  <c r="H112" i="1"/>
  <c r="F112" i="1"/>
  <c r="B112" i="1"/>
  <c r="J111" i="1"/>
  <c r="G111" i="1" s="1"/>
  <c r="H111" i="1"/>
  <c r="F111" i="1"/>
  <c r="B111" i="1"/>
  <c r="J110" i="1"/>
  <c r="G110" i="1" s="1"/>
  <c r="H110" i="1"/>
  <c r="F110" i="1"/>
  <c r="B110" i="1"/>
  <c r="H109" i="1"/>
  <c r="G109" i="1"/>
  <c r="F109" i="1"/>
  <c r="E109" i="1"/>
  <c r="B109" i="1"/>
  <c r="H108" i="1"/>
  <c r="G108" i="1"/>
  <c r="F108" i="1"/>
  <c r="E108" i="1"/>
  <c r="B108" i="1"/>
  <c r="H107" i="1"/>
  <c r="G107" i="1"/>
  <c r="F107" i="1"/>
  <c r="E107" i="1"/>
  <c r="B107" i="1"/>
  <c r="J106" i="1"/>
  <c r="G106" i="1" s="1"/>
  <c r="H106" i="1"/>
  <c r="F106" i="1"/>
  <c r="B106" i="1"/>
  <c r="J105" i="1"/>
  <c r="G105" i="1" s="1"/>
  <c r="H105" i="1"/>
  <c r="F105" i="1"/>
  <c r="E105" i="1"/>
  <c r="B105" i="1"/>
  <c r="J104" i="1"/>
  <c r="E104" i="1" s="1"/>
  <c r="H104" i="1"/>
  <c r="G104" i="1"/>
  <c r="F104" i="1"/>
  <c r="B104" i="1"/>
  <c r="J103" i="1"/>
  <c r="G103" i="1" s="1"/>
  <c r="H103" i="1"/>
  <c r="F103" i="1"/>
  <c r="B103" i="1"/>
  <c r="J102" i="1"/>
  <c r="G102" i="1" s="1"/>
  <c r="H102" i="1"/>
  <c r="F102" i="1"/>
  <c r="B102" i="1"/>
  <c r="J101" i="1"/>
  <c r="G101" i="1" s="1"/>
  <c r="H101" i="1"/>
  <c r="F101" i="1"/>
  <c r="B101" i="1"/>
  <c r="J100" i="1"/>
  <c r="G100" i="1" s="1"/>
  <c r="H100" i="1"/>
  <c r="F100" i="1"/>
  <c r="B100" i="1"/>
  <c r="J99" i="1"/>
  <c r="G99" i="1" s="1"/>
  <c r="H99" i="1"/>
  <c r="F99" i="1"/>
  <c r="E99" i="1"/>
  <c r="B99" i="1"/>
  <c r="J98" i="1"/>
  <c r="G98" i="1" s="1"/>
  <c r="H98" i="1"/>
  <c r="F98" i="1"/>
  <c r="B98" i="1"/>
  <c r="J97" i="1"/>
  <c r="G97" i="1" s="1"/>
  <c r="H97" i="1"/>
  <c r="F97" i="1"/>
  <c r="B97" i="1"/>
  <c r="J96" i="1"/>
  <c r="G96" i="1" s="1"/>
  <c r="H96" i="1"/>
  <c r="F96" i="1"/>
  <c r="E96" i="1"/>
  <c r="B96" i="1"/>
  <c r="J95" i="1"/>
  <c r="G95" i="1" s="1"/>
  <c r="H95" i="1"/>
  <c r="F95" i="1"/>
  <c r="B95" i="1"/>
  <c r="J94" i="1"/>
  <c r="E94" i="1" s="1"/>
  <c r="H94" i="1"/>
  <c r="F94" i="1"/>
  <c r="B94" i="1"/>
  <c r="J93" i="1"/>
  <c r="G93" i="1" s="1"/>
  <c r="H93" i="1"/>
  <c r="F93" i="1"/>
  <c r="B93" i="1"/>
  <c r="J92" i="1"/>
  <c r="G92" i="1" s="1"/>
  <c r="H92" i="1"/>
  <c r="F92" i="1"/>
  <c r="B92" i="1"/>
  <c r="J91" i="1"/>
  <c r="G91" i="1" s="1"/>
  <c r="H91" i="1"/>
  <c r="F91" i="1"/>
  <c r="B91" i="1"/>
  <c r="J90" i="1"/>
  <c r="G90" i="1" s="1"/>
  <c r="H90" i="1"/>
  <c r="F90" i="1"/>
  <c r="E90" i="1"/>
  <c r="B90" i="1"/>
  <c r="J89" i="1"/>
  <c r="G89" i="1" s="1"/>
  <c r="H89" i="1"/>
  <c r="F89" i="1"/>
  <c r="B89" i="1"/>
  <c r="J88" i="1"/>
  <c r="G88" i="1" s="1"/>
  <c r="H88" i="1"/>
  <c r="F88" i="1"/>
  <c r="B88" i="1"/>
  <c r="J87" i="1"/>
  <c r="G87" i="1" s="1"/>
  <c r="H87" i="1"/>
  <c r="F87" i="1"/>
  <c r="B87" i="1"/>
  <c r="J86" i="1"/>
  <c r="G86" i="1" s="1"/>
  <c r="H86" i="1"/>
  <c r="F86" i="1"/>
  <c r="B86" i="1"/>
  <c r="J85" i="1"/>
  <c r="G85" i="1" s="1"/>
  <c r="H85" i="1"/>
  <c r="F85" i="1"/>
  <c r="B85" i="1"/>
  <c r="J84" i="1"/>
  <c r="G84" i="1" s="1"/>
  <c r="H84" i="1"/>
  <c r="F84" i="1"/>
  <c r="B84" i="1"/>
  <c r="J83" i="1"/>
  <c r="G83" i="1" s="1"/>
  <c r="H83" i="1"/>
  <c r="F83" i="1"/>
  <c r="B83" i="1"/>
  <c r="J82" i="1"/>
  <c r="G82" i="1" s="1"/>
  <c r="H82" i="1"/>
  <c r="F82" i="1"/>
  <c r="E82" i="1"/>
  <c r="B82" i="1"/>
  <c r="J81" i="1"/>
  <c r="G81" i="1" s="1"/>
  <c r="H81" i="1"/>
  <c r="F81" i="1"/>
  <c r="B81" i="1"/>
  <c r="J80" i="1"/>
  <c r="G80" i="1" s="1"/>
  <c r="H80" i="1"/>
  <c r="F80" i="1"/>
  <c r="B80" i="1"/>
  <c r="J79" i="1"/>
  <c r="G79" i="1" s="1"/>
  <c r="H79" i="1"/>
  <c r="F79" i="1"/>
  <c r="B79" i="1"/>
  <c r="J78" i="1"/>
  <c r="E78" i="1" s="1"/>
  <c r="H78" i="1"/>
  <c r="F78" i="1"/>
  <c r="B78" i="1"/>
  <c r="J77" i="1"/>
  <c r="G77" i="1" s="1"/>
  <c r="H77" i="1"/>
  <c r="F77" i="1"/>
  <c r="B77" i="1"/>
  <c r="J76" i="1"/>
  <c r="G76" i="1" s="1"/>
  <c r="H76" i="1"/>
  <c r="F76" i="1"/>
  <c r="B76" i="1"/>
  <c r="J75" i="1"/>
  <c r="G75" i="1" s="1"/>
  <c r="H75" i="1"/>
  <c r="F75" i="1"/>
  <c r="B75" i="1"/>
  <c r="J74" i="1"/>
  <c r="G74" i="1" s="1"/>
  <c r="H74" i="1"/>
  <c r="F74" i="1"/>
  <c r="E74" i="1"/>
  <c r="B74" i="1"/>
  <c r="J73" i="1"/>
  <c r="G73" i="1" s="1"/>
  <c r="H73" i="1"/>
  <c r="F73" i="1"/>
  <c r="B73" i="1"/>
  <c r="J72" i="1"/>
  <c r="E72" i="1" s="1"/>
  <c r="H72" i="1"/>
  <c r="F72" i="1"/>
  <c r="B72" i="1"/>
  <c r="J71" i="1"/>
  <c r="G71" i="1" s="1"/>
  <c r="H71" i="1"/>
  <c r="F71" i="1"/>
  <c r="B71" i="1"/>
  <c r="J70" i="1"/>
  <c r="E70" i="1" s="1"/>
  <c r="H70" i="1"/>
  <c r="F70" i="1"/>
  <c r="B70" i="1"/>
  <c r="J69" i="1"/>
  <c r="G69" i="1" s="1"/>
  <c r="H69" i="1"/>
  <c r="F69" i="1"/>
  <c r="B69" i="1"/>
  <c r="J68" i="1"/>
  <c r="E68" i="1" s="1"/>
  <c r="H68" i="1"/>
  <c r="F68" i="1"/>
  <c r="B68" i="1"/>
  <c r="J67" i="1"/>
  <c r="G67" i="1" s="1"/>
  <c r="H67" i="1"/>
  <c r="F67" i="1"/>
  <c r="B67" i="1"/>
  <c r="J66" i="1"/>
  <c r="E66" i="1" s="1"/>
  <c r="H66" i="1"/>
  <c r="F66" i="1"/>
  <c r="B66" i="1"/>
  <c r="J65" i="1"/>
  <c r="G65" i="1" s="1"/>
  <c r="H65" i="1"/>
  <c r="F65" i="1"/>
  <c r="B65" i="1"/>
  <c r="J64" i="1"/>
  <c r="E64" i="1" s="1"/>
  <c r="H64" i="1"/>
  <c r="F64" i="1"/>
  <c r="B64" i="1"/>
  <c r="J63" i="1"/>
  <c r="G63" i="1" s="1"/>
  <c r="H63" i="1"/>
  <c r="F63" i="1"/>
  <c r="B63" i="1"/>
  <c r="J62" i="1"/>
  <c r="E62" i="1" s="1"/>
  <c r="H62" i="1"/>
  <c r="F62" i="1"/>
  <c r="B62" i="1"/>
  <c r="J61" i="1"/>
  <c r="G61" i="1" s="1"/>
  <c r="H61" i="1"/>
  <c r="F61" i="1"/>
  <c r="B61" i="1"/>
  <c r="J60" i="1"/>
  <c r="E60" i="1" s="1"/>
  <c r="H60" i="1"/>
  <c r="F60" i="1"/>
  <c r="B60" i="1"/>
  <c r="J59" i="1"/>
  <c r="G59" i="1" s="1"/>
  <c r="H59" i="1"/>
  <c r="F59" i="1"/>
  <c r="B59" i="1"/>
  <c r="J58" i="1"/>
  <c r="E58" i="1" s="1"/>
  <c r="H58" i="1"/>
  <c r="F58" i="1"/>
  <c r="B58" i="1"/>
  <c r="J57" i="1"/>
  <c r="G57" i="1" s="1"/>
  <c r="H57" i="1"/>
  <c r="F57" i="1"/>
  <c r="B57" i="1"/>
  <c r="J56" i="1"/>
  <c r="E56" i="1" s="1"/>
  <c r="H56" i="1"/>
  <c r="F56" i="1"/>
  <c r="B56" i="1"/>
  <c r="J55" i="1"/>
  <c r="G55" i="1" s="1"/>
  <c r="H55" i="1"/>
  <c r="F55" i="1"/>
  <c r="B55" i="1"/>
  <c r="J54" i="1"/>
  <c r="E54" i="1" s="1"/>
  <c r="H54" i="1"/>
  <c r="F54" i="1"/>
  <c r="B54" i="1"/>
  <c r="J53" i="1"/>
  <c r="G53" i="1" s="1"/>
  <c r="H53" i="1"/>
  <c r="F53" i="1"/>
  <c r="B53" i="1"/>
  <c r="J52" i="1"/>
  <c r="E52" i="1" s="1"/>
  <c r="H52" i="1"/>
  <c r="F52" i="1"/>
  <c r="B52" i="1"/>
  <c r="J51" i="1"/>
  <c r="G51" i="1" s="1"/>
  <c r="H51" i="1"/>
  <c r="F51" i="1"/>
  <c r="B51" i="1"/>
  <c r="J50" i="1"/>
  <c r="E50" i="1" s="1"/>
  <c r="H50" i="1"/>
  <c r="F50" i="1"/>
  <c r="B50" i="1"/>
  <c r="J49" i="1"/>
  <c r="G49" i="1" s="1"/>
  <c r="H49" i="1"/>
  <c r="F49" i="1"/>
  <c r="B49" i="1"/>
  <c r="J48" i="1"/>
  <c r="E48" i="1" s="1"/>
  <c r="H48" i="1"/>
  <c r="F48" i="1"/>
  <c r="B48" i="1"/>
  <c r="J47" i="1"/>
  <c r="E47" i="1" s="1"/>
  <c r="H47" i="1"/>
  <c r="F47" i="1"/>
  <c r="B47" i="1"/>
  <c r="J46" i="1"/>
  <c r="E46" i="1" s="1"/>
  <c r="H46" i="1"/>
  <c r="F46" i="1"/>
  <c r="B46" i="1"/>
  <c r="J45" i="1"/>
  <c r="G45" i="1" s="1"/>
  <c r="H45" i="1"/>
  <c r="F45" i="1"/>
  <c r="B45" i="1"/>
  <c r="J44" i="1"/>
  <c r="E44" i="1" s="1"/>
  <c r="H44" i="1"/>
  <c r="F44" i="1"/>
  <c r="B44" i="1"/>
  <c r="J43" i="1"/>
  <c r="G43" i="1" s="1"/>
  <c r="H43" i="1"/>
  <c r="F43" i="1"/>
  <c r="B43" i="1"/>
  <c r="J42" i="1"/>
  <c r="E42" i="1" s="1"/>
  <c r="H42" i="1"/>
  <c r="F42" i="1"/>
  <c r="B42" i="1"/>
  <c r="J41" i="1"/>
  <c r="G41" i="1" s="1"/>
  <c r="H41" i="1"/>
  <c r="F41" i="1"/>
  <c r="B41" i="1"/>
  <c r="J40" i="1"/>
  <c r="E40" i="1" s="1"/>
  <c r="H40" i="1"/>
  <c r="F40" i="1"/>
  <c r="B40" i="1"/>
  <c r="J39" i="1"/>
  <c r="E39" i="1" s="1"/>
  <c r="H39" i="1"/>
  <c r="F39" i="1"/>
  <c r="B39" i="1"/>
  <c r="J38" i="1"/>
  <c r="G38" i="1"/>
  <c r="E38" i="1"/>
  <c r="B38" i="1"/>
  <c r="J37" i="1"/>
  <c r="G37" i="1"/>
  <c r="E37" i="1"/>
  <c r="B37" i="1"/>
  <c r="J36" i="1"/>
  <c r="G36" i="1"/>
  <c r="E36" i="1"/>
  <c r="B36" i="1"/>
  <c r="E169" i="1" l="1"/>
  <c r="E183" i="1"/>
  <c r="E86" i="1"/>
  <c r="E113" i="1"/>
  <c r="E161" i="1"/>
  <c r="E175" i="1"/>
  <c r="G78" i="1"/>
  <c r="E148" i="1"/>
  <c r="E185" i="1"/>
  <c r="E111" i="1"/>
  <c r="E140" i="1"/>
  <c r="G60" i="1"/>
  <c r="E177" i="1"/>
  <c r="E97" i="1"/>
  <c r="E136" i="1"/>
  <c r="E160" i="1"/>
  <c r="E167" i="1"/>
  <c r="E198" i="1"/>
  <c r="G44" i="1"/>
  <c r="E76" i="1"/>
  <c r="E84" i="1"/>
  <c r="E102" i="1"/>
  <c r="E116" i="1"/>
  <c r="E144" i="1"/>
  <c r="E151" i="1"/>
  <c r="E156" i="1"/>
  <c r="E163" i="1"/>
  <c r="E171" i="1"/>
  <c r="E180" i="1"/>
  <c r="G46" i="1"/>
  <c r="G52" i="1"/>
  <c r="G66" i="1"/>
  <c r="E88" i="1"/>
  <c r="E98" i="1"/>
  <c r="E106" i="1"/>
  <c r="E117" i="1"/>
  <c r="E133" i="1"/>
  <c r="E141" i="1"/>
  <c r="E149" i="1"/>
  <c r="E157" i="1"/>
  <c r="E164" i="1"/>
  <c r="E168" i="1"/>
  <c r="E172" i="1"/>
  <c r="E176" i="1"/>
  <c r="E181" i="1"/>
  <c r="E199" i="1"/>
  <c r="G54" i="1"/>
  <c r="G94" i="1"/>
  <c r="G68" i="1"/>
  <c r="E80" i="1"/>
  <c r="E100" i="1"/>
  <c r="E138" i="1"/>
  <c r="E146" i="1"/>
  <c r="E154" i="1"/>
  <c r="E162" i="1"/>
  <c r="E188" i="1"/>
  <c r="E197" i="1"/>
  <c r="E134" i="1"/>
  <c r="E142" i="1"/>
  <c r="E150" i="1"/>
  <c r="E158" i="1"/>
  <c r="E166" i="1"/>
  <c r="E174" i="1"/>
  <c r="E182" i="1"/>
  <c r="E190" i="1"/>
  <c r="E139" i="1"/>
  <c r="E147" i="1"/>
  <c r="E155" i="1"/>
  <c r="E92" i="1"/>
  <c r="E95" i="1"/>
  <c r="E103" i="1"/>
  <c r="E112" i="1"/>
  <c r="G40" i="1"/>
  <c r="G48" i="1"/>
  <c r="G56" i="1"/>
  <c r="G62" i="1"/>
  <c r="G70" i="1"/>
  <c r="E101" i="1"/>
  <c r="E110" i="1"/>
  <c r="G179" i="1"/>
  <c r="G187" i="1"/>
  <c r="G196" i="1"/>
  <c r="G42" i="1"/>
  <c r="G50" i="1"/>
  <c r="G58" i="1"/>
  <c r="G64" i="1"/>
  <c r="G72" i="1"/>
  <c r="E119" i="1"/>
  <c r="E170" i="1"/>
  <c r="E178" i="1"/>
  <c r="E186" i="1"/>
  <c r="E41" i="1"/>
  <c r="E45" i="1"/>
  <c r="E51" i="1"/>
  <c r="E59" i="1"/>
  <c r="E63" i="1"/>
  <c r="E69" i="1"/>
  <c r="E71" i="1"/>
  <c r="E75" i="1"/>
  <c r="E77" i="1"/>
  <c r="E83" i="1"/>
  <c r="E85" i="1"/>
  <c r="E53" i="1"/>
  <c r="E57" i="1"/>
  <c r="E65" i="1"/>
  <c r="E67" i="1"/>
  <c r="E73" i="1"/>
  <c r="E79" i="1"/>
  <c r="E81" i="1"/>
  <c r="E87" i="1"/>
  <c r="E89" i="1"/>
  <c r="E91" i="1"/>
  <c r="E93" i="1"/>
  <c r="E43" i="1"/>
  <c r="E49" i="1"/>
  <c r="E55" i="1"/>
  <c r="E61" i="1"/>
  <c r="G39" i="1"/>
  <c r="G47" i="1"/>
  <c r="B2" i="3" l="1"/>
  <c r="C2" i="3" l="1"/>
  <c r="A2" i="3" s="1"/>
  <c r="J33" i="1"/>
  <c r="J34" i="1"/>
  <c r="J35" i="1"/>
  <c r="S14" i="1"/>
  <c r="S13" i="1"/>
</calcChain>
</file>

<file path=xl/sharedStrings.xml><?xml version="1.0" encoding="utf-8"?>
<sst xmlns="http://schemas.openxmlformats.org/spreadsheetml/2006/main" count="3521" uniqueCount="1770">
  <si>
    <t>type</t>
  </si>
  <si>
    <t>name</t>
  </si>
  <si>
    <t>default</t>
  </si>
  <si>
    <t>appearance</t>
  </si>
  <si>
    <t>constraint</t>
  </si>
  <si>
    <t>required</t>
  </si>
  <si>
    <t>relevant</t>
  </si>
  <si>
    <t>calculation</t>
  </si>
  <si>
    <t>repeat_count</t>
  </si>
  <si>
    <t>choice_filter</t>
  </si>
  <si>
    <t>readonly</t>
  </si>
  <si>
    <t>list_name</t>
  </si>
  <si>
    <t>filter</t>
  </si>
  <si>
    <t>filter_flap</t>
  </si>
  <si>
    <t>form_title</t>
  </si>
  <si>
    <t>form_id</t>
  </si>
  <si>
    <t>version</t>
  </si>
  <si>
    <t>instance_name</t>
  </si>
  <si>
    <t>public_key</t>
  </si>
  <si>
    <t>submission_url</t>
  </si>
  <si>
    <t>default_language</t>
  </si>
  <si>
    <t>generation</t>
  </si>
  <si>
    <t>text</t>
  </si>
  <si>
    <t>integer</t>
  </si>
  <si>
    <t>decimal</t>
  </si>
  <si>
    <t>date</t>
  </si>
  <si>
    <t>time</t>
  </si>
  <si>
    <t>datetime</t>
  </si>
  <si>
    <t>image</t>
  </si>
  <si>
    <t>audio</t>
  </si>
  <si>
    <t>video</t>
  </si>
  <si>
    <t>geopoint</t>
  </si>
  <si>
    <t>geotrace</t>
  </si>
  <si>
    <t>geoshape</t>
  </si>
  <si>
    <t>select_one q1</t>
  </si>
  <si>
    <t>select_multiple q1</t>
  </si>
  <si>
    <t>barcode</t>
  </si>
  <si>
    <t>note</t>
  </si>
  <si>
    <t>begin group</t>
  </si>
  <si>
    <t>end group</t>
  </si>
  <si>
    <t>field-list</t>
  </si>
  <si>
    <t>q1</t>
  </si>
  <si>
    <t/>
  </si>
  <si>
    <t>section</t>
  </si>
  <si>
    <t>text-nolabel</t>
  </si>
  <si>
    <t>invisible</t>
  </si>
  <si>
    <t>qacheckpoint-visible-5</t>
  </si>
  <si>
    <t>thousandsep</t>
  </si>
  <si>
    <t>embed</t>
  </si>
  <si>
    <t>selection_one_hide::na</t>
  </si>
  <si>
    <t>selection_one_show::na</t>
  </si>
  <si>
    <t>textpopup</t>
  </si>
  <si>
    <t>embed text-nolabel</t>
  </si>
  <si>
    <t>inline</t>
  </si>
  <si>
    <t>front_camera</t>
  </si>
  <si>
    <t>inline front_camera</t>
  </si>
  <si>
    <t>back_camera</t>
  </si>
  <si>
    <t>inline back_camera</t>
  </si>
  <si>
    <t>inline nomap</t>
  </si>
  <si>
    <t>GEOTRACE</t>
  </si>
  <si>
    <t>DECIMAL</t>
  </si>
  <si>
    <t>BARCODE</t>
  </si>
  <si>
    <t>GEOPOINT</t>
  </si>
  <si>
    <t>inline-nojpg</t>
  </si>
  <si>
    <t>inline-onlyjpg</t>
  </si>
  <si>
    <t>signature</t>
  </si>
  <si>
    <t>signature-inline</t>
  </si>
  <si>
    <t>signature-inline-nojpg</t>
  </si>
  <si>
    <t>signature-inline-onlyjpg</t>
  </si>
  <si>
    <t>draw</t>
  </si>
  <si>
    <t>annotate</t>
  </si>
  <si>
    <t>annotate back_camera</t>
  </si>
  <si>
    <t>annotate front_camera</t>
  </si>
  <si>
    <t>IMAGE</t>
  </si>
  <si>
    <t>AUDIO</t>
  </si>
  <si>
    <t>VIDEO</t>
  </si>
  <si>
    <t>DATE</t>
  </si>
  <si>
    <t>TIME</t>
  </si>
  <si>
    <t>numbers</t>
  </si>
  <si>
    <t>list-nolabel</t>
  </si>
  <si>
    <t>select1cmd-text</t>
  </si>
  <si>
    <t>select1cmd-text-3times</t>
  </si>
  <si>
    <t>select1cmd-button</t>
  </si>
  <si>
    <t>SaveIncompleteExit</t>
  </si>
  <si>
    <t>SaveFinalizedExit</t>
  </si>
  <si>
    <t>SaveIncompleteNew</t>
  </si>
  <si>
    <t>SaveFinalizedNew</t>
  </si>
  <si>
    <t>SaveFinalizedExitSend</t>
  </si>
  <si>
    <t>SaveFinalizedNewSend</t>
  </si>
  <si>
    <t>date inline</t>
  </si>
  <si>
    <t>date inline-onlyresult</t>
  </si>
  <si>
    <t>time inline</t>
  </si>
  <si>
    <t>time inline-onlyresult</t>
  </si>
  <si>
    <t>datetime inline</t>
  </si>
  <si>
    <t>datetime inline-onlyresult</t>
  </si>
  <si>
    <t>prevscreen</t>
  </si>
  <si>
    <t>nextscreen</t>
  </si>
  <si>
    <t>prevscreen-text</t>
  </si>
  <si>
    <t>nextscreen-text</t>
  </si>
  <si>
    <t>prevscreen-button</t>
  </si>
  <si>
    <t>nextscreen-button</t>
  </si>
  <si>
    <t>TEXT</t>
  </si>
  <si>
    <t>numbering</t>
  </si>
  <si>
    <t>INTEGER</t>
  </si>
  <si>
    <t>DATETIME</t>
  </si>
  <si>
    <t>align_answer = center</t>
  </si>
  <si>
    <t>text-nolabel align_answer = center</t>
  </si>
  <si>
    <t>embed text-nolabel align_answer = center</t>
  </si>
  <si>
    <t>embed align_answer = center</t>
  </si>
  <si>
    <t xml:space="preserve">inline-1line day </t>
  </si>
  <si>
    <t xml:space="preserve">inline-1line month-year </t>
  </si>
  <si>
    <t xml:space="preserve">inline-1line day-month </t>
  </si>
  <si>
    <t xml:space="preserve">inline-1line year </t>
  </si>
  <si>
    <t>calculate</t>
  </si>
  <si>
    <t>start</t>
  </si>
  <si>
    <t>starttime</t>
  </si>
  <si>
    <t>end</t>
  </si>
  <si>
    <t>endtime</t>
  </si>
  <si>
    <t>deviceid</t>
  </si>
  <si>
    <t>subscriberid</t>
  </si>
  <si>
    <t>simserial</t>
  </si>
  <si>
    <t>simid</t>
  </si>
  <si>
    <t>phonenumber</t>
  </si>
  <si>
    <t>devicephonenum</t>
  </si>
  <si>
    <t>username</t>
  </si>
  <si>
    <t>uuid_ssname</t>
  </si>
  <si>
    <t>advance_id</t>
  </si>
  <si>
    <t>uuid()</t>
  </si>
  <si>
    <t>SELECT_ONE</t>
  </si>
  <si>
    <t>minimal</t>
  </si>
  <si>
    <t>compact</t>
  </si>
  <si>
    <t>quick</t>
  </si>
  <si>
    <t>quick compact</t>
  </si>
  <si>
    <t>quick compact-3</t>
  </si>
  <si>
    <t>rating_box</t>
  </si>
  <si>
    <t>D4E4FD-3D84EF-rating_box</t>
  </si>
  <si>
    <t>rating_box-fill</t>
  </si>
  <si>
    <t>D4E4FD-3D84EF-rating_box-fill</t>
  </si>
  <si>
    <t>star_rating</t>
  </si>
  <si>
    <t>label</t>
  </si>
  <si>
    <t>qacheckpoint-invisible-30</t>
  </si>
  <si>
    <t>SELECT_MULTIPLE</t>
  </si>
  <si>
    <t>checkall</t>
  </si>
  <si>
    <t>checkall(hide)</t>
  </si>
  <si>
    <t>yesno</t>
  </si>
  <si>
    <t>Yes</t>
  </si>
  <si>
    <t>No</t>
  </si>
  <si>
    <t>Father</t>
  </si>
  <si>
    <t>Mother</t>
  </si>
  <si>
    <t>Child</t>
  </si>
  <si>
    <t>Wife</t>
  </si>
  <si>
    <t>Husband</t>
  </si>
  <si>
    <t>disabled</t>
  </si>
  <si>
    <t>quick prev</t>
  </si>
  <si>
    <t>quick compact prev</t>
  </si>
  <si>
    <t>quick compact-3 prev</t>
  </si>
  <si>
    <t>table-list</t>
  </si>
  <si>
    <t>number-hspinner</t>
  </si>
  <si>
    <t>popup</t>
  </si>
  <si>
    <t>select_one exit</t>
  </si>
  <si>
    <t>exit1</t>
  </si>
  <si>
    <t>exit</t>
  </si>
  <si>
    <t>family_id</t>
  </si>
  <si>
    <t>family_path</t>
  </si>
  <si>
    <t>localdb_path</t>
  </si>
  <si>
    <t>concat('resources/familyMedia/',${family_id})</t>
  </si>
  <si>
    <t>concat('resources/localdb/',${family_id},'/', ${family_id},'.db')</t>
  </si>
  <si>
    <t>9B5CF4-D4E4FD-3D84EF-tagging</t>
  </si>
  <si>
    <t>9B5CF4-D4E4FD-3D84EF-tagging-fill</t>
  </si>
  <si>
    <t>9B5CF4-D4E4FD-3D84EF-tagging-search</t>
  </si>
  <si>
    <t>9B5CF4-D4E4FD-3D84EF-tagging-search-fill</t>
  </si>
  <si>
    <t>9B5CF4-D4E4FD-3D84EF-tagging-choices-noshow</t>
  </si>
  <si>
    <t>9B5CF4-D4E4FD-3D84EF-tagging-choices-noshow-fill</t>
  </si>
  <si>
    <t>9B5CF4-D4E4FD-3D84EF-boxtag</t>
  </si>
  <si>
    <t>9B5CF4-D4E4FD-3D84EF-boxtag-search</t>
  </si>
  <si>
    <t>9B5CF4-D4E4FD-3D84EF-boxtag-fill</t>
  </si>
  <si>
    <t>9B5CF4-D4E4FD-3D84EF-boxtag-search-fill</t>
  </si>
  <si>
    <t>9B5CF4-D4E4FD-3D84EF-boxtag-choices-noshow</t>
  </si>
  <si>
    <t>9B5CF4-D4E4FD-3D84EF-boxtag-choices-noshow-fill</t>
  </si>
  <si>
    <t>annotate inline size-400</t>
  </si>
  <si>
    <t>annotate inline</t>
  </si>
  <si>
    <t>annotate inline-nojpg</t>
  </si>
  <si>
    <t>annotate inline-onlyjpg</t>
  </si>
  <si>
    <t>digisep(3,"-")</t>
  </si>
  <si>
    <t>toc-hide</t>
  </si>
  <si>
    <t>This will make the question hidden in TOC</t>
  </si>
  <si>
    <t>compact-5</t>
  </si>
  <si>
    <t>sections_select</t>
  </si>
  <si>
    <t>Which section do you want to explore?</t>
  </si>
  <si>
    <t>section_select</t>
  </si>
  <si>
    <t>select_multiple section_select</t>
  </si>
  <si>
    <t>selected(${sections_select},'0')</t>
  </si>
  <si>
    <t>selected(${sections_select},'1')</t>
  </si>
  <si>
    <t>selected(${sections_select},'2')</t>
  </si>
  <si>
    <t>selected(${sections_select},'3')</t>
  </si>
  <si>
    <t>selected(${sections_select},'4')</t>
  </si>
  <si>
    <t>selected(${sections_select},'5')</t>
  </si>
  <si>
    <t>selected(${sections_select},'6')</t>
  </si>
  <si>
    <t>selected(${sections_select},'7')</t>
  </si>
  <si>
    <t>selected(${sections_select},'8')</t>
  </si>
  <si>
    <t>selected(${sections_select},'9')</t>
  </si>
  <si>
    <t>selected(${sections_select},'10')</t>
  </si>
  <si>
    <t>selected(${sections_select},'11')</t>
  </si>
  <si>
    <t>selected(${sections_select},'12')</t>
  </si>
  <si>
    <t>selected(${sections_select},'13')</t>
  </si>
  <si>
    <t>selected(${sections_select},'14')</t>
  </si>
  <si>
    <t>selected(${sections_select},'15')</t>
  </si>
  <si>
    <t>R. NOTE</t>
  </si>
  <si>
    <t>starttime_str</t>
  </si>
  <si>
    <t>string(format-date-time(${starttime}, '%d/%m/%Y %H:%M:%S'))</t>
  </si>
  <si>
    <t>pulldata('app-api','user.username')</t>
  </si>
  <si>
    <t>first_page-button</t>
  </si>
  <si>
    <t>first_page-icon</t>
  </si>
  <si>
    <t>first_page-button-FF0098-0072BF</t>
  </si>
  <si>
    <t>first_page-icon-0072BF</t>
  </si>
  <si>
    <t>final_page-button</t>
  </si>
  <si>
    <t>final_page-icon</t>
  </si>
  <si>
    <t>final_page-button-FF0098-0072BF</t>
  </si>
  <si>
    <t>final_page-icon-0072BF</t>
  </si>
  <si>
    <t>toc-button</t>
  </si>
  <si>
    <t>toc-icon</t>
  </si>
  <si>
    <t>toc-button-FF0098-0072BF</t>
  </si>
  <si>
    <t>toc-icon-0072BF</t>
  </si>
  <si>
    <t>select1cmd-button-2times</t>
  </si>
  <si>
    <t>select1cmd-button-5times</t>
  </si>
  <si>
    <t>inline-1line-time</t>
  </si>
  <si>
    <t>inline-1line-time-FF0089</t>
  </si>
  <si>
    <t>inline-1line-date</t>
  </si>
  <si>
    <t>inline-1line-date-FF0089</t>
  </si>
  <si>
    <t>inline-1line-datetime</t>
  </si>
  <si>
    <t>inline-1line-datetime-FF0089</t>
  </si>
  <si>
    <t>UnsaveExit</t>
  </si>
  <si>
    <t>grid</t>
  </si>
  <si>
    <t>functions2</t>
  </si>
  <si>
    <t>functions1</t>
  </si>
  <si>
    <t>star_rating-009980-FFFF00</t>
  </si>
  <si>
    <t>star_rating-showlabel(1,3,5)-009980-FFFF00</t>
  </si>
  <si>
    <t>star_rating-009980-FFFF00-24pt</t>
  </si>
  <si>
    <t>star_rating-showlabel(1,3,5)-009980-FFFF00-32pt</t>
  </si>
  <si>
    <t>#FFCB00-32pt-star_rating-showlabel(1,2,3,4,5)</t>
  </si>
  <si>
    <t>#FFCB00-32pt-star_rating</t>
  </si>
  <si>
    <t>tagging-choices-noshow-v2-ee1289-084AFF-FF084A-ee1289-bf3eff</t>
  </si>
  <si>
    <t>bf3eff-FF084A-084AFF-boxtag-choices-noshow-v2</t>
  </si>
  <si>
    <t>boxtag-choices-noshow-v2-FBB0D4-009980-FF2E94-737373-FF2E94</t>
  </si>
  <si>
    <t>boxtag-choices-noshow-v2-fill-ee1289-084AFF-FF084A-ee1289-ffffff</t>
  </si>
  <si>
    <t>bf3eff-FF084A-084AFF-tagging-choices-noshow-v2-fill</t>
  </si>
  <si>
    <t>tagging-choices-noshow-v2-fill-ee1289-084AFF-FF084A-ee1289-ffffff</t>
  </si>
  <si>
    <t>bf3eff-FF084A-084AFF-boxtag-choices-noshow-v2-fill</t>
  </si>
  <si>
    <t>textpopup thousandsep</t>
  </si>
  <si>
    <t>charcount</t>
  </si>
  <si>
    <t>top[5]</t>
  </si>
  <si>
    <t>multiline-[5]</t>
  </si>
  <si>
    <t xml:space="preserve">hideres </t>
  </si>
  <si>
    <t xml:space="preserve">inline </t>
  </si>
  <si>
    <t xml:space="preserve">inline hideres </t>
  </si>
  <si>
    <t xml:space="preserve">floating </t>
  </si>
  <si>
    <t xml:space="preserve">floating hideres </t>
  </si>
  <si>
    <t>floating auto-close(5)</t>
  </si>
  <si>
    <t xml:space="preserve">floating auto-close(10) hideres </t>
  </si>
  <si>
    <t xml:space="preserve">floating auto-show </t>
  </si>
  <si>
    <t xml:space="preserve">floating auto-show hideres </t>
  </si>
  <si>
    <t>inline auto-close(5)</t>
  </si>
  <si>
    <t xml:space="preserve">inline auto-close(5) hideres </t>
  </si>
  <si>
    <t xml:space="preserve">floating float-pos(top) </t>
  </si>
  <si>
    <t xml:space="preserve">floating float-pos(bottom) </t>
  </si>
  <si>
    <t xml:space="preserve">floating float-pos(left) </t>
  </si>
  <si>
    <t xml:space="preserve">floating float-pos(right) </t>
  </si>
  <si>
    <t xml:space="preserve">floating float-pos(center) </t>
  </si>
  <si>
    <t xml:space="preserve">floating float-pos(top | left) </t>
  </si>
  <si>
    <t xml:space="preserve">floating float-pos(top | right) </t>
  </si>
  <si>
    <t xml:space="preserve">floating float-pos(bottom | left) </t>
  </si>
  <si>
    <t xml:space="preserve">floating float-pos(bottom | right) </t>
  </si>
  <si>
    <t xml:space="preserve">floating float-pos(top | center_horizontal) </t>
  </si>
  <si>
    <t xml:space="preserve">floating float-pos(bottom | center_horizontal) </t>
  </si>
  <si>
    <t xml:space="preserve">floating float-pos(right | center_vertical) </t>
  </si>
  <si>
    <t xml:space="preserve">floating float-pos(left | center_vertical) </t>
  </si>
  <si>
    <t>auto-close(5)</t>
  </si>
  <si>
    <t xml:space="preserve">auto-close(5) hideres </t>
  </si>
  <si>
    <t>inputs{show}</t>
  </si>
  <si>
    <t>inputs{hide}</t>
  </si>
  <si>
    <t>inputs{invisible}</t>
  </si>
  <si>
    <t>inputs{draggable}</t>
  </si>
  <si>
    <t>algorithm{manual}</t>
  </si>
  <si>
    <t>algorithm{manual auto[2m]}</t>
  </si>
  <si>
    <t>algorithm{auto[2m]}</t>
  </si>
  <si>
    <t>algorithm{auto[30s]}</t>
  </si>
  <si>
    <t>algorithm{auto[3m,30s]}</t>
  </si>
  <si>
    <t xml:space="preserve"> inline float_button end-stop-10s </t>
  </si>
  <si>
    <t>inline voice_effect</t>
  </si>
  <si>
    <t xml:space="preserve">inline voice_effect float_button end-stop-10s </t>
  </si>
  <si>
    <t>auto-start-recording</t>
  </si>
  <si>
    <t>end-stop-10s</t>
  </si>
  <si>
    <t xml:space="preserve">inline auto-start-recording end-stop-10s </t>
  </si>
  <si>
    <t xml:space="preserve">inline end-stop-20s </t>
  </si>
  <si>
    <t>inline auto-start-recording</t>
  </si>
  <si>
    <t>inline size-720</t>
  </si>
  <si>
    <t>size-360</t>
  </si>
  <si>
    <t xml:space="preserve">inline-1line </t>
  </si>
  <si>
    <t xml:space="preserve">inline-1line-0000FF </t>
  </si>
  <si>
    <t xml:space="preserve">inline-1line-0000FF-FFFF00 </t>
  </si>
  <si>
    <t xml:space="preserve">inline-onlyresult </t>
  </si>
  <si>
    <t xml:space="preserve">inline-1line month </t>
  </si>
  <si>
    <t xml:space="preserve">inline-1line day-year </t>
  </si>
  <si>
    <t>inline-[%a, %e-%n-%Y ]</t>
  </si>
  <si>
    <t>inline-[%H-%M-%S ]</t>
  </si>
  <si>
    <t>inline-[%H-%M-%3 ]</t>
  </si>
  <si>
    <t>inline-[%3]</t>
  </si>
  <si>
    <t>inline-[%S]</t>
  </si>
  <si>
    <t>inline-[%M]</t>
  </si>
  <si>
    <t>inline-[%h]</t>
  </si>
  <si>
    <t>inline-[%H]</t>
  </si>
  <si>
    <t>inline-[%h-%M-%S ]</t>
  </si>
  <si>
    <t>inline-[%e-%b-%Y ]</t>
  </si>
  <si>
    <t>inline-[%e-%b-%y ]</t>
  </si>
  <si>
    <t>inline-[%d-%b-%y ]</t>
  </si>
  <si>
    <t>inline-[%d-%b-%Y ]</t>
  </si>
  <si>
    <t>inline-[%e-%n-%y ]</t>
  </si>
  <si>
    <t>inline-[%e-%n-%Y ]</t>
  </si>
  <si>
    <t>inline-[%d-%n-%y ]</t>
  </si>
  <si>
    <t>inline-[%d-%n-%Y ]</t>
  </si>
  <si>
    <t>inline-[%e-%m-%y ]</t>
  </si>
  <si>
    <t>inline-[%e-%m-%Y ]</t>
  </si>
  <si>
    <t>inline-[%d-%m-%y ]</t>
  </si>
  <si>
    <t>inline-[%d-%m-%Y ]</t>
  </si>
  <si>
    <t>inline-[%a, %e-%b-%y ]</t>
  </si>
  <si>
    <t>inline-[%a, %e-%b-%Y ]</t>
  </si>
  <si>
    <t>inline-[%a, %d-%b-%y ]</t>
  </si>
  <si>
    <t>inline-[%a, %d-%b-%Y ]</t>
  </si>
  <si>
    <t>inline-[%a, %e-%n-%y ]</t>
  </si>
  <si>
    <t>inline-[%a, %d-%n-%y ]</t>
  </si>
  <si>
    <t>inline-[%a, %d-%n-%Y ]</t>
  </si>
  <si>
    <t>inline-[%a, %e-%m-%y ]</t>
  </si>
  <si>
    <t>inline-[%a, %e-%m-%Y ]</t>
  </si>
  <si>
    <t>inline-[%a, %d-%m-%y ]</t>
  </si>
  <si>
    <t>inline-[%a, %d-%m-%Y ]</t>
  </si>
  <si>
    <t>inline-[%a, %e-%m-%y %H:%M:%S ]</t>
  </si>
  <si>
    <t>inline-[%a, %e-%m-%Y %h:%M:%3 ]</t>
  </si>
  <si>
    <t>multiline-[5] embed</t>
  </si>
  <si>
    <t>upper</t>
  </si>
  <si>
    <t>lower</t>
  </si>
  <si>
    <t>proper</t>
  </si>
  <si>
    <t>verify-email</t>
  </si>
  <si>
    <t>slider_rating-38ac77-1e09ff-ff09b7-max[10]</t>
  </si>
  <si>
    <t>slider_rating-max[5]</t>
  </si>
  <si>
    <t>slider_rating</t>
  </si>
  <si>
    <t>slider_rating-38ac77-getcolor(${color5})-max[100]</t>
  </si>
  <si>
    <t>slider_rating-getcolor(${color2})-getcolor(${color3})-getcolor(${color4})-max[20]</t>
  </si>
  <si>
    <t>No autosend</t>
  </si>
  <si>
    <t>Autosend</t>
  </si>
  <si>
    <t>Finish with?</t>
  </si>
  <si>
    <t>autosend_yn</t>
  </si>
  <si>
    <t>select_one autosend_sl</t>
  </si>
  <si>
    <t>autosend_sl</t>
  </si>
  <si>
    <t>selected(${autosend_yn},'1')</t>
  </si>
  <si>
    <t>selected(${autosend_yn},'2')</t>
  </si>
  <si>
    <t>selected(${autosend_yn},'3')</t>
  </si>
  <si>
    <t>selected(${autosend_yn},'4')</t>
  </si>
  <si>
    <t>selected(${autosend_yn},'5')</t>
  </si>
  <si>
    <t>selected(${autosend_yn},'6')</t>
  </si>
  <si>
    <t>selected(${autosend_yn},'7')</t>
  </si>
  <si>
    <t>selected(${autosend_yn},'8')</t>
  </si>
  <si>
    <t>selected(${autosend_yn},'9')</t>
  </si>
  <si>
    <t>selected(${autosend_yn},'10')</t>
  </si>
  <si>
    <t>selected(${autosend_yn},'11')</t>
  </si>
  <si>
    <t>SaveIncompleteExit autosend[6]</t>
  </si>
  <si>
    <t>SaveFinalizedExit autosend[7]</t>
  </si>
  <si>
    <t>SaveIncompleteNew autosend[8]</t>
  </si>
  <si>
    <t>SaveFinalizedNew autosend[9]</t>
  </si>
  <si>
    <t>SaveFinalizedExitSend autosend[10]</t>
  </si>
  <si>
    <t>SaveFinalizedNewSend autosend[5]</t>
  </si>
  <si>
    <t>color1</t>
  </si>
  <si>
    <t>border full</t>
  </si>
  <si>
    <t>color2</t>
  </si>
  <si>
    <t>border</t>
  </si>
  <si>
    <t>color3</t>
  </si>
  <si>
    <t>border check</t>
  </si>
  <si>
    <t>color4</t>
  </si>
  <si>
    <t>color text</t>
  </si>
  <si>
    <t>color5</t>
  </si>
  <si>
    <t>color fill text</t>
  </si>
  <si>
    <t>tagging</t>
  </si>
  <si>
    <t>tagging-fill</t>
  </si>
  <si>
    <t>tagging-search</t>
  </si>
  <si>
    <t>tagging-search-fill</t>
  </si>
  <si>
    <t>tagging-choices-noshow</t>
  </si>
  <si>
    <t>tagging-choices-noshow-fill</t>
  </si>
  <si>
    <t>boxtag</t>
  </si>
  <si>
    <t>boxtag-fill</t>
  </si>
  <si>
    <t>boxtag-search</t>
  </si>
  <si>
    <t>boxtag-search-fill</t>
  </si>
  <si>
    <t>boxtag-choices-noshow</t>
  </si>
  <si>
    <t>boxtag-choices-noshow-fill</t>
  </si>
  <si>
    <t xml:space="preserve">end-stop-10s </t>
  </si>
  <si>
    <t xml:space="preserve"> inline float_button end-stop-15s-{exit1} </t>
  </si>
  <si>
    <t xml:space="preserve">inline voice_effect float_button end-stop-10s-{exit1} </t>
  </si>
  <si>
    <t>C. SELECT_MULTIPLE appearance</t>
  </si>
  <si>
    <t>D. INTEGER appearance</t>
  </si>
  <si>
    <t>E. DECIMAL appearance</t>
  </si>
  <si>
    <t>F. BARCODE appearance</t>
  </si>
  <si>
    <t>G. GEOTRACE appearance</t>
  </si>
  <si>
    <t>H. GEOSHAPE appearance</t>
  </si>
  <si>
    <t>I. GEOPOINT appearance</t>
  </si>
  <si>
    <t>J. IMAGE appearance</t>
  </si>
  <si>
    <t>K. AUDIO appearance</t>
  </si>
  <si>
    <t>L. VIDEO appearance</t>
  </si>
  <si>
    <t>M. DATE appearance</t>
  </si>
  <si>
    <t>N. TIME appearance</t>
  </si>
  <si>
    <t>O. DATETIME appearance</t>
  </si>
  <si>
    <t>P. TEXT appearance</t>
  </si>
  <si>
    <t>Q. TEXT (SAVE) appearance</t>
  </si>
  <si>
    <t>selected(${sections_select},'16')</t>
  </si>
  <si>
    <t>SELECT_MULTIPLE appearance</t>
  </si>
  <si>
    <t>geoshape appearance</t>
  </si>
  <si>
    <t>signature-inline size-400</t>
  </si>
  <si>
    <t>thumbnail-square-[900 x 600]</t>
  </si>
  <si>
    <t>inline-2in1-thumbnail-round-[200]</t>
  </si>
  <si>
    <t>inline-2in1-thumbnail-square-[900 x 600]</t>
  </si>
  <si>
    <t>inline thumbnail-square-[900x600]</t>
  </si>
  <si>
    <t>thumbnail-round-[100]</t>
  </si>
  <si>
    <t xml:space="preserve">selection_one_hide search-autocomplete-noedit(concat(${family_path},'/contact_all.db::externalData'),'[contact_name]','contact_id') </t>
  </si>
  <si>
    <t xml:space="preserve">selection_one_show search-autocomplete-noedit(concat(${family_path},'/contact_all.db::externalData'),'[contact_name]','contact_id') </t>
  </si>
  <si>
    <t>g1_s</t>
  </si>
  <si>
    <t>Infor</t>
  </si>
  <si>
    <t>media::image</t>
  </si>
  <si>
    <t>media::audio</t>
  </si>
  <si>
    <t>media::video</t>
  </si>
  <si>
    <t>required_message</t>
  </si>
  <si>
    <t>constraint_message</t>
  </si>
  <si>
    <t>os_Platform</t>
  </si>
  <si>
    <t>return current OS name (Android or iOS)</t>
  </si>
  <si>
    <t>pulldata('app-api','osPlatform')</t>
  </si>
  <si>
    <t>app_Platform</t>
  </si>
  <si>
    <t>return app platform name (rtWork, rtSurvey or rtHome)</t>
  </si>
  <si>
    <t>pulldata('app-api','appPlatform')</t>
  </si>
  <si>
    <t>return app's version name</t>
  </si>
  <si>
    <t>pulldata('app-api','appVersion')</t>
  </si>
  <si>
    <t>quick compact-5</t>
  </si>
  <si>
    <t>duolingo-style1</t>
  </si>
  <si>
    <t>UnsaveNew</t>
  </si>
  <si>
    <t>UnsaveNew autosend[5]</t>
  </si>
  <si>
    <t>UnsaveExit autosend[4]</t>
  </si>
  <si>
    <t>SELECT_ONE appearance</t>
  </si>
  <si>
    <t xml:space="preserve"> inline float_button </t>
  </si>
  <si>
    <t xml:space="preserve"> voice_effect end-stop-10s </t>
  </si>
  <si>
    <t xml:space="preserve">inline voice_effect end-stop-10s </t>
  </si>
  <si>
    <t xml:space="preserve">inline voice_effect float_button </t>
  </si>
  <si>
    <t>inline-1line y_range(2000-2046)</t>
  </si>
  <si>
    <t xml:space="preserve"> inline </t>
  </si>
  <si>
    <t xml:space="preserve"> inline end-stop-10s </t>
  </si>
  <si>
    <t xml:space="preserve"> voice_effect </t>
  </si>
  <si>
    <t>minimal-f6f6f6-0099FF-737373-ffffff</t>
  </si>
  <si>
    <t>rating_box-f6f6f6-0099FF-737373-EB4889</t>
  </si>
  <si>
    <t>rating_box-fill-f6f6f6-0099FF-737373-ffffff</t>
  </si>
  <si>
    <t>boxtag-F6CEEC-f6f6f6-0099FF-737373-EB4889</t>
  </si>
  <si>
    <t>boxtag-fill-F6CEEC-f6f6f6-0099FF-737373-ffffff</t>
  </si>
  <si>
    <t>boxtag-search-F6CEEC-f6f6f6-0099FF-737373-EB4889</t>
  </si>
  <si>
    <t>boxtag-search-fill-F6CEEC-f6f6f6-0099FF-737373-ffffff</t>
  </si>
  <si>
    <t>boxtag-choices-noshow-F6CEEC-f6f6f6-0099FF-737373-EB4889</t>
  </si>
  <si>
    <t>boxtag-choices-noshow-fill-F6CEEC-f6f6f6-0099FF-737373-ffffff</t>
  </si>
  <si>
    <t>tagging-F6CEEC-f6f6f6-0099FF-737373-EB4889</t>
  </si>
  <si>
    <t>tagging-fill-F6CEEC-f6f6f6-0099FF-737373-ffffff</t>
  </si>
  <si>
    <t>tagging-search-F6CEEC-f6f6f6-0099FF-737373-EB4889</t>
  </si>
  <si>
    <t>tagging-search-fill-F6CEEC-f6f6f6-0099FF-737373-ffffff</t>
  </si>
  <si>
    <t>tagging-choices-noshow-F6CEEC-f6f6f6-0099FF-737373-EB4889</t>
  </si>
  <si>
    <t>inline &lt;#0099FF/&gt;</t>
  </si>
  <si>
    <t>inline &lt;#0099FF/&gt; size-1440</t>
  </si>
  <si>
    <t>inline &lt;#0099FF/&gt; auto-start-recording</t>
  </si>
  <si>
    <t>inline &lt;#0099FF/&gt; end-stop-5s</t>
  </si>
  <si>
    <t xml:space="preserve">inline &lt;#0099FF/&gt; auto-start-recording end-stop-10s </t>
  </si>
  <si>
    <t>inline-1line-time-FF0089-0099FF</t>
  </si>
  <si>
    <t>inline-1line-date-FF0089-0099FF</t>
  </si>
  <si>
    <t>inline-1line-datetime-FF0089-0099FF</t>
  </si>
  <si>
    <t>family</t>
  </si>
  <si>
    <t>concat(${uuid_ssname})</t>
  </si>
  <si>
    <t>concat('AIO_Appearance','_',${username},'_',${starttime_str})</t>
  </si>
  <si>
    <t>floating_hint</t>
  </si>
  <si>
    <t>b</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</si>
  <si>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</si>
  <si>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</si>
  <si>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</si>
  <si>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</si>
  <si>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</si>
  <si>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</si>
  <si>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</si>
  <si>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</si>
  <si>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</si>
  <si>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</si>
  <si>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</si>
  <si>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</si>
  <si>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</si>
  <si>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</si>
  <si>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</si>
  <si>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</si>
  <si>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</si>
  <si>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</si>
  <si>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</si>
  <si>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</si>
  <si>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</si>
  <si>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</si>
  <si>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</si>
  <si>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</si>
  <si>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</si>
  <si>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</si>
  <si>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</si>
  <si>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</si>
  <si>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</si>
  <si>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</si>
  <si>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</si>
  <si>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</si>
  <si>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</si>
  <si>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</si>
  <si>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</si>
  <si>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</si>
  <si>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</si>
  <si>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</si>
  <si>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</si>
  <si>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</si>
  <si>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</si>
  <si>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</si>
  <si>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</si>
  <si>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</si>
  <si>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</si>
  <si>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</si>
  <si>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</si>
  <si>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</si>
  <si>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</si>
  <si>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</si>
  <si>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</si>
  <si>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</si>
  <si>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</si>
  <si>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</si>
  <si>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</si>
  <si>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</si>
  <si>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</si>
  <si>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</si>
  <si>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</si>
  <si>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</si>
  <si>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</si>
  <si>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</si>
  <si>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</si>
  <si>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</si>
  <si>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</si>
  <si>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</si>
  <si>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</si>
  <si>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</si>
  <si>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ba</t>
  </si>
  <si>
    <t>ba1</t>
  </si>
  <si>
    <t>ba2</t>
  </si>
  <si>
    <t>ba3</t>
  </si>
  <si>
    <t>ba4</t>
  </si>
  <si>
    <t>c</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</si>
  <si>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</si>
  <si>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</si>
  <si>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</si>
  <si>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</si>
  <si>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</si>
  <si>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</si>
  <si>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</si>
  <si>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</si>
  <si>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</si>
  <si>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</si>
  <si>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</si>
  <si>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</si>
  <si>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</si>
  <si>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</si>
  <si>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</si>
  <si>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</si>
  <si>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</si>
  <si>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</si>
  <si>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</si>
  <si>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</si>
  <si>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</si>
  <si>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</si>
  <si>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</si>
  <si>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</si>
  <si>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</si>
  <si>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</si>
  <si>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</si>
  <si>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</si>
  <si>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</si>
  <si>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</si>
  <si>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</si>
  <si>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</si>
  <si>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</si>
  <si>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</si>
  <si>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</si>
  <si>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</si>
  <si>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</si>
  <si>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</si>
  <si>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</si>
  <si>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</si>
  <si>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</si>
  <si>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</si>
  <si>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</si>
  <si>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</si>
  <si>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</si>
  <si>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</si>
  <si>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</si>
  <si>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</si>
  <si>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</si>
  <si>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</si>
  <si>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</si>
  <si>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</si>
  <si>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</si>
  <si>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</si>
  <si>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</si>
  <si>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</si>
  <si>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</si>
  <si>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</si>
  <si>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</si>
  <si>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</si>
  <si>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ca</t>
  </si>
  <si>
    <t>ca1</t>
  </si>
  <si>
    <t>ca2</t>
  </si>
  <si>
    <t>d</t>
  </si>
  <si>
    <t>d1</t>
  </si>
  <si>
    <t>d2</t>
  </si>
  <si>
    <t>d3</t>
  </si>
  <si>
    <t>d4</t>
  </si>
  <si>
    <t>d5</t>
  </si>
  <si>
    <t>d6</t>
  </si>
  <si>
    <t>d7</t>
  </si>
  <si>
    <t>d8</t>
  </si>
  <si>
    <t>d9</t>
  </si>
  <si>
    <t>d10</t>
  </si>
  <si>
    <t>d11</t>
  </si>
  <si>
    <t>d12</t>
  </si>
  <si>
    <t>d13</t>
  </si>
  <si>
    <t>d14</t>
  </si>
  <si>
    <t>d15</t>
  </si>
  <si>
    <t>d16</t>
  </si>
  <si>
    <t>d17</t>
  </si>
  <si>
    <t>d18</t>
  </si>
  <si>
    <t>d19</t>
  </si>
  <si>
    <t>e</t>
  </si>
  <si>
    <t>e1</t>
  </si>
  <si>
    <t>e2</t>
  </si>
  <si>
    <t>e3</t>
  </si>
  <si>
    <t>e4</t>
  </si>
  <si>
    <t>e5</t>
  </si>
  <si>
    <t>e6</t>
  </si>
  <si>
    <t>e7</t>
  </si>
  <si>
    <t>e8</t>
  </si>
  <si>
    <t>e9</t>
  </si>
  <si>
    <t>e10</t>
  </si>
  <si>
    <t>e11</t>
  </si>
  <si>
    <t>e12</t>
  </si>
  <si>
    <t>e13</t>
  </si>
  <si>
    <t>e14</t>
  </si>
  <si>
    <t>e15</t>
  </si>
  <si>
    <t>e16</t>
  </si>
  <si>
    <t>e17</t>
  </si>
  <si>
    <t>e18</t>
  </si>
  <si>
    <t>e19</t>
  </si>
  <si>
    <t>f</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</si>
  <si>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</si>
  <si>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</si>
  <si>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</si>
  <si>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</si>
  <si>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</si>
  <si>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</si>
  <si>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</si>
  <si>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</si>
  <si>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</si>
  <si>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</si>
  <si>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</si>
  <si>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</si>
  <si>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</si>
  <si>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</si>
  <si>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</si>
  <si>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</si>
  <si>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</si>
  <si>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</si>
  <si>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</si>
  <si>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</si>
  <si>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</si>
  <si>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</si>
  <si>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</si>
  <si>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</si>
  <si>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</si>
  <si>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</si>
  <si>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</si>
  <si>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</si>
  <si>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</si>
  <si>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</si>
  <si>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</si>
  <si>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</si>
  <si>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fa</t>
  </si>
  <si>
    <t>fa1</t>
  </si>
  <si>
    <t>fa2</t>
  </si>
  <si>
    <t>fa3</t>
  </si>
  <si>
    <t>fa4</t>
  </si>
  <si>
    <t>g</t>
  </si>
  <si>
    <t>g1</t>
  </si>
  <si>
    <t>g2</t>
  </si>
  <si>
    <t>g3</t>
  </si>
  <si>
    <t>g4</t>
  </si>
  <si>
    <t>g5</t>
  </si>
  <si>
    <t>g6</t>
  </si>
  <si>
    <t>g7</t>
  </si>
  <si>
    <t>g8</t>
  </si>
  <si>
    <t>g9</t>
  </si>
  <si>
    <t>g10</t>
  </si>
  <si>
    <t>g11</t>
  </si>
  <si>
    <t>h</t>
  </si>
  <si>
    <t>h1</t>
  </si>
  <si>
    <t>h2</t>
  </si>
  <si>
    <t>h3</t>
  </si>
  <si>
    <t>h4</t>
  </si>
  <si>
    <t>h5</t>
  </si>
  <si>
    <t>h6</t>
  </si>
  <si>
    <t>h7</t>
  </si>
  <si>
    <t>h8</t>
  </si>
  <si>
    <t>h9</t>
  </si>
  <si>
    <t>h10</t>
  </si>
  <si>
    <t>h11</t>
  </si>
  <si>
    <t>i</t>
  </si>
  <si>
    <t>i1</t>
  </si>
  <si>
    <t>i2</t>
  </si>
  <si>
    <t>i3</t>
  </si>
  <si>
    <t>i4</t>
  </si>
  <si>
    <t>i5</t>
  </si>
  <si>
    <t>i6</t>
  </si>
  <si>
    <t>j</t>
  </si>
  <si>
    <t>j1</t>
  </si>
  <si>
    <t>j2</t>
  </si>
  <si>
    <t>j3</t>
  </si>
  <si>
    <t>j4</t>
  </si>
  <si>
    <t>j5</t>
  </si>
  <si>
    <t>j6</t>
  </si>
  <si>
    <t>j7</t>
  </si>
  <si>
    <t>j8</t>
  </si>
  <si>
    <t>j9</t>
  </si>
  <si>
    <t>j10</t>
  </si>
  <si>
    <t>j11</t>
  </si>
  <si>
    <t>j12</t>
  </si>
  <si>
    <t>j13</t>
  </si>
  <si>
    <t>j14</t>
  </si>
  <si>
    <t>j15</t>
  </si>
  <si>
    <t>j16</t>
  </si>
  <si>
    <t>j17</t>
  </si>
  <si>
    <t>j18</t>
  </si>
  <si>
    <t>j19</t>
  </si>
  <si>
    <t>j20</t>
  </si>
  <si>
    <t>j21</t>
  </si>
  <si>
    <t>j22</t>
  </si>
  <si>
    <t>j23</t>
  </si>
  <si>
    <t>j24</t>
  </si>
  <si>
    <t>j25</t>
  </si>
  <si>
    <t>j26</t>
  </si>
  <si>
    <t>j27</t>
  </si>
  <si>
    <t>j28</t>
  </si>
  <si>
    <t>j29</t>
  </si>
  <si>
    <t>j30</t>
  </si>
  <si>
    <t>j31</t>
  </si>
  <si>
    <t>k</t>
  </si>
  <si>
    <t>k1</t>
  </si>
  <si>
    <t>k2</t>
  </si>
  <si>
    <t>k3</t>
  </si>
  <si>
    <t>k4</t>
  </si>
  <si>
    <t>k5</t>
  </si>
  <si>
    <t>k6</t>
  </si>
  <si>
    <t>k7</t>
  </si>
  <si>
    <t>k8</t>
  </si>
  <si>
    <t>k9</t>
  </si>
  <si>
    <t>k10</t>
  </si>
  <si>
    <t>k11</t>
  </si>
  <si>
    <t>k12</t>
  </si>
  <si>
    <t>k13</t>
  </si>
  <si>
    <t>k14</t>
  </si>
  <si>
    <t>k15</t>
  </si>
  <si>
    <t>k16</t>
  </si>
  <si>
    <t>k17</t>
  </si>
  <si>
    <t>k18</t>
  </si>
  <si>
    <t>k19</t>
  </si>
  <si>
    <t>k20</t>
  </si>
  <si>
    <t>k21</t>
  </si>
  <si>
    <t>k22</t>
  </si>
  <si>
    <t>k23</t>
  </si>
  <si>
    <t>l</t>
  </si>
  <si>
    <t>l1</t>
  </si>
  <si>
    <t>l2</t>
  </si>
  <si>
    <t>l6</t>
  </si>
  <si>
    <t>l7</t>
  </si>
  <si>
    <t>l8</t>
  </si>
  <si>
    <t>l9</t>
  </si>
  <si>
    <t>l10</t>
  </si>
  <si>
    <t>l11</t>
  </si>
  <si>
    <t>l12</t>
  </si>
  <si>
    <t>l13</t>
  </si>
  <si>
    <t>l14</t>
  </si>
  <si>
    <t>m</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</si>
  <si>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</si>
  <si>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</si>
  <si>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</si>
  <si>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</si>
  <si>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</si>
  <si>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</si>
  <si>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</si>
  <si>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</si>
  <si>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</si>
  <si>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</si>
  <si>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</si>
  <si>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</si>
  <si>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</si>
  <si>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</si>
  <si>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</si>
  <si>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</si>
  <si>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</si>
  <si>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</si>
  <si>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</si>
  <si>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</si>
  <si>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</si>
  <si>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</si>
  <si>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</si>
  <si>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</si>
  <si>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</si>
  <si>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</si>
  <si>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</si>
  <si>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</si>
  <si>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</si>
  <si>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</si>
  <si>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</si>
  <si>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</si>
  <si>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</si>
  <si>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</si>
  <si>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</si>
  <si>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</si>
  <si>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</si>
  <si>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</si>
  <si>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</si>
  <si>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</si>
  <si>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</si>
  <si>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</si>
  <si>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</si>
  <si>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n</t>
  </si>
  <si>
    <t>n1</t>
  </si>
  <si>
    <t>n2</t>
  </si>
  <si>
    <t>n3</t>
  </si>
  <si>
    <t>n4</t>
  </si>
  <si>
    <t>n5</t>
  </si>
  <si>
    <t>n6</t>
  </si>
  <si>
    <t>n7</t>
  </si>
  <si>
    <t>n8</t>
  </si>
  <si>
    <t>n9</t>
  </si>
  <si>
    <t>n10</t>
  </si>
  <si>
    <t>n11</t>
  </si>
  <si>
    <t>n12</t>
  </si>
  <si>
    <t>n13</t>
  </si>
  <si>
    <t>n14</t>
  </si>
  <si>
    <t>n15</t>
  </si>
  <si>
    <t>o</t>
  </si>
  <si>
    <t>o1</t>
  </si>
  <si>
    <t>o2</t>
  </si>
  <si>
    <t>o3</t>
  </si>
  <si>
    <t>o4</t>
  </si>
  <si>
    <t>o5</t>
  </si>
  <si>
    <t>o6</t>
  </si>
  <si>
    <t>o7</t>
  </si>
  <si>
    <t>o8</t>
  </si>
  <si>
    <t>o9</t>
  </si>
  <si>
    <t>o10</t>
  </si>
  <si>
    <t>o11</t>
  </si>
  <si>
    <t>p</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</si>
  <si>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</si>
  <si>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</si>
  <si>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</si>
  <si>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</si>
  <si>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</si>
  <si>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</si>
  <si>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</si>
  <si>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</si>
  <si>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</si>
  <si>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</si>
  <si>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</si>
  <si>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</si>
  <si>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</si>
  <si>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</si>
  <si>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</si>
  <si>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</si>
  <si>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</si>
  <si>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</si>
  <si>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</si>
  <si>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</si>
  <si>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</si>
  <si>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</si>
  <si>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</si>
  <si>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</si>
  <si>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</si>
  <si>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</si>
  <si>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</si>
  <si>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</si>
  <si>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</si>
  <si>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</si>
  <si>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</si>
  <si>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</si>
  <si>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</si>
  <si>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</si>
  <si>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</si>
  <si>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</si>
  <si>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</si>
  <si>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</si>
  <si>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</si>
  <si>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</si>
  <si>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</si>
  <si>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</si>
  <si>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</si>
  <si>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</si>
  <si>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</si>
  <si>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</si>
  <si>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</si>
  <si>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</si>
  <si>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</si>
  <si>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</si>
  <si>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</si>
  <si>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</si>
  <si>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</si>
  <si>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</si>
  <si>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</si>
  <si>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</si>
  <si>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</si>
  <si>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</si>
  <si>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</si>
  <si>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</si>
  <si>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</si>
  <si>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</si>
  <si>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</si>
  <si>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</si>
  <si>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</si>
  <si>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</si>
  <si>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</si>
  <si>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</si>
  <si>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</si>
  <si>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</si>
  <si>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</si>
  <si>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</si>
  <si>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</si>
  <si>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</si>
  <si>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</si>
  <si>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</si>
  <si>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</si>
  <si>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</si>
  <si>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</si>
  <si>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</si>
  <si>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</si>
  <si>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</si>
  <si>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</si>
  <si>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</si>
  <si>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</si>
  <si>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</si>
  <si>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q</t>
  </si>
  <si>
    <t>q2</t>
  </si>
  <si>
    <t>q3</t>
  </si>
  <si>
    <t>q4</t>
  </si>
  <si>
    <t>q5</t>
  </si>
  <si>
    <t>q6</t>
  </si>
  <si>
    <t>q7</t>
  </si>
  <si>
    <t>q8</t>
  </si>
  <si>
    <t>q9</t>
  </si>
  <si>
    <t>q10</t>
  </si>
  <si>
    <t>q11</t>
  </si>
  <si>
    <t>q12</t>
  </si>
  <si>
    <t>q13</t>
  </si>
  <si>
    <t>q14</t>
  </si>
  <si>
    <t>q15</t>
  </si>
  <si>
    <t>q16</t>
  </si>
  <si>
    <t>q17</t>
  </si>
  <si>
    <t>q18</t>
  </si>
  <si>
    <t>q19</t>
  </si>
  <si>
    <t>q20</t>
  </si>
  <si>
    <t>q21</t>
  </si>
  <si>
    <t>q22</t>
  </si>
  <si>
    <t>q23</t>
  </si>
  <si>
    <t>q24</t>
  </si>
  <si>
    <t>qa</t>
  </si>
  <si>
    <t>qa1</t>
  </si>
  <si>
    <t>qa2</t>
  </si>
  <si>
    <t>qa3</t>
  </si>
  <si>
    <t>qa4</t>
  </si>
  <si>
    <t>qa5</t>
  </si>
  <si>
    <t>qa6</t>
  </si>
  <si>
    <t>qa7</t>
  </si>
  <si>
    <t>qa8</t>
  </si>
  <si>
    <t>qa9</t>
  </si>
  <si>
    <t>qa10</t>
  </si>
  <si>
    <t>qa11</t>
  </si>
  <si>
    <t>qa12</t>
  </si>
  <si>
    <t>qa13</t>
  </si>
  <si>
    <t>qa14</t>
  </si>
  <si>
    <t>r1</t>
  </si>
  <si>
    <t>r2</t>
  </si>
  <si>
    <t>r3</t>
  </si>
  <si>
    <t>r4</t>
  </si>
  <si>
    <t>VIDEO appearance</t>
  </si>
  <si>
    <t>GEOSHAPE</t>
  </si>
  <si>
    <t>SELECT MULTIPLE</t>
  </si>
  <si>
    <t>inline editable</t>
  </si>
  <si>
    <t>editable</t>
  </si>
  <si>
    <t xml:space="preserve">inline &lt;#0000FF/&gt; </t>
  </si>
  <si>
    <t xml:space="preserve">inline-onlyresult &lt;#0000FF/&gt; </t>
  </si>
  <si>
    <t>Project Code: &lt;font color = '#0098FF'&gt;&lt;b&gt;${project_Code}&lt;/b&gt;&lt;/font&gt;. Username: &lt;font color = '#0098FF'&gt;&lt;b&gt;${username}&lt;/b&gt;&lt;/font&gt;. Form Family: &lt;font color = '#0098FF'&gt;&lt;b&gt;${family_id}&lt;/b&gt;&lt;/font&gt;. Platform: &lt;font color = '#0098FF'&gt;&lt;b&gt;${os_Platform}&lt;/b&gt;&lt;/font&gt;. App: &lt;font color = '#0098FF'&gt;&lt;b&gt;${app_Platform}&lt;/b&gt;&lt;/font&gt;. App version: &lt;font color = '#0098FF'&gt;&lt;b&gt;${app_version}&lt;/b&gt;&lt;/font&gt;. App Language: &lt;font color = '#0098FF'&gt;&lt;b&gt;${app_language}&lt;/b&gt;&lt;/font&gt;</t>
  </si>
  <si>
    <t>INTEGER appearance</t>
  </si>
  <si>
    <t>DECIMAL appearance</t>
  </si>
  <si>
    <t>BARCODE appearance</t>
  </si>
  <si>
    <t>GEOTRACE appearance</t>
  </si>
  <si>
    <t>GEOPOINT appearance</t>
  </si>
  <si>
    <t>IMAGE appearance</t>
  </si>
  <si>
    <t>AUDIO appearance</t>
  </si>
  <si>
    <t>DATE appearance</t>
  </si>
  <si>
    <t>TIME appearance</t>
  </si>
  <si>
    <t>DATETIME appearance</t>
  </si>
  <si>
    <t>TEXT appearance</t>
  </si>
  <si>
    <t>TEXT appearance - End form</t>
  </si>
  <si>
    <t>Text appearance - Autosend</t>
  </si>
  <si>
    <t>Text appearance - End form</t>
  </si>
  <si>
    <t>SELECT_ONE quick prev</t>
  </si>
  <si>
    <t>app_version</t>
  </si>
  <si>
    <t>app_language</t>
  </si>
  <si>
    <t>return current app language in app’s setting (vi, en)</t>
  </si>
  <si>
    <t>pulldata('app-api','appLanguage')</t>
  </si>
  <si>
    <t>original_dev</t>
  </si>
  <si>
    <t>return device ID</t>
  </si>
  <si>
    <t>once(${deviceid})</t>
  </si>
  <si>
    <t>get_Screen_Size</t>
  </si>
  <si>
    <t>return the device screen size (inch)</t>
  </si>
  <si>
    <t>pulldata('app-api','getScreenSize')</t>
  </si>
  <si>
    <t>user_name</t>
  </si>
  <si>
    <t>return full name of user</t>
  </si>
  <si>
    <t>pulldata('app-api','user.name')</t>
  </si>
  <si>
    <t>project_Code</t>
  </si>
  <si>
    <t>return current project code of the site user are signing in</t>
  </si>
  <si>
    <t>pulldata('app-api','projectCode')</t>
  </si>
  <si>
    <t>server_time</t>
  </si>
  <si>
    <t>return the best available approximation of the date and time on server</t>
  </si>
  <si>
    <t>pulldata('app-api','serverTime')</t>
  </si>
  <si>
    <t>concat('0099FF')</t>
  </si>
  <si>
    <t>concat('00FF99')</t>
  </si>
  <si>
    <t>concat('FF9900')</t>
  </si>
  <si>
    <t>concat('9900FF')</t>
  </si>
  <si>
    <t>d20</t>
  </si>
  <si>
    <t>e20</t>
  </si>
  <si>
    <t>k24</t>
  </si>
  <si>
    <t>k25</t>
  </si>
  <si>
    <t>k26</t>
  </si>
  <si>
    <t>k27</t>
  </si>
  <si>
    <t>p87</t>
  </si>
  <si>
    <t>p88</t>
  </si>
  <si>
    <t>p89</t>
  </si>
  <si>
    <t>tts('Xin chào','vi')</t>
  </si>
  <si>
    <t>tts('questionHint', 'us')</t>
  </si>
  <si>
    <t>tts('questionLabel', 'us')</t>
  </si>
  <si>
    <t>p90</t>
  </si>
  <si>
    <t>p91</t>
  </si>
  <si>
    <t>p92</t>
  </si>
  <si>
    <t>p93</t>
  </si>
  <si>
    <t>p94</t>
  </si>
  <si>
    <t>p95</t>
  </si>
  <si>
    <t>p96</t>
  </si>
  <si>
    <t>p97</t>
  </si>
  <si>
    <t>p98</t>
  </si>
  <si>
    <t>calculate-icon(formula[${text_p91}+${text_p92}],result[text_p97,text_p98])</t>
  </si>
  <si>
    <t>calculate-button(formula[${text_p91}-${text_p92}],result[text_p97,text_p98])</t>
  </si>
  <si>
    <t>p99</t>
  </si>
  <si>
    <t>p100</t>
  </si>
  <si>
    <t>p101</t>
  </si>
  <si>
    <t>p102</t>
  </si>
  <si>
    <t>gen-qr('RTA - Digitalize The World')</t>
  </si>
  <si>
    <t>gen-qr(${text_p98})</t>
  </si>
  <si>
    <t>gen-qr(concat('resources/familyMedia/',${family_id},'/contact_all.db::externalData'),'contact_name','contact_id', 18)</t>
  </si>
  <si>
    <t>gen-qr('rawquery',concat('resources/familyMedia/',${family_id},'/contact_all.db::externalData'),'SELECT contact_name FROM externalData where contact_id = 18')</t>
  </si>
  <si>
    <t>p103</t>
  </si>
  <si>
    <t>p104</t>
  </si>
  <si>
    <t>prefix('rta')</t>
  </si>
  <si>
    <t>p105</t>
  </si>
  <si>
    <t>prefix(${text_p104})</t>
  </si>
  <si>
    <t>p106</t>
  </si>
  <si>
    <t>refresh-button</t>
  </si>
  <si>
    <t>refresh-text</t>
  </si>
  <si>
    <t>p107</t>
  </si>
  <si>
    <t>p108</t>
  </si>
  <si>
    <t>calculator-0099FF</t>
  </si>
  <si>
    <t>calculate-icon(formula[${text_p91}*${text_p92}],result[text_p97,text_p98])-0099FF</t>
  </si>
  <si>
    <t>calculate-button(formula[${text_p91}/${text_p92}],result[text_p97,text_p98])-0099FF-9900FF</t>
  </si>
  <si>
    <t>&lt;#0099FF/&gt;</t>
  </si>
  <si>
    <t xml:space="preserve">prevscreen </t>
  </si>
  <si>
    <t xml:space="preserve">nextscreen </t>
  </si>
  <si>
    <t xml:space="preserve">prevscreen-text </t>
  </si>
  <si>
    <t xml:space="preserve">nextscreen-text </t>
  </si>
  <si>
    <t xml:space="preserve">prevscreen-button </t>
  </si>
  <si>
    <t xml:space="preserve">time inline </t>
  </si>
  <si>
    <t xml:space="preserve">time inline-onlyresult </t>
  </si>
  <si>
    <t xml:space="preserve">date inline </t>
  </si>
  <si>
    <t xml:space="preserve">date inline-onlyresult </t>
  </si>
  <si>
    <t xml:space="preserve">datetime inline </t>
  </si>
  <si>
    <t xml:space="preserve">datetime inline-onlyresult </t>
  </si>
  <si>
    <t xml:space="preserve">UnsaveExit </t>
  </si>
  <si>
    <t xml:space="preserve">UnsaveNew </t>
  </si>
  <si>
    <t xml:space="preserve">SaveIncompleteExit </t>
  </si>
  <si>
    <t xml:space="preserve">SaveFinalizedExit </t>
  </si>
  <si>
    <t xml:space="preserve">SaveIncompleteNew </t>
  </si>
  <si>
    <t xml:space="preserve">SaveFinalizedNew </t>
  </si>
  <si>
    <t xml:space="preserve">SaveFinalizedExitSend </t>
  </si>
  <si>
    <t xml:space="preserve">SaveFinalizedNewSend </t>
  </si>
  <si>
    <t>q25</t>
  </si>
  <si>
    <t>q26</t>
  </si>
  <si>
    <t>q27</t>
  </si>
  <si>
    <t>q28</t>
  </si>
  <si>
    <t>SaveFinalizedNew(.,preload(text_a1=text_a1))</t>
  </si>
  <si>
    <t>SaveFinalizedNewSend(.,preload(text_a1=text_a1))</t>
  </si>
  <si>
    <t xml:space="preserve">SaveFinalizedNew(.,preload(text_a1=text_a1)) </t>
  </si>
  <si>
    <t xml:space="preserve">SaveFinalizedNewSend(.,preload(text_a1=text_a1)) </t>
  </si>
  <si>
    <t>SaveFinalizedNew(.,preload(text_a1=text_a1)) autosend[8]</t>
  </si>
  <si>
    <t>SaveFinalizedNewSend(.,preload(text_a1=text_a1)) autosend[8]</t>
  </si>
  <si>
    <t>SaveFinalizedNew(rtST_All_In_One_Appearance,preload(text_a1=text_a1)) autosend[5]</t>
  </si>
  <si>
    <t>SaveFinalizedNewSend(rtST_All_In_One_Appearance,preload(text_a1=text_a1)) autosend[5]</t>
  </si>
  <si>
    <t>SaveFinalizedNew(.,remove(text_a1, integer_a2, decimal_a3))</t>
  </si>
  <si>
    <t>SaveFinalizedNewSend(.,remove(text_a1, integer_a2, decimal_a3))</t>
  </si>
  <si>
    <t xml:space="preserve">SaveFinalizedNew(.,remove(text_a1, integer_a2, decimal_a3)) </t>
  </si>
  <si>
    <t xml:space="preserve">SaveFinalizedNewSend(.,remove(text_a1, integer_a2, decimal_a3)) </t>
  </si>
  <si>
    <t>SaveFinalizedNew(.,remove(text_a1, integer_a2, decimal_a3)) autosend[6]</t>
  </si>
  <si>
    <t>SaveFinalizedNewSend(.,remove(text_a1, integer_a2, decimal_a3)) autosend[7]</t>
  </si>
  <si>
    <t xml:space="preserve">inline voice_effect </t>
  </si>
  <si>
    <t>k28</t>
  </si>
  <si>
    <t>k29</t>
  </si>
  <si>
    <t>k30</t>
  </si>
  <si>
    <t>k31</t>
  </si>
  <si>
    <t>audio_call-norecord</t>
  </si>
  <si>
    <t>audio_call-record</t>
  </si>
  <si>
    <t>new</t>
  </si>
  <si>
    <t>k32</t>
  </si>
  <si>
    <t>k33</t>
  </si>
  <si>
    <t>k34</t>
  </si>
  <si>
    <t>k35</t>
  </si>
  <si>
    <t>k36</t>
  </si>
  <si>
    <t>back-camera</t>
  </si>
  <si>
    <t>front-camera</t>
  </si>
  <si>
    <t>f33</t>
  </si>
  <si>
    <t>f34</t>
  </si>
  <si>
    <t>select_multiple show_bar</t>
  </si>
  <si>
    <t>f35</t>
  </si>
  <si>
    <t>Barcode auto-show appearance</t>
  </si>
  <si>
    <t>inline hideres</t>
  </si>
  <si>
    <t>floating</t>
  </si>
  <si>
    <t>floating hideres</t>
  </si>
  <si>
    <t xml:space="preserve">inline auto-close(5) </t>
  </si>
  <si>
    <t xml:space="preserve">floating auto-close(5) </t>
  </si>
  <si>
    <t xml:space="preserve">floating auto-close(5) hideres </t>
  </si>
  <si>
    <t>floating auto-show auto-close(5)</t>
  </si>
  <si>
    <t>floating auto-show auto-close(10) hideres</t>
  </si>
  <si>
    <t>show_bar</t>
  </si>
  <si>
    <t>minimal checkall</t>
  </si>
  <si>
    <t>inline-[%H:%M]</t>
  </si>
  <si>
    <t>inline-[%h:%M ]</t>
  </si>
  <si>
    <t>n16</t>
  </si>
  <si>
    <t>n17</t>
  </si>
  <si>
    <t xml:space="preserve">&lt;#0099FF/&gt; </t>
  </si>
  <si>
    <t>inline-[%M:%S]</t>
  </si>
  <si>
    <t>inline-[%M:%3]</t>
  </si>
  <si>
    <t>n18</t>
  </si>
  <si>
    <t>n19</t>
  </si>
  <si>
    <t>inline-onlyresult</t>
  </si>
  <si>
    <t>m44</t>
  </si>
  <si>
    <t>ethiopian</t>
  </si>
  <si>
    <t>coptic</t>
  </si>
  <si>
    <t>islamic</t>
  </si>
  <si>
    <t>no-calendar</t>
  </si>
  <si>
    <t>year</t>
  </si>
  <si>
    <t>month-year</t>
  </si>
  <si>
    <t>n20</t>
  </si>
  <si>
    <t>o12</t>
  </si>
  <si>
    <t>o13</t>
  </si>
  <si>
    <t>o14</t>
  </si>
  <si>
    <t>o15</t>
  </si>
  <si>
    <t>o16</t>
  </si>
  <si>
    <t>o17</t>
  </si>
  <si>
    <t>o18</t>
  </si>
  <si>
    <t>o19</t>
  </si>
  <si>
    <t>o20</t>
  </si>
  <si>
    <t>o21</t>
  </si>
  <si>
    <t>Hiện tại hiển thị chưa đúng. Do ODK và rtApp hiển thị khác nhau về UI.</t>
  </si>
  <si>
    <t>e21</t>
  </si>
  <si>
    <t>textpopup digisep(3,"-")</t>
  </si>
  <si>
    <t>e22</t>
  </si>
  <si>
    <t>e23</t>
  </si>
  <si>
    <t>inputs{nomap}</t>
  </si>
  <si>
    <t>inputs{nodrag}</t>
  </si>
  <si>
    <t>inline-icon(left)</t>
  </si>
  <si>
    <t>inline-icon(right)</t>
  </si>
  <si>
    <t>inline-icon()</t>
  </si>
  <si>
    <t>i7</t>
  </si>
  <si>
    <t>i8</t>
  </si>
  <si>
    <t>i9</t>
  </si>
  <si>
    <t>i10</t>
  </si>
  <si>
    <t>i11</t>
  </si>
  <si>
    <t>i12</t>
  </si>
  <si>
    <t>i13</t>
  </si>
  <si>
    <t>i14</t>
  </si>
  <si>
    <t>i15</t>
  </si>
  <si>
    <t>i16</t>
  </si>
  <si>
    <t>i17</t>
  </si>
  <si>
    <t>i18</t>
  </si>
  <si>
    <t>i19</t>
  </si>
  <si>
    <t>i20</t>
  </si>
  <si>
    <t>i21</t>
  </si>
  <si>
    <t>inline result{icon(center #0099FF)}</t>
  </si>
  <si>
    <t>inline result{icon(left #0099FF)}</t>
  </si>
  <si>
    <t>inline result{icon(right #0099FF)}</t>
  </si>
  <si>
    <t>inline result{icon(center)}</t>
  </si>
  <si>
    <t>inline result{icon(left)}</t>
  </si>
  <si>
    <t>inline result{icon(right)}</t>
  </si>
  <si>
    <t>inline-icon(center)</t>
  </si>
  <si>
    <t>i22</t>
  </si>
  <si>
    <t>i23</t>
  </si>
  <si>
    <t>i24</t>
  </si>
  <si>
    <t>i25</t>
  </si>
  <si>
    <t>i26</t>
  </si>
  <si>
    <t>i27</t>
  </si>
  <si>
    <t>i28</t>
  </si>
  <si>
    <t>i29</t>
  </si>
  <si>
    <t>h12</t>
  </si>
  <si>
    <t>h13</t>
  </si>
  <si>
    <t>h14</t>
  </si>
  <si>
    <t>h15</t>
  </si>
  <si>
    <t>h16</t>
  </si>
  <si>
    <t>h17</t>
  </si>
  <si>
    <t>h18</t>
  </si>
  <si>
    <t>h19</t>
  </si>
  <si>
    <t>h20</t>
  </si>
  <si>
    <t>h21</t>
  </si>
  <si>
    <t>h22</t>
  </si>
  <si>
    <t>g12</t>
  </si>
  <si>
    <t>g13</t>
  </si>
  <si>
    <t>g14</t>
  </si>
  <si>
    <t>g15</t>
  </si>
  <si>
    <t>g16</t>
  </si>
  <si>
    <t>g17</t>
  </si>
  <si>
    <t>g18</t>
  </si>
  <si>
    <t>g19</t>
  </si>
  <si>
    <t>g20</t>
  </si>
  <si>
    <t>g21</t>
  </si>
  <si>
    <t>g22</t>
  </si>
  <si>
    <t>g23</t>
  </si>
  <si>
    <t>g24</t>
  </si>
  <si>
    <t>g25</t>
  </si>
  <si>
    <t>g26</t>
  </si>
  <si>
    <t>g27</t>
  </si>
  <si>
    <t>g28</t>
  </si>
  <si>
    <t>g29</t>
  </si>
  <si>
    <t>g30</t>
  </si>
  <si>
    <t>g31</t>
  </si>
  <si>
    <t>inline inputs{nodrag} result{icon(center #0099FF)}</t>
  </si>
  <si>
    <t>inline inputs{nodrag} result{icon(left #0099FF)}</t>
  </si>
  <si>
    <t>inline inputs{nodrag} result{icon(right #0099FF)}</t>
  </si>
  <si>
    <t>h23</t>
  </si>
  <si>
    <t>h24</t>
  </si>
  <si>
    <t>h25</t>
  </si>
  <si>
    <t>h26</t>
  </si>
  <si>
    <t>h27</t>
  </si>
  <si>
    <t>h28</t>
  </si>
  <si>
    <t>h29</t>
  </si>
  <si>
    <t>h30</t>
  </si>
  <si>
    <t>h31</t>
  </si>
  <si>
    <t>size-400</t>
  </si>
  <si>
    <t>signature size-400</t>
  </si>
  <si>
    <t>annotate size-400</t>
  </si>
  <si>
    <t>j32</t>
  </si>
  <si>
    <t>j33</t>
  </si>
  <si>
    <t>j34</t>
  </si>
  <si>
    <t>j35</t>
  </si>
  <si>
    <t>selfie</t>
  </si>
  <si>
    <t>draw inline</t>
  </si>
  <si>
    <t>j36</t>
  </si>
  <si>
    <t>j37</t>
  </si>
  <si>
    <t>d21</t>
  </si>
  <si>
    <t>d22</t>
  </si>
  <si>
    <t>d23</t>
  </si>
  <si>
    <t>d24</t>
  </si>
  <si>
    <t>d25</t>
  </si>
  <si>
    <t>c61</t>
  </si>
  <si>
    <t>b69</t>
  </si>
  <si>
    <t>selected(${autosend_yn},'12')</t>
  </si>
  <si>
    <t>selected(${autosend_yn},'13')</t>
  </si>
  <si>
    <t>selected(${autosend_yn},'14')</t>
  </si>
  <si>
    <t>p109</t>
  </si>
  <si>
    <t>p110</t>
  </si>
  <si>
    <t>play-audio</t>
  </si>
  <si>
    <t>r5</t>
  </si>
  <si>
    <t>audio1.mp3</t>
  </si>
  <si>
    <t>audio2.mp3</t>
  </si>
  <si>
    <t>audio3.mp3</t>
  </si>
  <si>
    <t>audio4.mp3</t>
  </si>
  <si>
    <t>ba5</t>
  </si>
  <si>
    <t>ba6</t>
  </si>
  <si>
    <t>select_one q2</t>
  </si>
  <si>
    <t>select_one q3</t>
  </si>
  <si>
    <t>video1.mp4</t>
  </si>
  <si>
    <t>video2.mp4</t>
  </si>
  <si>
    <t>video3.mp4</t>
  </si>
  <si>
    <t>video4.mp4</t>
  </si>
  <si>
    <t>image1.jpg</t>
  </si>
  <si>
    <t>image2.jpg</t>
  </si>
  <si>
    <t>image3.jpg</t>
  </si>
  <si>
    <t>image4.jpg</t>
  </si>
  <si>
    <t>ba7</t>
  </si>
  <si>
    <t>select_one q4</t>
  </si>
  <si>
    <t>SELECT_ONE table-list</t>
  </si>
  <si>
    <t>SELECT_MULTIPLE table-list</t>
  </si>
  <si>
    <t>bb1</t>
  </si>
  <si>
    <t>bb2</t>
  </si>
  <si>
    <t>bb</t>
  </si>
  <si>
    <t>Audio media</t>
  </si>
  <si>
    <t>Video media</t>
  </si>
  <si>
    <t>Image media</t>
  </si>
  <si>
    <t>ca3</t>
  </si>
  <si>
    <t>cb</t>
  </si>
  <si>
    <t>cb1</t>
  </si>
  <si>
    <t>cb2</t>
  </si>
  <si>
    <t>SELECT_ONE media</t>
  </si>
  <si>
    <t>select_multiple q2</t>
  </si>
  <si>
    <t>select_multiple q3</t>
  </si>
  <si>
    <t>select_multiple q4</t>
  </si>
  <si>
    <t>r6</t>
  </si>
  <si>
    <t>r7</t>
  </si>
  <si>
    <t>r8</t>
  </si>
  <si>
    <t>r</t>
  </si>
  <si>
    <t>Chọn phần bạn muốn kiểm thử</t>
  </si>
  <si>
    <t>label::en</t>
  </si>
  <si>
    <t>hint::en</t>
  </si>
  <si>
    <t>en</t>
  </si>
  <si>
    <t>label::vi</t>
  </si>
  <si>
    <t>hint::vi</t>
  </si>
  <si>
    <t>e24</t>
  </si>
  <si>
    <t>e25</t>
  </si>
  <si>
    <t>number-hspinner('left-small-FF9800-ffffff-square', 'right-small-009688-000000-square','1')</t>
  </si>
  <si>
    <t>e26</t>
  </si>
  <si>
    <t>e27</t>
  </si>
  <si>
    <t>d26</t>
  </si>
  <si>
    <t>d27</t>
  </si>
  <si>
    <t>number-hspinner('left-small-FF9800-ffffff-square', 'right-small-009688-000000-square','0.5')</t>
  </si>
  <si>
    <t>number-hspinner('left-normal-FF9800-ffffff-circle', 'right-normal-009688-000000-circle','123')</t>
  </si>
  <si>
    <t>number-hspinner('left-big-FF9800-ffffff-square', 'right-big-009688-000000-square','1000')</t>
  </si>
  <si>
    <t>number-hspinner('left-normal-FF9800-ffffff-circle', 'right-normal-009688-000000-circle','25.5')</t>
  </si>
  <si>
    <t>number-hspinner('left-big-FF9800-ffffff-square', 'right-big-009688-000000-square','250.55')</t>
  </si>
  <si>
    <t>horizontal(60)</t>
  </si>
  <si>
    <t>horizontal(40) embed</t>
  </si>
  <si>
    <t>horizontal(70)</t>
  </si>
  <si>
    <t xml:space="preserve">SaveFinalizedNew(AIO_Appearance,preload(text_a1=text_a1)) </t>
  </si>
  <si>
    <t xml:space="preserve">SaveFinalizedNewSend(AIO_Appearance,preload(text_a1=text_a1)) </t>
  </si>
  <si>
    <t>SaveFinalizedNew(AIO_Appearance,preload(text_a1=text_a1)) autosend[5]</t>
  </si>
  <si>
    <t>SaveFinalizedNewSend(AIO_Appearance,preload(text_a1=text_a1)) autosend[5]</t>
  </si>
  <si>
    <t>search-select</t>
  </si>
  <si>
    <t>autocomplete</t>
  </si>
  <si>
    <t>b70</t>
  </si>
  <si>
    <t>c62</t>
  </si>
  <si>
    <t>c63</t>
  </si>
  <si>
    <t>string-length(${os_Platform}) &gt; 10</t>
  </si>
  <si>
    <t>url</t>
  </si>
  <si>
    <t>https://cms.rta.vn/</t>
  </si>
  <si>
    <t>Text type with url appearance and default value of https://cms.rta.vn/</t>
  </si>
  <si>
    <t>horizontal(70) floating_hint</t>
  </si>
  <si>
    <t>H1</t>
  </si>
  <si>
    <t>faceid</t>
  </si>
  <si>
    <t>annotate faceid</t>
  </si>
  <si>
    <t>inline faceid</t>
  </si>
  <si>
    <t>j38</t>
  </si>
  <si>
    <t>j39</t>
  </si>
  <si>
    <t>j40</t>
  </si>
  <si>
    <t>j41</t>
  </si>
  <si>
    <t>measure</t>
  </si>
  <si>
    <t>j42</t>
  </si>
  <si>
    <t>j43</t>
  </si>
  <si>
    <t>j44</t>
  </si>
  <si>
    <t>annotate inline faceid</t>
  </si>
  <si>
    <t>j45</t>
  </si>
  <si>
    <t>j46</t>
  </si>
  <si>
    <t>j47</t>
  </si>
  <si>
    <t>inline-select</t>
  </si>
  <si>
    <t>c64</t>
  </si>
  <si>
    <t>c65</t>
  </si>
  <si>
    <t>b71</t>
  </si>
  <si>
    <t>b72</t>
  </si>
  <si>
    <t>cover-flow('200','square')</t>
  </si>
  <si>
    <t>cover-flow('150','rectangle')</t>
  </si>
  <si>
    <t>inline-1line</t>
  </si>
  <si>
    <t>i30</t>
  </si>
  <si>
    <t>i31</t>
  </si>
  <si>
    <t>qr-text</t>
  </si>
  <si>
    <t>qr-text &lt;#0099FF/&gt;</t>
  </si>
  <si>
    <t>qr-icon</t>
  </si>
  <si>
    <t>qr-icon &lt;#0099FF/&gt;</t>
  </si>
  <si>
    <t>qr-button</t>
  </si>
  <si>
    <t>qr-button &lt;#0099FF/&gt;</t>
  </si>
  <si>
    <t>f36</t>
  </si>
  <si>
    <t>f37</t>
  </si>
  <si>
    <t>f38</t>
  </si>
  <si>
    <t>f39</t>
  </si>
  <si>
    <t>f40</t>
  </si>
  <si>
    <t>f41</t>
  </si>
  <si>
    <t>star_rating-showlabel(1,3,5)</t>
  </si>
  <si>
    <t>B. SELECT_ONE appearance</t>
  </si>
  <si>
    <t>inline inputs{nomap} result{icon(left #0099FF)}</t>
  </si>
  <si>
    <t>h32</t>
  </si>
  <si>
    <t>g32</t>
  </si>
  <si>
    <t>inline inputs{auto-take} result{icon(left #0099FF)}</t>
  </si>
  <si>
    <t>display{inline-icon, right, medium} inputs{} results{inline-icon, right, hide(value)}</t>
  </si>
  <si>
    <t>display{inline-icon, right, medium} inputs{} results{inline-icon, right}</t>
  </si>
  <si>
    <t>display{inline-icon, right, medium} inputs{draggable} results{inline-icon, right}</t>
  </si>
  <si>
    <t>g33</t>
  </si>
  <si>
    <t>g34</t>
  </si>
  <si>
    <t>g35</t>
  </si>
  <si>
    <t>g36</t>
  </si>
  <si>
    <t>g37</t>
  </si>
  <si>
    <t>g38</t>
  </si>
  <si>
    <t>g39</t>
  </si>
  <si>
    <t>g40</t>
  </si>
  <si>
    <t>g41</t>
  </si>
  <si>
    <t>g42</t>
  </si>
  <si>
    <t>g43</t>
  </si>
  <si>
    <t>g44</t>
  </si>
  <si>
    <t>g45</t>
  </si>
  <si>
    <t>g46</t>
  </si>
  <si>
    <t>g47</t>
  </si>
  <si>
    <t>g48</t>
  </si>
  <si>
    <t>g49</t>
  </si>
  <si>
    <t>g50</t>
  </si>
  <si>
    <t>g51</t>
  </si>
  <si>
    <t>g52</t>
  </si>
  <si>
    <t>g53</t>
  </si>
  <si>
    <t>i32</t>
  </si>
  <si>
    <t>i33</t>
  </si>
  <si>
    <t>i34</t>
  </si>
  <si>
    <t>i35</t>
  </si>
  <si>
    <t>i37</t>
  </si>
  <si>
    <t>i38</t>
  </si>
  <si>
    <t>i39</t>
  </si>
  <si>
    <t>i44</t>
  </si>
  <si>
    <t>i45</t>
  </si>
  <si>
    <t>i46</t>
  </si>
  <si>
    <t>i47</t>
  </si>
  <si>
    <t>i48</t>
  </si>
  <si>
    <t>i49</t>
  </si>
  <si>
    <t>i51</t>
  </si>
  <si>
    <t>i52</t>
  </si>
  <si>
    <t>i53</t>
  </si>
  <si>
    <t>display{inline-icon, right, medium} inputs{algorithm{auto[30s]} results{inline-icon, right}</t>
  </si>
  <si>
    <t>display{inline-icon, right, medium} inputs{auto-take} results{inline-icon, right}</t>
  </si>
  <si>
    <t>inline inputs{nomap, algorithm{auto[30s]} result{icon(right #0099FF)}</t>
  </si>
  <si>
    <t>inline inputs{nodrag, algorithm{auto[30s]} result{icon(right #0099FF)}</t>
  </si>
  <si>
    <t>display{inline-icon, right, medium} inputs{nomap} results{inline-icon, right}</t>
  </si>
  <si>
    <t>display{inline-icon, right, medium} inputs{nomap, algorithm{auto[30s]} results{inline-icon, right}</t>
  </si>
  <si>
    <t>display{inline-icon, right, medium} inputs{draggable, algorithm{auto[30s]} results{inline-icon, right}</t>
  </si>
  <si>
    <t>display{inline-icon, right, medium} inputs{nodrag, algorithm{auto[30s]} results{inline-icon, right}</t>
  </si>
  <si>
    <t>display{inline-icon, right, medium} inputs{nodrag} results{inline-icon, right}</t>
  </si>
  <si>
    <t>inline inputs{draggable} result{icon(left #0099FF)}</t>
  </si>
  <si>
    <t>inline inputs{algorithm{auto[30s]} result{icon(left #0099FF)}</t>
  </si>
  <si>
    <t>inline inputs{draggable, algorithm{auto[30s]} result{icon(right #0099FF)}</t>
  </si>
  <si>
    <t>inline inputs{auto-take, nomap} result{icon(right #0099FF)}</t>
  </si>
  <si>
    <t>inline inputs{auto-take, nodrag} result{icon(right #0099FF)}</t>
  </si>
  <si>
    <t>inline inputs{auto-take, draggable} result{icon(right #0099FF)}</t>
  </si>
  <si>
    <t>display{inline-icon, right, medium} inputs{auto-take, nodrag} results{inline-icon, right}</t>
  </si>
  <si>
    <t>display{inline-icon, right, medium} inputs{auto-take, draggable} results{inline-icon, right}</t>
  </si>
  <si>
    <t>display{inline-icon, right, medium} inputs{auto-take, nomap} results{inline-icon, right}</t>
  </si>
  <si>
    <t>h33</t>
  </si>
  <si>
    <t>h34</t>
  </si>
  <si>
    <t>h35</t>
  </si>
  <si>
    <t>h36</t>
  </si>
  <si>
    <t>h37</t>
  </si>
  <si>
    <t>h38</t>
  </si>
  <si>
    <t>h39</t>
  </si>
  <si>
    <t>h40</t>
  </si>
  <si>
    <t>h41</t>
  </si>
  <si>
    <t>h42</t>
  </si>
  <si>
    <t>h43</t>
  </si>
  <si>
    <t>h44</t>
  </si>
  <si>
    <t>h45</t>
  </si>
  <si>
    <t>h46</t>
  </si>
  <si>
    <t>h47</t>
  </si>
  <si>
    <t>h48</t>
  </si>
  <si>
    <t>h49</t>
  </si>
  <si>
    <t>h50</t>
  </si>
  <si>
    <t>h51</t>
  </si>
  <si>
    <t>h52</t>
  </si>
  <si>
    <t>h53</t>
  </si>
  <si>
    <t>l3</t>
  </si>
  <si>
    <t>l4</t>
  </si>
  <si>
    <t>l5</t>
  </si>
  <si>
    <t>i36</t>
  </si>
  <si>
    <t>i40</t>
  </si>
  <si>
    <t>i41</t>
  </si>
  <si>
    <t>i42</t>
  </si>
  <si>
    <t>i43</t>
  </si>
  <si>
    <t>i50</t>
  </si>
  <si>
    <t>i54</t>
  </si>
  <si>
    <t>i55</t>
  </si>
  <si>
    <t>i56</t>
  </si>
  <si>
    <t>display{inline-icon, right, medium} inputs{} results{thumbnail-square-[80%x35%], center}</t>
  </si>
  <si>
    <t>display{inline-icon, right, medium} inputs{nomap} results{thumbnail-square-[80%x35%], center}</t>
  </si>
  <si>
    <t>display{inline-icon, right, medium} inputs{nodrag} results{thumbnail-square-[80%x35%], center}</t>
  </si>
  <si>
    <t>display{inline-icon, right, medium} inputs{draggable} results{thumbnail-square-[80%x35%], center}</t>
  </si>
  <si>
    <t>display{inline-icon, right, medium} inputs{algorithm{auto[30s]} results{thumbnail-square-[80%x35%], center}</t>
  </si>
  <si>
    <t>display{inline-icon, right, medium} inputs{auto-take} results{thumbnail-square-[80%x35%], center}</t>
  </si>
  <si>
    <t>display{inline-icon, right, medium} inputs{auto-take, nodrag} results{thumbnail-square-[80%x35%], center}</t>
  </si>
  <si>
    <t>display{inline-icon, right, medium} inputs{auto-take, draggable} results{thumbnail-square-[80%x35%], center}</t>
  </si>
  <si>
    <t>display{inline-icon, right, medium} inputs{auto-take, nomap} results{thumbnail-square-[80%x35%], center}</t>
  </si>
  <si>
    <t>display{inline-icon, right, medium} inputs{} results{thumbnail-square-[80%x35%], center, hide(value)}</t>
  </si>
  <si>
    <t>display{inline-icon, right} inputs{} results{inline-icon, right}</t>
  </si>
  <si>
    <t>display{inline-icon, right, small} inputs{} results{inline-icon, right, hide(filename)}</t>
  </si>
  <si>
    <t>display{inline-icon, right, medium} inputs{} results{inline-icon, right, hide(camera)}</t>
  </si>
  <si>
    <t>display{inline-icon, right, large} inputs{} results{inline-icon, right, hide(filename, camera)}</t>
  </si>
  <si>
    <t>display{inline-icon, right, &lt;#0099FF/&gt;, large} inputs{back_camera} results{inline-icon, right, hide(filename), size-400}</t>
  </si>
  <si>
    <t>display{inline-icon, right} inputs{signature} results{inline-icon, right}</t>
  </si>
  <si>
    <t>display{inline-icon, right} inputs{front_camera} results{inline-icon, right, size-400}</t>
  </si>
  <si>
    <t>display{inline-icon, right, small} inputs{signature} results{inline-icon, right, hide(filename)}</t>
  </si>
  <si>
    <t>display{inline-icon, right, medium} inputs{signature} results{inline-icon, right, hide(camera)}</t>
  </si>
  <si>
    <t>display{inline-icon, right, &lt;#0099FF/&gt;, large} inputs{signature} results{inline-icon, right, hide(filename), size-400}</t>
  </si>
  <si>
    <t>display{inline-icon, right, large} inputs{signature} results{inline-icon, right, hide(filename, camera)}</t>
  </si>
  <si>
    <t>display{inline-icon, right} inputs{draw} results{inline-icon, right}</t>
  </si>
  <si>
    <t>display{inline-icon, right, small} inputs{draw} results{inline-icon, right, hide(filename)}</t>
  </si>
  <si>
    <t>display{inline-icon, right, medium} inputs{draw} results{inline-icon, right, hide(camera)}</t>
  </si>
  <si>
    <t>display{inline-icon, right, large} inputs{draw} results{inline-icon, right, hide(filename, camera)}</t>
  </si>
  <si>
    <t>display{inline-icon, right, &lt;#0099FF/&gt;, large} inputs{draw} results{inline-icon, right, hide(filename), size-400}</t>
  </si>
  <si>
    <t>display{inline-icon, right} inputs{annotate} results{inline-icon, right}</t>
  </si>
  <si>
    <t>display{inline-icon, right, large} inputs{annotate} results{inline-icon, right, hide(filename, camera)}</t>
  </si>
  <si>
    <t>display{inline-icon, right, &lt;#0099FF/&gt;, large} inputs{annotate} results{inline-icon, right, hide(filename), size-400}</t>
  </si>
  <si>
    <t>display{inline-icon, right} inputs{editable} results{inline-icon, right}</t>
  </si>
  <si>
    <t>display{inline-icon, right, large} inputs{editable} results{inline-icon, right, hide(filename, camera)}</t>
  </si>
  <si>
    <t>display{inline-icon, right, &lt;#0099FF/&gt;, large} inputs{editable} results{inline-icon, right, hide(filename), size-400}</t>
  </si>
  <si>
    <t>display{inline-icon, right, small} inputs{editable, front_camera} results{inline-icon, right, hide(filename)}</t>
  </si>
  <si>
    <t>display{inline-icon, right, medium} inputs{editable, back_camera} results{inline-icon, right, hide(camera)}</t>
  </si>
  <si>
    <t>display{inline-icon, right, small} inputs{annotate, front_camera} results{inline-icon, right, hide(filename)}</t>
  </si>
  <si>
    <t>display{inline-icon, right, medium} inputs{annotate, back_camera} results{inline-icon, right, hide(camera)}</t>
  </si>
  <si>
    <t>display{inline-icon, right} inputs{2in1} results{inline-icon, right}</t>
  </si>
  <si>
    <t>display{inline-icon, right, small} inputs{2in1, front_camera} results{inline-icon, right, hide(filename)}</t>
  </si>
  <si>
    <t>display{inline-icon, right, medium} inputs{2in1, back_camera} results{inline-icon, right, hide(camera)}</t>
  </si>
  <si>
    <t>display{inline-icon, right, large} inputs{2in1} results{inline-icon, right, hide(filename, camera)}</t>
  </si>
  <si>
    <t>display{inline-icon, right, &lt;#0099FF/&gt;, large} inputs{2in1} results{inline-icon, right, hide(filename), size-400}</t>
  </si>
  <si>
    <t>j48</t>
  </si>
  <si>
    <t>j49</t>
  </si>
  <si>
    <t>j50</t>
  </si>
  <si>
    <t>j51</t>
  </si>
  <si>
    <t>j52</t>
  </si>
  <si>
    <t>j53</t>
  </si>
  <si>
    <t>j54</t>
  </si>
  <si>
    <t>j55</t>
  </si>
  <si>
    <t>j56</t>
  </si>
  <si>
    <t>j57</t>
  </si>
  <si>
    <t>j58</t>
  </si>
  <si>
    <t>j59</t>
  </si>
  <si>
    <t>j60</t>
  </si>
  <si>
    <t>j61</t>
  </si>
  <si>
    <t>j62</t>
  </si>
  <si>
    <t>j63</t>
  </si>
  <si>
    <t>j64</t>
  </si>
  <si>
    <t>j65</t>
  </si>
  <si>
    <t>j66</t>
  </si>
  <si>
    <t>j67</t>
  </si>
  <si>
    <t>j68</t>
  </si>
  <si>
    <t>j69</t>
  </si>
  <si>
    <t>j70</t>
  </si>
  <si>
    <t>j71</t>
  </si>
  <si>
    <t>j72</t>
  </si>
  <si>
    <t>j73</t>
  </si>
  <si>
    <t>j74</t>
  </si>
  <si>
    <t>j75</t>
  </si>
  <si>
    <t>j76</t>
  </si>
  <si>
    <t>j77</t>
  </si>
  <si>
    <t>display{inline-icon, right} inputs{} results{inline-icon, right, hide(review)}</t>
  </si>
  <si>
    <t>display{inline-icon, right} inputs{} results{inline-icon, right, hide(capture)}</t>
  </si>
  <si>
    <t>display{inline-icon, right} inputs{auto-stop-5s} results{inline-icon, right}</t>
  </si>
  <si>
    <t>display{inline-icon, right} inputs{auto-start} results{inline-icon, right}</t>
  </si>
  <si>
    <t>display{inline-icon, right} inputs{auto-start, auto-stop-5s} results{inline-icon, right, hide(filename, size, capture)}</t>
  </si>
  <si>
    <t>display{inline-icon, right, medium} inputs{} results{inline-icon, right, hide(size)}</t>
  </si>
  <si>
    <t>display{inline-icon, right, large} inputs{} results{inline-icon, right, hide(duration)}</t>
  </si>
  <si>
    <t>display{inline-icon, right} inputs{auto-start, auto-stop-5s} results{inline-icon, right, hide(size, capture), voice_effect-Echo}</t>
  </si>
  <si>
    <t>display{inline-icon, right} inputs{floating} results{inline-icon, right}</t>
  </si>
  <si>
    <t>display{inline-icon, right, small} inputs{floating} results{inline-icon, right, hide(filename)}</t>
  </si>
  <si>
    <t>display{inline-icon, right, medium} inputs{floating} results{inline-icon, right, hide(size)}</t>
  </si>
  <si>
    <t>display{inline-icon, right, large} inputs{floating} results{inline-icon, right, hide(duration)}</t>
  </si>
  <si>
    <t>display{inline-icon, right} inputs{floating, auto-start} results{inline-icon, right}</t>
  </si>
  <si>
    <t>display{inline-icon, right} inputs{floating, auto-stop-5s} results{inline-icon, right}</t>
  </si>
  <si>
    <t>display{inline-icon, right} inputs{floating, auto-start, auto-stop-5s} results{inline-icon, right}</t>
  </si>
  <si>
    <t>display{inline-icon, right} inputs{floating, auto-start, auto-stop-5s} results{inline-icon, right, hide(size, capture), voice_effect-Echo}</t>
  </si>
  <si>
    <t>display{inline-icon, right} inputs{} results{inline-icon, right, voice_effect-Echo}</t>
  </si>
  <si>
    <t>k37</t>
  </si>
  <si>
    <t>k38</t>
  </si>
  <si>
    <t>k39</t>
  </si>
  <si>
    <t>k40</t>
  </si>
  <si>
    <t>k41</t>
  </si>
  <si>
    <t>k42</t>
  </si>
  <si>
    <t>k43</t>
  </si>
  <si>
    <t>k44</t>
  </si>
  <si>
    <t>k45</t>
  </si>
  <si>
    <t>k46</t>
  </si>
  <si>
    <t>k47</t>
  </si>
  <si>
    <t>k48</t>
  </si>
  <si>
    <t>k49</t>
  </si>
  <si>
    <t>k50</t>
  </si>
  <si>
    <t>k51</t>
  </si>
  <si>
    <t>k52</t>
  </si>
  <si>
    <t>k53</t>
  </si>
  <si>
    <t>k54</t>
  </si>
  <si>
    <t>k55</t>
  </si>
  <si>
    <t>display{inline-icon, right, &lt;#0099FF/&gt;} inputs{} results{inline-icon, right}</t>
  </si>
  <si>
    <t>display{inline-icon, right, &lt;#0099FF/&gt;} inputs{} results{inline-icon, right, voice_effect-Echo}</t>
  </si>
  <si>
    <t>display{inline-icon, right, &lt;#0099FF/&gt;} inputs{auto-start, auto-stop-5s} results{inline-icon, right}</t>
  </si>
  <si>
    <t>display{inline-icon, right, &lt;#0099FF/&gt;} inputs{floating} results{inline-icon, right}</t>
  </si>
  <si>
    <t>display{inline-icon, right, &lt;#0099FF/&gt;} inputs{floating, auto-start, auto-stop-5s} results{inline-icon, right, hide(size, capture), voice_effect-Echo}</t>
  </si>
  <si>
    <t>display{inline-icon, right} inputs{back_camera} results{inline-icon, right, hide(capture)}</t>
  </si>
  <si>
    <t>display{inline-icon, right, large} inputs{back_camera} results{inline-icon, right, hide(filename, camera)}</t>
  </si>
  <si>
    <t>display{inline-icon, right} inputs{back_camera, auto-start, auto-stop-5s} results{inline-icon, right, hide(size, capture), size-400}</t>
  </si>
  <si>
    <t>display{inline-icon, right} inputs{2in1, back_camera, auto-start, auto-stop-5s} results{inline-icon, right, hide(filename, size, capture), size-400}</t>
  </si>
  <si>
    <t>l15</t>
  </si>
  <si>
    <t>l16</t>
  </si>
  <si>
    <t>l17</t>
  </si>
  <si>
    <t>l18</t>
  </si>
  <si>
    <t>l19</t>
  </si>
  <si>
    <t>l20</t>
  </si>
  <si>
    <t>l21</t>
  </si>
  <si>
    <t>l22</t>
  </si>
  <si>
    <t>l23</t>
  </si>
  <si>
    <t>l24</t>
  </si>
  <si>
    <t>l25</t>
  </si>
  <si>
    <t>l26</t>
  </si>
  <si>
    <t>l27</t>
  </si>
  <si>
    <t>l28</t>
  </si>
  <si>
    <t>l29</t>
  </si>
  <si>
    <t>l30</t>
  </si>
  <si>
    <t>display{inline-icon, right, &lt;#0099FF/&gt;} inputs{back_camera, auto-start, auto-stop-5s} results{inline-icon, right, hide(size, capture), size-400}</t>
  </si>
  <si>
    <t>display{inline-icon, right, &lt;#0099FF/&gt;} inputs{2in1} results{inline-icon, right}</t>
  </si>
  <si>
    <t>display{inline-icon, right, &lt;#0099FF/&gt;} inputs{2in1, back_camera, auto-start, auto-stop-5s} results{inline-icon, right, hide(filename, size, capture), size-400}</t>
  </si>
  <si>
    <t>display{inline-icon, right, small} inputs{} results{inline-icon, right, hide(value)}</t>
  </si>
  <si>
    <t>display{inline-icon, right, medium} inputs{} results{inline-icon, right, hide(scanner)}</t>
  </si>
  <si>
    <t>display{inline-icon, right, large} inputs{back_camera} results{inline-icon, right, hide(review)}</t>
  </si>
  <si>
    <t>display{inline-icon, right} inputs{floating, back_camera} results{inline-icon, right}</t>
  </si>
  <si>
    <t>display{inline-icon, right} inputs{floating, back_camera, top} results{inline-icon, right}</t>
  </si>
  <si>
    <t>display{inline-icon, right} inputs{floating, back_camera, bottom} results{inline-icon, right}</t>
  </si>
  <si>
    <t>display{inline-icon, right} inputs{floating, back_camera, left} results{inline-icon, right}</t>
  </si>
  <si>
    <t>display{inline-icon, right} inputs{floating, back_camera, auto-close(5), right} results{inline-icon, right}</t>
  </si>
  <si>
    <t>display{inline-icon, right} inputs{floating, back_camera, center} results{inline-icon, right, hide(scanner, value}</t>
  </si>
  <si>
    <t>display{inline-icon, right} inputs{floating, back_camera, auto-close(5), top | left} results{inline-icon, right}</t>
  </si>
  <si>
    <t>display{inline-icon, right} inputs{floating, back_camera, top | right} results{inline-icon, right}</t>
  </si>
  <si>
    <t>display{inline-icon, right} inputs{floating, back_camera, bottom | left} results{inline-icon, right}</t>
  </si>
  <si>
    <t>display{inline-icon, right} inputs{floating, back_camera, bottom | right} results{inline-icon, right}</t>
  </si>
  <si>
    <t>display{inline-icon, right} inputs{floating, back_camera, top | center_horizontal} results{inline-icon, right}</t>
  </si>
  <si>
    <t>display{inline-icon, right} inputs{floating, back_camera, bottom | center_horizontal} results{inline-icon, right}</t>
  </si>
  <si>
    <t>display{inline-icon, right} inputs{floating, back_camera, left | center_vertical} results{inline-icon, right}</t>
  </si>
  <si>
    <t>display{inline-icon, right} inputs{floating, back_camera, right | center_vertical} results{inline-icon, right}</t>
  </si>
  <si>
    <t>display{inline-icon, right} inputs{front_camera} results{inline-icon, right, hide(scanner, value)}</t>
  </si>
  <si>
    <t>display{inline-icon, right, &lt;#0099FF/&gt;, small} inputs{} results{inline-icon, right, hide(value)}</t>
  </si>
  <si>
    <t>display{inline-icon, right, &lt;#0099FF/&gt;, medium} inputs{} results{inline-icon, right, hide(scanner)}</t>
  </si>
  <si>
    <t>display{inline-icon, right, &lt;#0099FF/&gt;, large} inputs{back_camera} results{inline-icon, right, hide(review)}</t>
  </si>
  <si>
    <t>display{inline-icon, right} inputs{auto-show} results{inline-icon, right}</t>
  </si>
  <si>
    <t>display{inline-icon, right} inputs{floating, auto-close(5s)} results{inline-icon, right}</t>
  </si>
  <si>
    <t>display{inline-icon, right, large} inputs{back_camera, auto-close(5s)} results{inline-icon, right, hide(review)}</t>
  </si>
  <si>
    <t>display{inline-icon, right} inputs{auto-show, auto-close(5s)} results{inline-icon, right}</t>
  </si>
  <si>
    <t>display{inline-icon, right} inputs{auto-show, auto-close(5s)} results{inline-icon, right, hide(value, scanner)}</t>
  </si>
  <si>
    <t>display{inline-icon, right} inputs{floating, auto-show, auto-close(5s)} results{inline-icon, right, hide(value)}</t>
  </si>
  <si>
    <t>display{inline-icon, right} inputs{floating, auto-show, auto-close(5s)} results{inline-icon, right}</t>
  </si>
  <si>
    <t>fa5</t>
  </si>
  <si>
    <t>fa6</t>
  </si>
  <si>
    <t>fa7</t>
  </si>
  <si>
    <t>fa8</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</si>
  <si>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</si>
  <si>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</si>
  <si>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</si>
  <si>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</si>
  <si>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</si>
  <si>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</si>
  <si>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</si>
  <si>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</si>
  <si>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</si>
  <si>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</si>
  <si>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</si>
  <si>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</si>
  <si>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</si>
  <si>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</si>
  <si>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</si>
  <si>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</si>
  <si>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</si>
  <si>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</si>
  <si>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</si>
  <si>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</si>
  <si>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</si>
  <si>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</si>
  <si>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</si>
  <si>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</si>
  <si>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</si>
  <si>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</si>
  <si>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</si>
  <si>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k56</t>
  </si>
  <si>
    <t>k57</t>
  </si>
  <si>
    <t>k58</t>
  </si>
  <si>
    <t>k59</t>
  </si>
  <si>
    <t>k60</t>
  </si>
  <si>
    <t>display{inline-icon, right, &lt;#0099FF/&gt;, medium} inputs{} results{inline-icon, right}</t>
  </si>
  <si>
    <t>display{inline-icon, right, &lt;#0099FF/&gt;, medium} inputs{auto-take} results{inline-icon, right}</t>
  </si>
  <si>
    <t>display{inline-icon, right, &lt;#0099FF/&gt;, medium} inputs{nomap} results{inline-icon, right}</t>
  </si>
  <si>
    <t>display{inline-icon, right, &lt;#0099FF/&gt;, medium} inputs{nodrag} results{inline-icon, right}</t>
  </si>
  <si>
    <t>display{inline-icon, right, &lt;#0099FF/&gt;, medium} inputs{draggable} results{inline-icon, right}</t>
  </si>
  <si>
    <t>display{inline-icon, right, &lt;#0099FF/&gt;, medium} inputs{auto-take, nodrag} results{inline-icon, right}</t>
  </si>
  <si>
    <t>display{inline-icon, right, &lt;#0099FF/&gt;, medium} inputs{auto-take, draggable} results{inline-icon, right}</t>
  </si>
  <si>
    <t>display{inline-icon, right, &lt;#0099FF/&gt;, medium} inputs{auto-take, nomap} results{inline-icon, right}</t>
  </si>
  <si>
    <t>display{inline-icon, right, medium} inputs{} results{inline-icon, right, hide(capture)}</t>
  </si>
  <si>
    <t>display{inline-icon, right, medium} inputs{auto-take} results{inline-icon, right, hide(value, capture)}</t>
  </si>
  <si>
    <t>display{inline-icon, right, medium} inputs{} results{inline-icon, right, hide(value, capture)}</t>
  </si>
  <si>
    <t>display{inline-icon, right, &lt;#0099FF/&gt;, medium} inputs{algorithm{auto[30s]} results{inline-icon, right}</t>
  </si>
  <si>
    <t>g54</t>
  </si>
  <si>
    <t>g55</t>
  </si>
  <si>
    <t>g56</t>
  </si>
  <si>
    <t>g57</t>
  </si>
  <si>
    <t>g58</t>
  </si>
  <si>
    <t>g59</t>
  </si>
  <si>
    <t>g60</t>
  </si>
  <si>
    <t>h54</t>
  </si>
  <si>
    <t>h55</t>
  </si>
  <si>
    <t>h56</t>
  </si>
  <si>
    <t>h57</t>
  </si>
  <si>
    <t>h58</t>
  </si>
  <si>
    <t>h59</t>
  </si>
  <si>
    <t>h60</t>
  </si>
  <si>
    <t>i57</t>
  </si>
  <si>
    <t>i58</t>
  </si>
  <si>
    <t>i59</t>
  </si>
  <si>
    <t>i60</t>
  </si>
  <si>
    <t>i61</t>
  </si>
  <si>
    <t>i62</t>
  </si>
  <si>
    <t>i63</t>
  </si>
  <si>
    <t>i64</t>
  </si>
  <si>
    <t>i65</t>
  </si>
  <si>
    <t>i66</t>
  </si>
  <si>
    <t>tagging-choices-noshow-v2 search(concat(${family_path},'/province.db::externalData'))</t>
  </si>
  <si>
    <t>tagging-choices-noshow-v2 search('rawquery', concat(${family_path},'/province.db::externalData'), 'select DISTINCT tinh_id, tinh_name from externalData where marked_as_deleted != "1" ORDER BY tinh_name ASC')</t>
  </si>
  <si>
    <t>tagging-choices-noshow-v2 search-api('POST',concat('https://es.rta.vn/c872_vn_admin3/_search'),'{"size": 1000,"collapse":{"field":"tinh_id.raw"},"query":{"bool":{"must":[/*{"query_string":{"query":"%__input__%","fields":["tinh_name"],"allow_leading_wildcard":"true","default_operator":"AND"}}*/]}},"_source":{"excludes":[]},"sort":[{"added_date":{"order":"desc"}}]}','tinh_id','tinh_name','$.hits.hits.*._source','/file/path/sl2')</t>
  </si>
  <si>
    <t>province</t>
  </si>
  <si>
    <t>tinh_id</t>
  </si>
  <si>
    <t>tinh_name</t>
  </si>
  <si>
    <t>sl</t>
  </si>
  <si>
    <t>item</t>
  </si>
  <si>
    <t>title_id</t>
  </si>
  <si>
    <t>title_lb</t>
  </si>
  <si>
    <t>select_one province</t>
  </si>
  <si>
    <t>select_one sl</t>
  </si>
  <si>
    <t>select_multiple province</t>
  </si>
  <si>
    <t>select_multiple sl</t>
  </si>
  <si>
    <t>search-autocomplete-noedit-v2(concat(${family_path},'/contact_all.db::externalData'),'[contact_name]','contact_id')</t>
  </si>
  <si>
    <t>p111</t>
  </si>
  <si>
    <t>c66</t>
  </si>
  <si>
    <t>c67</t>
  </si>
  <si>
    <t>c68</t>
  </si>
  <si>
    <t>b73</t>
  </si>
  <si>
    <t>b74</t>
  </si>
  <si>
    <t>b75</t>
  </si>
  <si>
    <t>selected(${select_multiple_show_bar_f68},'1')</t>
  </si>
  <si>
    <t>selected(${select_multiple_show_bar_f68},'2')</t>
  </si>
  <si>
    <t>selected(${select_multiple_show_bar_f68},'3')</t>
  </si>
  <si>
    <t>selected(${select_multiple_show_bar_f68},'4')</t>
  </si>
  <si>
    <t>selected(${select_multiple_show_bar_f68},'5')</t>
  </si>
  <si>
    <t>selected(${select_multiple_show_bar_f68},'6')</t>
  </si>
  <si>
    <t>selected(${select_multiple_show_bar_f68},'7')</t>
  </si>
  <si>
    <t>selected(${select_multiple_show_bar_f68},'9')</t>
  </si>
  <si>
    <t>display{inline-icon, right} inputs{floating, auto-show} results{inline-icon, right}</t>
  </si>
  <si>
    <t>display{inline-icon, right} inputs{floating, auto-show, auto-close(5s)} results{inline-icon, right, hide(value, scanner)}</t>
  </si>
  <si>
    <t>tagging-choices-noshow-fill-F6CEEC-f6f6f6-0099FF-737373-ffffff inputs{qrscan, stt}</t>
  </si>
  <si>
    <t>FBB0D4-009980-FF2E94-tagging-choices-noshow-v2 inputs{stt, qrscan}</t>
  </si>
  <si>
    <t>selection_one_hide search-autocomplete-noedit(concat(${family_path},'/contact_all.db::externalData'),'[contact_name]','contact_id') inputs{stt, qrscan}</t>
  </si>
  <si>
    <t>AIO_Form_Demo</t>
  </si>
  <si>
    <t>${exit1} = 1 and selected(${sections_select},'15')</t>
  </si>
  <si>
    <t>${exit1} = 2 and selected(${sections_select},'15')</t>
  </si>
  <si>
    <t>yes</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</si>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</sst>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2"/>
      <color indexed="8"/>
      <name val="Calibri"/>
      <family val="2"/>
    </font>
    <font>
      <sz val="8"/>
      <name val="Arial Narrow"/>
      <family val="2"/>
    </font>
    <font>
      <b/>
      <sz val="11"/>
      <color theme="1"/>
      <name val="Times New Roman"/>
      <family val="1"/>
    </font>
    <font>
      <sz val="11"/>
      <color theme="1"/>
      <name val="Times New Roman"/>
      <family val="1"/>
    </font>
    <font>
      <sz val="8"/>
      <name val="Times New Roman"/>
      <family val="1"/>
    </font>
    <font>
      <b/>
      <sz val="12"/>
      <name val="Times New Roman"/>
      <family val="1"/>
    </font>
    <font>
      <b/>
      <sz val="12"/>
      <color indexed="8"/>
      <name val="Times New Roman"/>
      <family val="1"/>
    </font>
    <font>
      <u/>
      <sz val="11"/>
      <color indexed="12"/>
      <name val="Times New Roman"/>
      <family val="1"/>
    </font>
    <font>
      <sz val="10"/>
      <color theme="1"/>
      <name val="Arial"/>
      <family val="2"/>
    </font>
    <font>
      <sz val="10"/>
      <color rgb="FF7030A0"/>
      <name val="Arial"/>
      <family val="2"/>
    </font>
    <font>
      <b/>
      <sz val="10"/>
      <color rgb="FFFF0000"/>
      <name val="Arial"/>
      <family val="2"/>
    </font>
    <font>
      <b/>
      <sz val="10"/>
      <color theme="1"/>
      <name val="Arial"/>
      <family val="2"/>
    </font>
    <font>
      <b/>
      <sz val="10"/>
      <color theme="5" tint="-0.249977111117893"/>
      <name val="Arial"/>
      <family val="2"/>
    </font>
    <font>
      <b/>
      <sz val="10"/>
      <color rgb="FF7030A0"/>
      <name val="Arial"/>
      <family val="2"/>
    </font>
    <font>
      <b/>
      <sz val="10"/>
      <color rgb="FFFF0066"/>
      <name val="Arial"/>
      <family val="2"/>
    </font>
    <font>
      <b/>
      <sz val="10"/>
      <color rgb="FF002060"/>
      <name val="Arial"/>
      <family val="2"/>
    </font>
    <font>
      <b/>
      <sz val="10"/>
      <color rgb="FF92D050"/>
      <name val="Arial"/>
      <family val="2"/>
    </font>
    <font>
      <b/>
      <sz val="10"/>
      <color rgb="FFFF3399"/>
      <name val="Arial"/>
      <family val="2"/>
    </font>
    <font>
      <b/>
      <sz val="10"/>
      <color rgb="FF00B0F0"/>
      <name val="Arial"/>
      <family val="2"/>
    </font>
    <font>
      <b/>
      <sz val="10"/>
      <color theme="9" tint="-0.249977111117893"/>
      <name val="Arial"/>
      <family val="2"/>
    </font>
    <font>
      <b/>
      <sz val="10"/>
      <color theme="2" tint="-0.499984740745262"/>
      <name val="Arial"/>
      <family val="2"/>
    </font>
    <font>
      <sz val="11"/>
      <color theme="1"/>
      <name val="Arial"/>
      <family val="2"/>
    </font>
    <font>
      <sz val="12"/>
      <color indexed="8"/>
      <name val="Calibri"/>
      <family val="2"/>
      <scheme val="minor"/>
    </font>
    <font>
      <sz val="10"/>
      <name val="Arial"/>
      <family val="2"/>
    </font>
    <font>
      <b/>
      <sz val="10"/>
      <name val="Arial"/>
      <family val="2"/>
    </font>
    <font>
      <b/>
      <sz val="10"/>
      <color theme="8" tint="-0.249977111117893"/>
      <name val="Arial"/>
      <family val="2"/>
    </font>
    <font>
      <b/>
      <sz val="11"/>
      <color theme="8" tint="-0.249977111117893"/>
      <name val="Calibri"/>
      <family val="2"/>
      <scheme val="minor"/>
    </font>
    <font>
      <b/>
      <sz val="11"/>
      <color theme="9" tint="-0.249977111117893"/>
      <name val="Calibri"/>
      <family val="2"/>
      <scheme val="minor"/>
    </font>
    <font>
      <sz val="11"/>
      <color indexed="8"/>
      <name val="Arial"/>
      <family val="2"/>
    </font>
    <font>
      <u/>
      <sz val="9.35"/>
      <color rgb="FF0000FF"/>
      <name val="Calibri"/>
      <family val="2"/>
      <charset val="1"/>
    </font>
    <font>
      <sz val="11"/>
      <color rgb="FF222222"/>
      <name val="Arial"/>
      <family val="2"/>
    </font>
    <font>
      <sz val="10"/>
      <color rgb="FF000000"/>
      <name val="Arial"/>
      <family val="2"/>
    </font>
    <font>
      <sz val="8"/>
      <name val="Calibri"/>
      <family val="2"/>
      <scheme val="minor"/>
    </font>
    <font>
      <b/>
      <sz val="10"/>
      <color rgb="FFC00000"/>
      <name val="Arial"/>
      <family val="2"/>
    </font>
    <font>
      <sz val="10"/>
      <color rgb="FF000000"/>
      <name val="Arial"/>
      <charset val="1"/>
    </font>
    <font>
      <b/>
      <sz val="10"/>
      <color rgb="FF7030A0"/>
      <name val="Arial"/>
      <charset val="1"/>
    </font>
  </fonts>
  <fills count="7">
    <fill>
      <patternFill patternType="none"/>
    </fill>
    <fill>
      <patternFill patternType="gray125"/>
    </fill>
    <fill>
      <patternFill patternType="solid">
        <fgColor indexed="22"/>
        <bgColor indexed="64"/>
      </patternFill>
    </fill>
    <fill>
      <patternFill patternType="solid">
        <fgColor theme="8" tint="0.39997558519241921"/>
        <bgColor indexed="64"/>
      </patternFill>
    </fill>
    <fill>
      <patternFill patternType="solid">
        <fgColor rgb="FFFF0000"/>
        <bgColor rgb="FFFF0000"/>
      </patternFill>
    </fill>
    <fill>
      <patternFill patternType="solid">
        <fgColor theme="9" tint="0.59999389629810485"/>
        <bgColor indexed="64"/>
      </patternFill>
    </fill>
    <fill>
      <patternFill patternType="solid">
        <fgColor rgb="FFFFFF00"/>
        <bgColor indexed="64"/>
      </patternFill>
    </fill>
  </fills>
  <borders count="4">
    <border>
      <left/>
      <right/>
      <top/>
      <bottom/>
      <diagonal/>
    </border>
    <border>
      <left style="thin">
        <color indexed="55"/>
      </left>
      <right style="thin">
        <color indexed="55"/>
      </right>
      <top style="thin">
        <color indexed="55"/>
      </top>
      <bottom style="thin">
        <color indexed="55"/>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5">
    <xf numFmtId="0" fontId="0" fillId="0" borderId="0"/>
    <xf numFmtId="0" fontId="1" fillId="0" borderId="0"/>
    <xf numFmtId="0" fontId="2" fillId="0" borderId="0"/>
    <xf numFmtId="0" fontId="2" fillId="0" borderId="0"/>
    <xf numFmtId="0" fontId="30" fillId="0" borderId="0" applyBorder="0" applyProtection="0"/>
  </cellStyleXfs>
  <cellXfs count="49">
    <xf numFmtId="0" fontId="0" fillId="0" borderId="0" xfId="0"/>
    <xf numFmtId="0" fontId="7" fillId="2" borderId="1" xfId="0" applyFont="1" applyFill="1" applyBorder="1" applyAlignment="1">
      <alignment vertical="center"/>
    </xf>
    <xf numFmtId="49" fontId="7" fillId="2" borderId="1" xfId="0" applyNumberFormat="1" applyFont="1" applyFill="1" applyBorder="1" applyAlignment="1">
      <alignment vertical="center"/>
    </xf>
    <xf numFmtId="0" fontId="6" fillId="2" borderId="1" xfId="0" applyFont="1" applyFill="1" applyBorder="1" applyAlignment="1">
      <alignment vertical="center"/>
    </xf>
    <xf numFmtId="0" fontId="7" fillId="2" borderId="0" xfId="0" applyFont="1" applyFill="1" applyAlignment="1">
      <alignment vertical="center"/>
    </xf>
    <xf numFmtId="0" fontId="4" fillId="0" borderId="0" xfId="0" applyFont="1" applyAlignment="1">
      <alignment vertical="center"/>
    </xf>
    <xf numFmtId="0" fontId="4" fillId="0" borderId="1" xfId="0" applyFont="1" applyBorder="1" applyAlignment="1">
      <alignment vertical="center"/>
    </xf>
    <xf numFmtId="49" fontId="4" fillId="0" borderId="0" xfId="0" applyNumberFormat="1" applyFont="1" applyAlignment="1">
      <alignment vertical="center"/>
    </xf>
    <xf numFmtId="0" fontId="4" fillId="0" borderId="0" xfId="0" applyFont="1"/>
    <xf numFmtId="0" fontId="3" fillId="0" borderId="0" xfId="0" applyFont="1"/>
    <xf numFmtId="0" fontId="3" fillId="0" borderId="0" xfId="0" applyFont="1" applyAlignment="1">
      <alignment vertical="center"/>
    </xf>
    <xf numFmtId="0" fontId="9" fillId="0" borderId="0" xfId="0" applyFont="1"/>
    <xf numFmtId="0" fontId="10" fillId="3" borderId="0" xfId="0" applyFont="1" applyFill="1"/>
    <xf numFmtId="0" fontId="12" fillId="0" borderId="0" xfId="0" applyFont="1"/>
    <xf numFmtId="0" fontId="12" fillId="0" borderId="0" xfId="0" applyFont="1" applyAlignment="1">
      <alignment horizontal="left"/>
    </xf>
    <xf numFmtId="0" fontId="13" fillId="0" borderId="0" xfId="0" applyFont="1"/>
    <xf numFmtId="0" fontId="11"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0" fillId="0" borderId="2" xfId="0" applyBorder="1"/>
    <xf numFmtId="0" fontId="0" fillId="0" borderId="0" xfId="0" applyAlignment="1">
      <alignment wrapText="1"/>
    </xf>
    <xf numFmtId="0" fontId="22" fillId="0" borderId="0" xfId="0" applyFont="1"/>
    <xf numFmtId="0" fontId="23" fillId="0" borderId="3" xfId="0" applyFont="1" applyBorder="1"/>
    <xf numFmtId="0" fontId="24" fillId="0" borderId="0" xfId="0" applyFont="1" applyAlignment="1">
      <alignment wrapText="1"/>
    </xf>
    <xf numFmtId="0" fontId="25" fillId="4" borderId="0" xfId="0" applyFont="1" applyFill="1" applyAlignment="1">
      <alignment wrapText="1"/>
    </xf>
    <xf numFmtId="0" fontId="26" fillId="0" borderId="0" xfId="0" applyFont="1"/>
    <xf numFmtId="0" fontId="27" fillId="0" borderId="0" xfId="0" applyFont="1"/>
    <xf numFmtId="0" fontId="27" fillId="0" borderId="0" xfId="0" applyFont="1" applyAlignment="1">
      <alignment wrapText="1"/>
    </xf>
    <xf numFmtId="0" fontId="28" fillId="0" borderId="0" xfId="0" applyFont="1"/>
    <xf numFmtId="0" fontId="0" fillId="5" borderId="0" xfId="0" applyFill="1"/>
    <xf numFmtId="0" fontId="23" fillId="0" borderId="0" xfId="0" applyFont="1"/>
    <xf numFmtId="0" fontId="29" fillId="0" borderId="0" xfId="0" applyFont="1"/>
    <xf numFmtId="0" fontId="5" fillId="0" borderId="1" xfId="3" applyFont="1" applyBorder="1" applyAlignment="1">
      <alignment vertical="center"/>
    </xf>
    <xf numFmtId="0" fontId="8" fillId="0" borderId="1" xfId="4" applyFont="1" applyBorder="1" applyAlignment="1" applyProtection="1">
      <alignment vertical="center"/>
    </xf>
    <xf numFmtId="0" fontId="31" fillId="0" borderId="0" xfId="0" applyFont="1"/>
    <xf numFmtId="0" fontId="32" fillId="0" borderId="0" xfId="0" applyFont="1"/>
    <xf numFmtId="0" fontId="0" fillId="6" borderId="0" xfId="0" applyFill="1"/>
    <xf numFmtId="0" fontId="27" fillId="6" borderId="0" xfId="0" applyFont="1" applyFill="1"/>
    <xf numFmtId="0" fontId="34" fillId="0" borderId="0" xfId="0" applyFont="1"/>
    <xf numFmtId="0" fontId="1" fillId="0" borderId="2" xfId="0" applyFont="1" applyBorder="1"/>
    <xf numFmtId="0" fontId="1" fillId="0" borderId="0" xfId="0" applyFont="1"/>
    <xf numFmtId="0" fontId="35" fillId="0" borderId="0" xfId="0" applyFont="1"/>
    <xf numFmtId="0" fontId="36" fillId="0" borderId="0" xfId="0" applyFont="1"/>
  </cellXfs>
  <cellStyles count="5">
    <cellStyle name="Bình thường" xfId="0" builtinId="0"/>
    <cellStyle name="Hyperlink 2" xfId="4" xr:uid="{00000000-0005-0000-0000-000000000000}"/>
    <cellStyle name="Normal 2" xfId="2" xr:uid="{00000000-0005-0000-0000-000002000000}"/>
    <cellStyle name="Normal 2 2" xfId="3" xr:uid="{00000000-0005-0000-0000-000003000000}"/>
    <cellStyle name="Normal 3" xfId="1" xr:uid="{00000000-0005-0000-0000-000004000000}"/>
  </cellStyles>
  <dxfs count="8869">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9C0006"/>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rgb="FF9C0006"/>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9C0006"/>
      </font>
      <fill>
        <patternFill patternType="none">
          <bgColor auto="1"/>
        </patternFill>
      </fill>
    </dxf>
    <dxf>
      <font>
        <strike/>
        <sz val="12"/>
      </font>
      <fill>
        <patternFill>
          <bgColor theme="0" tint="-0.499984740745262"/>
        </patternFill>
      </fill>
    </dxf>
    <dxf>
      <font>
        <b/>
        <i val="0"/>
        <sz val="12"/>
        <color rgb="FF00B050"/>
      </font>
    </dxf>
    <dxf>
      <font>
        <b/>
        <sz val="12"/>
      </font>
      <fill>
        <patternFill>
          <bgColor rgb="FFFABF8F"/>
        </patternFill>
      </fill>
    </dxf>
    <dxf>
      <font>
        <b/>
        <sz val="12"/>
        <color rgb="FF974706"/>
      </font>
    </dxf>
    <dxf>
      <font>
        <color rgb="FF9C0006"/>
      </font>
      <fill>
        <patternFill>
          <bgColor rgb="FFFFC7CE"/>
        </patternFill>
      </fill>
    </dxf>
    <dxf>
      <font>
        <b/>
        <sz val="12"/>
      </font>
      <fill>
        <patternFill>
          <bgColor rgb="FF9ABA58"/>
        </patternFill>
      </fill>
    </dxf>
    <dxf>
      <font>
        <b/>
        <i val="0"/>
        <color rgb="FFC0000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theme="9" tint="-0.499984740745262"/>
      </font>
      <fill>
        <patternFill patternType="none">
          <bgColor auto="1"/>
        </patternFill>
      </fill>
    </dxf>
    <dxf>
      <font>
        <b/>
        <i val="0"/>
        <color auto="1"/>
      </font>
      <fill>
        <patternFill>
          <bgColor theme="9" tint="0.39994506668294322"/>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0432FF"/>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0432FF"/>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auto="1"/>
      </font>
      <fill>
        <patternFill>
          <bgColor theme="9" tint="0.39994506668294322"/>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9C0006"/>
      </font>
      <fill>
        <patternFill patternType="none">
          <bgColor auto="1"/>
        </patternFill>
      </fill>
    </dxf>
    <dxf>
      <font>
        <b/>
        <i val="0"/>
      </font>
      <fill>
        <patternFill>
          <bgColor rgb="FFF595BE"/>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sz val="12"/>
      </font>
      <fill>
        <patternFill>
          <bgColor rgb="FFFABF8F"/>
        </patternFill>
      </fill>
    </dxf>
    <dxf>
      <font>
        <b/>
        <sz val="12"/>
      </font>
      <fill>
        <patternFill>
          <bgColor rgb="FF9ABA58"/>
        </patternFill>
      </fill>
    </dxf>
    <dxf>
      <font>
        <b/>
        <i val="0"/>
        <sz val="12"/>
        <color rgb="FF00B050"/>
      </font>
    </dxf>
    <dxf>
      <font>
        <b/>
        <i val="0"/>
        <color rgb="FFC00000"/>
      </font>
      <fill>
        <patternFill patternType="none">
          <bgColor auto="1"/>
        </patternFill>
      </fill>
    </dxf>
    <dxf>
      <font>
        <color rgb="FF9C0006"/>
      </font>
      <fill>
        <patternFill>
          <bgColor rgb="FFFFC7CE"/>
        </patternFill>
      </fill>
    </dxf>
    <dxf>
      <font>
        <strike/>
        <sz val="12"/>
      </font>
      <fill>
        <patternFill>
          <bgColor theme="0" tint="-0.499984740745262"/>
        </patternFill>
      </fill>
    </dxf>
    <dxf>
      <font>
        <b/>
        <sz val="12"/>
        <color rgb="FF974706"/>
      </font>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rgb="FF9C0006"/>
      </font>
      <fill>
        <patternFill patternType="none">
          <bgColor auto="1"/>
        </patternFill>
      </fill>
    </dxf>
    <dxf>
      <font>
        <strike/>
        <color auto="1"/>
      </font>
      <fill>
        <patternFill>
          <bgColor theme="0" tint="-0.499984740745262"/>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strike/>
        <color auto="1"/>
      </font>
      <fill>
        <patternFill>
          <bgColor theme="0" tint="-0.499984740745262"/>
        </patternFill>
      </fill>
    </dxf>
    <dxf>
      <font>
        <b/>
        <i val="0"/>
        <color rgb="FF9C0006"/>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rgb="FF9C0006"/>
      </font>
      <fill>
        <patternFill patternType="none">
          <bgColor auto="1"/>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08F00"/>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432FF"/>
      </font>
      <fill>
        <patternFill patternType="none">
          <bgColor auto="1"/>
        </patternFill>
      </fill>
    </dxf>
    <dxf>
      <font>
        <b/>
        <i val="0"/>
        <color rgb="FF008F0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font>
      <fill>
        <patternFill>
          <bgColor rgb="FFFF99FF"/>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0432FF"/>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0432FF"/>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rgb="FFFF000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rgb="FFFF0000"/>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rgb="FFFF0000"/>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0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0432FF"/>
      </font>
      <fill>
        <patternFill patternType="none">
          <bgColor auto="1"/>
        </patternFill>
      </fill>
    </dxf>
    <dxf>
      <font>
        <b/>
        <i val="0"/>
        <color rgb="FFFF0000"/>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8" tint="0.39994506668294322"/>
        </patternFill>
      </fill>
    </dxf>
    <dxf>
      <font>
        <b/>
        <i val="0"/>
      </font>
      <fill>
        <patternFill>
          <bgColor rgb="FFFF99FF"/>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FF00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color rgb="FFFF0000"/>
      </font>
      <fill>
        <patternFill patternType="none">
          <bgColor auto="1"/>
        </patternFill>
      </fill>
    </dxf>
    <dxf>
      <font>
        <b/>
        <i val="0"/>
        <color rgb="FF9C0006"/>
      </font>
      <fill>
        <patternFill patternType="none">
          <bgColor auto="1"/>
        </patternFill>
      </fill>
    </dxf>
    <dxf>
      <font>
        <b/>
        <i val="0"/>
        <color rgb="FF008F0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font>
      <fill>
        <patternFill>
          <bgColor rgb="FFF595BE"/>
        </patternFill>
      </fill>
    </dxf>
    <dxf>
      <font>
        <b/>
        <i val="0"/>
        <color rgb="FFFF0066"/>
      </font>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8" tint="0.39994506668294322"/>
        </patternFill>
      </fill>
    </dxf>
    <dxf>
      <font>
        <b/>
        <i val="0"/>
        <color auto="1"/>
      </font>
      <fill>
        <patternFill>
          <bgColor theme="9"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rgb="FFFF0066"/>
      </font>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008F00"/>
      </font>
      <fill>
        <patternFill patternType="none">
          <bgColor auto="1"/>
        </patternFill>
      </fill>
    </dxf>
    <dxf>
      <font>
        <b/>
        <i val="0"/>
        <color rgb="FF008F00"/>
      </font>
      <fill>
        <patternFill patternType="none">
          <bgColor auto="1"/>
        </patternFill>
      </fill>
    </dxf>
    <dxf>
      <font>
        <b/>
        <i val="0"/>
        <color rgb="FF008F0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7030A0"/>
      </font>
      <fill>
        <patternFill patternType="none">
          <bgColor auto="1"/>
        </patternFill>
      </fill>
    </dxf>
    <dxf>
      <font>
        <b/>
        <i val="0"/>
        <color auto="1"/>
      </font>
      <fill>
        <patternFill>
          <bgColor theme="9" tint="0.39994506668294322"/>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strike/>
        <color auto="1"/>
      </font>
      <fill>
        <patternFill>
          <bgColor theme="0" tint="-0.499984740745262"/>
        </patternFill>
      </fill>
    </dxf>
    <dxf>
      <font>
        <b/>
        <i val="0"/>
      </font>
      <fill>
        <patternFill>
          <bgColor rgb="FFF595BE"/>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7030A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ill>
        <patternFill>
          <bgColor theme="2" tint="-0.2499465926084170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ill>
        <patternFill>
          <bgColor theme="2" tint="-0.2499465926084170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ill>
        <patternFill>
          <bgColor theme="2" tint="-0.2499465926084170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ill>
        <patternFill>
          <bgColor theme="2" tint="-0.2499465926084170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rgb="FFFF0066"/>
      </font>
    </dxf>
    <dxf>
      <font>
        <b/>
        <i val="0"/>
        <color theme="9" tint="-0.499984740745262"/>
      </font>
      <fill>
        <patternFill patternType="none">
          <bgColor auto="1"/>
        </patternFill>
      </fill>
    </dxf>
    <dxf>
      <font>
        <b/>
        <i val="0"/>
        <color auto="1"/>
      </font>
      <fill>
        <patternFill>
          <bgColor theme="9" tint="0.39994506668294322"/>
        </patternFill>
      </fill>
    </dxf>
    <dxf>
      <font>
        <b/>
        <i val="0"/>
        <strike val="0"/>
        <color rgb="FF0070C0"/>
      </font>
      <fill>
        <patternFill patternType="none">
          <bgColor auto="1"/>
        </patternFill>
      </fill>
    </dxf>
    <dxf>
      <font>
        <b/>
        <i val="0"/>
      </font>
      <fill>
        <patternFill>
          <bgColor rgb="FFF595BE"/>
        </patternFill>
      </fill>
    </dxf>
    <dxf>
      <fill>
        <patternFill>
          <bgColor theme="2" tint="-0.24994659260841701"/>
        </patternFill>
      </fill>
    </dxf>
    <dxf>
      <font>
        <strike/>
        <color auto="1"/>
      </font>
      <fill>
        <patternFill>
          <bgColor theme="0" tint="-0.499984740745262"/>
        </patternFill>
      </fill>
    </dxf>
    <dxf>
      <font>
        <b/>
        <i val="0"/>
        <color auto="1"/>
      </font>
      <fill>
        <patternFill>
          <bgColor theme="8"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rgb="FFFF0066"/>
      </font>
    </dxf>
    <dxf>
      <font>
        <b/>
        <i val="0"/>
        <color auto="1"/>
      </font>
      <fill>
        <patternFill>
          <bgColor theme="9" tint="0.39994506668294322"/>
        </patternFill>
      </fill>
    </dxf>
    <dxf>
      <font>
        <b/>
        <i val="0"/>
        <color auto="1"/>
      </font>
      <fill>
        <patternFill>
          <bgColor theme="8"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ill>
        <patternFill>
          <bgColor theme="2" tint="-0.24994659260841701"/>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b/>
        <i val="0"/>
      </font>
      <fill>
        <patternFill>
          <bgColor rgb="FFF595BE"/>
        </patternFill>
      </fill>
    </dxf>
    <dxf>
      <font>
        <strike/>
        <color auto="1"/>
      </font>
      <fill>
        <patternFill>
          <bgColor theme="0" tint="-0.49998474074526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ill>
        <patternFill>
          <bgColor theme="2" tint="-0.2499465926084170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ill>
        <patternFill>
          <bgColor theme="2" tint="-0.2499465926084170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8" tint="0.39994506668294322"/>
        </patternFill>
      </fill>
    </dxf>
    <dxf>
      <font>
        <b/>
        <i val="0"/>
        <color auto="1"/>
      </font>
      <fill>
        <patternFill>
          <bgColor theme="9" tint="0.39994506668294322"/>
        </patternFill>
      </fill>
    </dxf>
    <dxf>
      <font>
        <b/>
        <i val="0"/>
        <color rgb="FFFF0066"/>
      </font>
    </dxf>
    <dxf>
      <font>
        <b/>
        <i val="0"/>
      </font>
      <fill>
        <patternFill>
          <bgColor rgb="FFF595BE"/>
        </patternFill>
      </fill>
    </dxf>
    <dxf>
      <font>
        <b/>
        <i val="0"/>
      </font>
      <fill>
        <patternFill>
          <bgColor rgb="FFF595BE"/>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ill>
        <patternFill>
          <bgColor theme="2" tint="-0.24994659260841701"/>
        </patternFill>
      </fill>
    </dxf>
    <dxf>
      <font>
        <b/>
        <i val="0"/>
      </font>
      <fill>
        <patternFill>
          <bgColor rgb="FFF595BE"/>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ill>
        <patternFill>
          <bgColor theme="2" tint="-0.24994659260841701"/>
        </patternFill>
      </fill>
    </dxf>
    <dxf>
      <fill>
        <patternFill>
          <bgColor theme="2" tint="-0.2499465926084170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font>
      <fill>
        <patternFill>
          <bgColor rgb="FFF595BE"/>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font>
      <fill>
        <patternFill>
          <bgColor rgb="FFF595BE"/>
        </patternFill>
      </fill>
    </dxf>
    <dxf>
      <font>
        <b/>
        <i val="0"/>
        <color rgb="FFFF0066"/>
      </font>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theme="9" tint="-0.499984740745262"/>
      </font>
      <fill>
        <patternFill patternType="none">
          <bgColor auto="1"/>
        </patternFill>
      </fill>
    </dxf>
    <dxf>
      <font>
        <b/>
        <i val="0"/>
        <color rgb="FFFF0066"/>
      </font>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ill>
        <patternFill>
          <bgColor theme="2" tint="-0.2499465926084170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ill>
        <patternFill>
          <bgColor theme="2" tint="-0.2499465926084170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8" tint="0.39994506668294322"/>
        </patternFill>
      </fill>
    </dxf>
    <dxf>
      <font>
        <b/>
        <i val="0"/>
        <color auto="1"/>
      </font>
      <fill>
        <patternFill>
          <bgColor theme="9"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ill>
        <patternFill>
          <bgColor theme="2" tint="-0.2499465926084170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rgb="FFFF0066"/>
      </font>
    </dxf>
    <dxf>
      <fill>
        <patternFill>
          <bgColor theme="2" tint="-0.24994659260841701"/>
        </patternFill>
      </fill>
    </dxf>
    <dxf>
      <fill>
        <patternFill>
          <bgColor theme="2" tint="-0.2499465926084170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rgb="FFFF0066"/>
      </font>
    </dxf>
    <dxf>
      <font>
        <b/>
        <i val="0"/>
      </font>
      <fill>
        <patternFill>
          <bgColor rgb="FFF595BE"/>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font>
      <fill>
        <patternFill>
          <bgColor rgb="FFF595BE"/>
        </patternFill>
      </fill>
    </dxf>
    <dxf>
      <font>
        <b/>
        <i val="0"/>
        <color rgb="FFFF0066"/>
      </font>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color rgb="FF7030A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rgb="FF7030A0"/>
      </font>
      <fill>
        <patternFill patternType="none">
          <bgColor auto="1"/>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color rgb="FFFF0066"/>
      </font>
    </dxf>
    <dxf>
      <fill>
        <patternFill>
          <bgColor theme="2" tint="-0.24994659260841701"/>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rgb="FF7030A0"/>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7030A0"/>
      </font>
      <fill>
        <patternFill patternType="none">
          <bgColor auto="1"/>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ill>
        <patternFill>
          <bgColor theme="2" tint="-0.2499465926084170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ont>
        <b/>
        <i val="0"/>
        <color rgb="FF7030A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rgb="FF7030A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color rgb="FF7030A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rgb="FFFF0066"/>
      </font>
    </dxf>
    <dxf>
      <font>
        <b/>
        <i val="0"/>
      </font>
      <fill>
        <patternFill>
          <bgColor rgb="FFF595BE"/>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color rgb="FF7030A0"/>
      </font>
      <fill>
        <patternFill patternType="none">
          <bgColor auto="1"/>
        </patternFill>
      </fill>
    </dxf>
    <dxf>
      <font>
        <b/>
        <i val="0"/>
        <color rgb="FF7030A0"/>
      </font>
      <fill>
        <patternFill patternType="none">
          <bgColor auto="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rgb="FF7030A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8" tint="0.39994506668294322"/>
        </patternFill>
      </fill>
    </dxf>
    <dxf>
      <font>
        <b/>
        <i val="0"/>
      </font>
      <fill>
        <patternFill>
          <bgColor rgb="FFF595BE"/>
        </patternFill>
      </fill>
    </dxf>
    <dxf>
      <fill>
        <patternFill>
          <bgColor theme="2" tint="-0.24994659260841701"/>
        </patternFill>
      </fill>
    </dxf>
    <dxf>
      <font>
        <b/>
        <i val="0"/>
        <color rgb="FFFF0066"/>
      </font>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font>
      <fill>
        <patternFill>
          <bgColor rgb="FFF595BE"/>
        </patternFill>
      </fill>
    </dxf>
    <dxf>
      <font>
        <b/>
        <i val="0"/>
        <color rgb="FFFF0066"/>
      </font>
    </dxf>
    <dxf>
      <font>
        <b/>
        <i val="0"/>
        <color rgb="FF7030A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7030A0"/>
      </font>
      <fill>
        <patternFill patternType="none">
          <bgColor auto="1"/>
        </patternFill>
      </fill>
    </dxf>
    <dxf>
      <font>
        <b/>
        <i val="0"/>
        <color rgb="FFFF0066"/>
      </font>
    </dxf>
    <dxf>
      <font>
        <b/>
        <i val="0"/>
      </font>
      <fill>
        <patternFill>
          <bgColor rgb="FFF595BE"/>
        </patternFill>
      </fill>
    </dxf>
    <dxf>
      <font>
        <b/>
        <i val="0"/>
        <color rgb="FF7030A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7030A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7030A0"/>
      </font>
      <fill>
        <patternFill patternType="none">
          <bgColor auto="1"/>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7030A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7030A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font>
      <fill>
        <patternFill>
          <bgColor rgb="FFF595BE"/>
        </patternFill>
      </fill>
    </dxf>
    <dxf>
      <font>
        <b/>
        <i val="0"/>
        <color rgb="FFFF0066"/>
      </font>
    </dxf>
    <dxf>
      <font>
        <b/>
        <i val="0"/>
        <color rgb="FF7030A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7030A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7030A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7030A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7030A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7030A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FF0066"/>
      </font>
    </dxf>
    <dxf>
      <font>
        <b/>
        <i val="0"/>
      </font>
      <fill>
        <patternFill>
          <bgColor rgb="FFF595BE"/>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rgb="FF7030A0"/>
      </font>
      <fill>
        <patternFill patternType="none">
          <bgColor auto="1"/>
        </patternFill>
      </fill>
    </dxf>
    <dxf>
      <font>
        <b/>
        <i val="0"/>
        <color rgb="FF7030A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7030A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7030A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7030A0"/>
      </font>
      <fill>
        <patternFill patternType="none">
          <bgColor auto="1"/>
        </patternFill>
      </fill>
    </dxf>
    <dxf>
      <font>
        <b/>
        <i val="0"/>
        <color auto="1"/>
      </font>
      <fill>
        <patternFill>
          <bgColor theme="8" tint="0.39994506668294322"/>
        </patternFill>
      </fill>
    </dxf>
    <dxf>
      <font>
        <b/>
        <i val="0"/>
        <color rgb="FF7030A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rgb="FF7030A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7030A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8" tint="0.39994506668294322"/>
        </patternFill>
      </fill>
    </dxf>
    <dxf>
      <font>
        <strike/>
        <color auto="1"/>
      </font>
      <fill>
        <patternFill>
          <bgColor theme="0" tint="-0.49998474074526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7030A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7030A0"/>
      </font>
      <fill>
        <patternFill patternType="none">
          <bgColor auto="1"/>
        </patternFill>
      </fill>
    </dxf>
    <dxf>
      <font>
        <b/>
        <i val="0"/>
        <color rgb="FF7030A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7030A0"/>
      </font>
      <fill>
        <patternFill patternType="none">
          <bgColor auto="1"/>
        </patternFill>
      </fill>
    </dxf>
    <dxf>
      <font>
        <b/>
        <i val="0"/>
        <color rgb="FF7030A0"/>
      </font>
      <fill>
        <patternFill patternType="none">
          <bgColor auto="1"/>
        </patternFill>
      </fill>
    </dxf>
    <dxf>
      <font>
        <b/>
        <i val="0"/>
        <color rgb="FF7030A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font>
      <fill>
        <patternFill>
          <bgColor rgb="FFF595BE"/>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ill>
        <patternFill>
          <bgColor theme="2" tint="-0.2499465926084170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ill>
        <patternFill>
          <bgColor theme="2" tint="-0.2499465926084170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rgb="FFFF0066"/>
      </font>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rgb="FFFF0066"/>
      </font>
    </dxf>
    <dxf>
      <font>
        <b/>
        <i val="0"/>
      </font>
      <fill>
        <patternFill>
          <bgColor rgb="FFF595BE"/>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ill>
        <patternFill>
          <bgColor theme="2" tint="-0.2499465926084170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strike/>
        <color auto="1"/>
      </font>
      <fill>
        <patternFill>
          <bgColor theme="0" tint="-0.499984740745262"/>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ill>
        <patternFill>
          <bgColor theme="2" tint="-0.24994659260841701"/>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ill>
        <patternFill>
          <bgColor theme="2" tint="-0.2499465926084170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b/>
        <i val="0"/>
      </font>
      <fill>
        <patternFill>
          <bgColor rgb="FFF595BE"/>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color auto="1"/>
      </font>
      <fill>
        <patternFill>
          <bgColor theme="8" tint="0.39994506668294322"/>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rgb="FFFF0066"/>
      </font>
    </dxf>
    <dxf>
      <font>
        <b/>
        <i val="0"/>
        <color auto="1"/>
      </font>
      <fill>
        <patternFill>
          <bgColor theme="8" tint="0.39994506668294322"/>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rgb="FFFF0066"/>
      </font>
    </dxf>
    <dxf>
      <font>
        <b/>
        <i val="0"/>
      </font>
      <fill>
        <patternFill>
          <bgColor rgb="FFF595BE"/>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rgb="FFFF0066"/>
      </font>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strike/>
        <color auto="1"/>
      </font>
      <fill>
        <patternFill>
          <bgColor theme="0" tint="-0.49998474074526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strike/>
        <color auto="1"/>
      </font>
      <fill>
        <patternFill>
          <bgColor theme="0" tint="-0.499984740745262"/>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9" tint="0.39994506668294322"/>
        </patternFill>
      </fill>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b/>
        <i val="0"/>
        <color rgb="FFFF0066"/>
      </font>
    </dxf>
    <dxf>
      <font>
        <b/>
        <i val="0"/>
      </font>
      <fill>
        <patternFill>
          <bgColor rgb="FFF595BE"/>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ill>
        <patternFill>
          <bgColor theme="2" tint="-0.2499465926084170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ill>
        <patternFill>
          <bgColor theme="2" tint="-0.24994659260841701"/>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ont>
        <b/>
        <i val="0"/>
      </font>
      <fill>
        <patternFill>
          <bgColor rgb="FFF595BE"/>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ill>
        <patternFill>
          <bgColor theme="2" tint="-0.2499465926084170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ill>
        <patternFill>
          <bgColor theme="2" tint="-0.2499465926084170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ill>
        <patternFill>
          <bgColor theme="2" tint="-0.24994659260841701"/>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font>
      <fill>
        <patternFill>
          <bgColor rgb="FFF595BE"/>
        </patternFill>
      </fill>
    </dxf>
    <dxf>
      <fill>
        <patternFill>
          <bgColor theme="2" tint="-0.24994659260841701"/>
        </patternFill>
      </fill>
    </dxf>
    <dxf>
      <fill>
        <patternFill>
          <bgColor theme="2" tint="-0.2499465926084170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ill>
        <patternFill>
          <bgColor theme="2" tint="-0.24994659260841701"/>
        </patternFill>
      </fill>
    </dxf>
    <dxf>
      <fill>
        <patternFill>
          <bgColor theme="2" tint="-0.24994659260841701"/>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strike/>
        <color auto="1"/>
      </font>
      <fill>
        <patternFill>
          <bgColor theme="0" tint="-0.499984740745262"/>
        </patternFill>
      </fill>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ill>
        <patternFill>
          <bgColor theme="2" tint="-0.24994659260841701"/>
        </patternFill>
      </fill>
    </dxf>
    <dxf>
      <font>
        <b/>
        <i val="0"/>
        <color rgb="FFFF0066"/>
      </font>
    </dxf>
    <dxf>
      <font>
        <b/>
        <i val="0"/>
        <color rgb="FFFF0066"/>
      </font>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rgb="FFFF0066"/>
      </font>
    </dxf>
    <dxf>
      <font>
        <b/>
        <i val="0"/>
      </font>
      <fill>
        <patternFill>
          <bgColor rgb="FFF595BE"/>
        </patternFill>
      </fill>
    </dxf>
    <dxf>
      <font>
        <b/>
        <i val="0"/>
      </font>
      <fill>
        <patternFill>
          <bgColor rgb="FFF595BE"/>
        </patternFill>
      </fill>
    </dxf>
    <dxf>
      <font>
        <b/>
        <i val="0"/>
        <color rgb="FFFF0066"/>
      </font>
    </dxf>
    <dxf>
      <font>
        <b/>
        <i val="0"/>
        <color rgb="FFFF0066"/>
      </font>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color auto="1"/>
      </font>
      <fill>
        <patternFill>
          <bgColor theme="8" tint="0.39994506668294322"/>
        </patternFill>
      </fill>
    </dxf>
    <dxf>
      <font>
        <b/>
        <i val="0"/>
        <color rgb="FFFF0066"/>
      </font>
    </dxf>
    <dxf>
      <font>
        <b/>
        <i val="0"/>
        <color rgb="FFFF0066"/>
      </font>
    </dxf>
    <dxf>
      <font>
        <b/>
        <i val="0"/>
      </font>
      <fill>
        <patternFill>
          <bgColor rgb="FFF595BE"/>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color rgb="FFFF0066"/>
      </font>
    </dxf>
    <dxf>
      <font>
        <b/>
        <i val="0"/>
        <color rgb="FFFF0066"/>
      </font>
    </dxf>
    <dxf>
      <font>
        <b/>
        <i val="0"/>
        <color auto="1"/>
      </font>
      <fill>
        <patternFill>
          <bgColor theme="8"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rgb="FFFF0066"/>
      </font>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font>
      <fill>
        <patternFill>
          <bgColor rgb="FFF595BE"/>
        </patternFill>
      </fill>
    </dxf>
    <dxf>
      <font>
        <b/>
        <i val="0"/>
        <color rgb="FFFF0066"/>
      </font>
    </dxf>
    <dxf>
      <font>
        <b/>
        <i val="0"/>
        <color rgb="FFFF0066"/>
      </font>
    </dxf>
    <dxf>
      <font>
        <b/>
        <i val="0"/>
      </font>
      <fill>
        <patternFill>
          <bgColor rgb="FFF595BE"/>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font>
      <fill>
        <patternFill>
          <bgColor rgb="FFF595BE"/>
        </patternFill>
      </fill>
    </dxf>
    <dxf>
      <font>
        <b/>
        <i val="0"/>
        <color rgb="FFFF0066"/>
      </font>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strike/>
        <color auto="1"/>
      </font>
      <fill>
        <patternFill>
          <bgColor theme="0" tint="-0.49998474074526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8"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strike val="0"/>
        <color rgb="FF0070C0"/>
      </font>
      <fill>
        <patternFill patternType="none">
          <bgColor auto="1"/>
        </patternFill>
      </fill>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font>
      <fill>
        <patternFill>
          <bgColor rgb="FFFF99FF"/>
        </patternFill>
      </fill>
    </dxf>
    <dxf>
      <font>
        <b/>
        <i val="0"/>
        <color auto="1"/>
      </font>
      <fill>
        <patternFill>
          <bgColor theme="8"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font>
      <fill>
        <patternFill>
          <bgColor rgb="FFFF99FF"/>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font>
      <fill>
        <patternFill>
          <bgColor rgb="FFF595BE"/>
        </patternFill>
      </fill>
    </dxf>
    <dxf>
      <font>
        <b/>
        <i val="0"/>
      </font>
      <fill>
        <patternFill>
          <bgColor rgb="FFF595BE"/>
        </patternFill>
      </fill>
    </dxf>
    <dxf>
      <font>
        <b/>
        <i val="0"/>
        <color rgb="FFFF0066"/>
      </font>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rgb="FFFF0066"/>
      </font>
    </dxf>
    <dxf>
      <font>
        <b/>
        <i val="0"/>
      </font>
      <fill>
        <patternFill>
          <bgColor rgb="FFF595BE"/>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8" tint="0.39994506668294322"/>
        </patternFill>
      </fill>
    </dxf>
    <dxf>
      <font>
        <b/>
        <i val="0"/>
        <color rgb="FFFF0066"/>
      </font>
    </dxf>
    <dxf>
      <font>
        <b/>
        <i val="0"/>
        <color theme="9" tint="-0.499984740745262"/>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color rgb="FFFFFF00"/>
      </font>
      <fill>
        <patternFill>
          <bgColor rgb="FFFF0000"/>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9" tint="0.39994506668294322"/>
        </patternFill>
      </fill>
    </dxf>
    <dxf>
      <font>
        <color rgb="FF9C0006"/>
      </font>
      <fill>
        <patternFill>
          <bgColor rgb="FFFFC7CE"/>
        </patternFill>
      </fill>
    </dxf>
    <dxf>
      <font>
        <b/>
        <i val="0"/>
        <color auto="1"/>
      </font>
      <fill>
        <patternFill>
          <bgColor theme="8"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b/>
        <i val="0"/>
      </font>
      <fill>
        <patternFill>
          <bgColor rgb="FFFF99FF"/>
        </patternFill>
      </fill>
    </dxf>
    <dxf>
      <font>
        <b/>
        <i val="0"/>
        <strike val="0"/>
        <color rgb="FF0070C0"/>
      </font>
      <fill>
        <patternFill patternType="none">
          <bgColor auto="1"/>
        </patternFill>
      </fill>
    </dxf>
    <dxf>
      <font>
        <strike/>
        <color auto="1"/>
      </font>
      <fill>
        <patternFill>
          <bgColor theme="0" tint="-0.499984740745262"/>
        </patternFill>
      </fill>
    </dxf>
    <dxf>
      <font>
        <b/>
        <i val="0"/>
        <color rgb="FFFF0066"/>
      </font>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font>
      <fill>
        <patternFill>
          <bgColor rgb="FFF595BE"/>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b/>
        <i val="0"/>
        <color auto="1"/>
      </font>
      <fill>
        <patternFill>
          <bgColor theme="8" tint="0.39994506668294322"/>
        </patternFill>
      </fill>
    </dxf>
    <dxf>
      <font>
        <b/>
        <i val="0"/>
        <strike val="0"/>
        <color rgb="FF0070C0"/>
      </font>
      <fill>
        <patternFill patternType="none">
          <bgColor auto="1"/>
        </patternFill>
      </fill>
    </dxf>
    <dxf>
      <font>
        <color rgb="FFFFFF00"/>
      </font>
      <fill>
        <patternFill>
          <bgColor rgb="FFFF0000"/>
        </patternFill>
      </fill>
    </dxf>
    <dxf>
      <font>
        <b/>
        <i val="0"/>
      </font>
      <fill>
        <patternFill>
          <bgColor rgb="FFF595BE"/>
        </patternFill>
      </fill>
    </dxf>
    <dxf>
      <font>
        <color rgb="FF9C0006"/>
      </font>
      <fill>
        <patternFill>
          <bgColor rgb="FFFFC7C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color rgb="FFFFFF00"/>
      </font>
      <fill>
        <patternFill>
          <bgColor rgb="FFFF0000"/>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color rgb="FF9C0006"/>
      </font>
      <fill>
        <patternFill>
          <bgColor rgb="FFFFC7CE"/>
        </patternFill>
      </fill>
    </dxf>
    <dxf>
      <font>
        <color rgb="FFFFFF00"/>
      </font>
      <fill>
        <patternFill>
          <bgColor rgb="FFFF0000"/>
        </patternFill>
      </fill>
    </dxf>
    <dxf>
      <font>
        <b/>
        <i val="0"/>
        <strike val="0"/>
        <color rgb="FF0070C0"/>
      </font>
      <fill>
        <patternFill patternType="none">
          <bgColor auto="1"/>
        </patternFill>
      </fill>
    </dxf>
    <dxf>
      <font>
        <color rgb="FF9C0006"/>
      </font>
      <fill>
        <patternFill>
          <bgColor rgb="FFFFC7CE"/>
        </patternFill>
      </fill>
    </dxf>
    <dxf>
      <font>
        <color rgb="FFFFFF00"/>
      </font>
      <fill>
        <patternFill>
          <bgColor rgb="FFFF0000"/>
        </patternFill>
      </fill>
    </dxf>
    <dxf>
      <font>
        <b/>
        <i val="0"/>
        <color auto="1"/>
      </font>
      <fill>
        <patternFill>
          <bgColor theme="8" tint="0.39994506668294322"/>
        </patternFill>
      </fill>
    </dxf>
    <dxf>
      <font>
        <b/>
        <i val="0"/>
        <color auto="1"/>
      </font>
      <fill>
        <patternFill>
          <bgColor theme="8" tint="0.39994506668294322"/>
        </patternFill>
      </fill>
    </dxf>
    <dxf>
      <font>
        <color rgb="FF9C0006"/>
      </font>
      <fill>
        <patternFill>
          <bgColor rgb="FFFFC7CE"/>
        </patternFill>
      </fill>
    </dxf>
    <dxf>
      <font>
        <color rgb="FFFFFF00"/>
      </font>
      <fill>
        <patternFill>
          <bgColor rgb="FFFF0000"/>
        </patternFill>
      </fill>
    </dxf>
    <dxf>
      <font>
        <b/>
        <i val="0"/>
        <strike val="0"/>
        <color rgb="FF0070C0"/>
      </font>
      <fill>
        <patternFill patternType="none">
          <bgColor auto="1"/>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color rgb="FFFFFF00"/>
      </font>
      <fill>
        <patternFill>
          <bgColor rgb="FFFF0000"/>
        </patternFill>
      </fill>
    </dxf>
    <dxf>
      <font>
        <color rgb="FF9C0006"/>
      </font>
      <fill>
        <patternFill>
          <bgColor rgb="FFFFC7CE"/>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color rgb="FFFFFF00"/>
      </font>
      <fill>
        <patternFill>
          <bgColor rgb="FFFF0000"/>
        </patternFill>
      </fill>
    </dxf>
    <dxf>
      <font>
        <color rgb="FF9C0006"/>
      </font>
      <fill>
        <patternFill>
          <bgColor rgb="FFFFC7CE"/>
        </patternFill>
      </fill>
    </dxf>
    <dxf>
      <font>
        <b/>
        <i val="0"/>
        <color rgb="FFFF0066"/>
      </font>
    </dxf>
    <dxf>
      <font>
        <b/>
        <i val="0"/>
        <strike val="0"/>
        <color rgb="FF0070C0"/>
      </font>
      <fill>
        <patternFill patternType="none">
          <bgColor auto="1"/>
        </patternFill>
      </fill>
    </dxf>
    <dxf>
      <font>
        <color rgb="FF9C0006"/>
      </font>
      <fill>
        <patternFill>
          <bgColor rgb="FFFFC7CE"/>
        </patternFill>
      </fill>
    </dxf>
    <dxf>
      <font>
        <color rgb="FFFFFF00"/>
      </font>
      <fill>
        <patternFill>
          <bgColor rgb="FFFF0000"/>
        </patternFill>
      </fill>
    </dxf>
    <dxf>
      <font>
        <b/>
        <i val="0"/>
        <color auto="1"/>
      </font>
      <fill>
        <patternFill>
          <bgColor theme="8" tint="0.39994506668294322"/>
        </patternFill>
      </fill>
    </dxf>
    <dxf>
      <font>
        <color rgb="FF9C0006"/>
      </font>
      <fill>
        <patternFill>
          <bgColor rgb="FFFFC7CE"/>
        </patternFill>
      </fill>
    </dxf>
    <dxf>
      <font>
        <b/>
        <i val="0"/>
        <strike val="0"/>
        <color rgb="FF0070C0"/>
      </font>
      <fill>
        <patternFill patternType="none">
          <bgColor auto="1"/>
        </patternFill>
      </fill>
    </dxf>
    <dxf>
      <font>
        <color rgb="FFFFFF00"/>
      </font>
      <fill>
        <patternFill>
          <bgColor rgb="FFFF0000"/>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color rgb="FFFFFF00"/>
      </font>
      <fill>
        <patternFill>
          <bgColor rgb="FFFF0000"/>
        </patternFill>
      </fill>
    </dxf>
    <dxf>
      <font>
        <color rgb="FF9C0006"/>
      </font>
      <fill>
        <patternFill>
          <bgColor rgb="FFFFC7CE"/>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color rgb="FFFFFF00"/>
      </font>
      <fill>
        <patternFill>
          <bgColor rgb="FFFF0000"/>
        </patternFill>
      </fill>
    </dxf>
    <dxf>
      <font>
        <color rgb="FF9C0006"/>
      </font>
      <fill>
        <patternFill>
          <bgColor rgb="FFFFC7C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color rgb="FFFFFF00"/>
      </font>
      <fill>
        <patternFill>
          <bgColor rgb="FFFF0000"/>
        </patternFill>
      </fill>
    </dxf>
    <dxf>
      <font>
        <color rgb="FF9C0006"/>
      </font>
      <fill>
        <patternFill>
          <bgColor rgb="FFFFC7C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color rgb="FFFFFF00"/>
      </font>
      <fill>
        <patternFill>
          <bgColor rgb="FFFF0000"/>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b/>
        <i val="0"/>
        <color rgb="FFFF0066"/>
      </font>
    </dxf>
    <dxf>
      <font>
        <b/>
        <i val="0"/>
      </font>
      <fill>
        <patternFill>
          <bgColor rgb="FFF595BE"/>
        </patternFill>
      </fill>
    </dxf>
    <dxf>
      <font>
        <color rgb="FFFFFF00"/>
      </font>
      <fill>
        <patternFill>
          <bgColor rgb="FFFF0000"/>
        </patternFill>
      </fill>
    </dxf>
    <dxf>
      <font>
        <color rgb="FF9C0006"/>
      </font>
      <fill>
        <patternFill>
          <bgColor rgb="FFFFC7C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color rgb="FFFFFF00"/>
      </font>
      <fill>
        <patternFill>
          <bgColor rgb="FFFF0000"/>
        </patternFill>
      </fill>
    </dxf>
    <dxf>
      <font>
        <color rgb="FF9C0006"/>
      </font>
      <fill>
        <patternFill>
          <bgColor rgb="FFFFC7C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color rgb="FFFFFF00"/>
      </font>
      <fill>
        <patternFill>
          <bgColor rgb="FFFF0000"/>
        </patternFill>
      </fill>
    </dxf>
    <dxf>
      <font>
        <color rgb="FF9C0006"/>
      </font>
      <fill>
        <patternFill>
          <bgColor rgb="FFFFC7C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color rgb="FFFFFF00"/>
      </font>
      <fill>
        <patternFill>
          <bgColor rgb="FFFF0000"/>
        </patternFill>
      </fill>
    </dxf>
    <dxf>
      <font>
        <b/>
        <i val="0"/>
      </font>
      <fill>
        <patternFill>
          <bgColor rgb="FFF595BE"/>
        </patternFill>
      </fill>
    </dxf>
    <dxf>
      <font>
        <color rgb="FF9C0006"/>
      </font>
      <fill>
        <patternFill>
          <bgColor rgb="FFFFC7C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color rgb="FFFFFF00"/>
      </font>
      <fill>
        <patternFill>
          <bgColor rgb="FFFF0000"/>
        </patternFill>
      </fill>
    </dxf>
    <dxf>
      <font>
        <color rgb="FF9C0006"/>
      </font>
      <fill>
        <patternFill>
          <bgColor rgb="FFFFC7C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color rgb="FFFFFF00"/>
      </font>
      <fill>
        <patternFill>
          <bgColor rgb="FFFF0000"/>
        </patternFill>
      </fill>
    </dxf>
    <dxf>
      <font>
        <color rgb="FF9C0006"/>
      </font>
      <fill>
        <patternFill>
          <bgColor rgb="FFFFC7CE"/>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color rgb="FFFFFF00"/>
      </font>
      <fill>
        <patternFill>
          <bgColor rgb="FFFF0000"/>
        </patternFill>
      </fill>
    </dxf>
    <dxf>
      <font>
        <color rgb="FF9C0006"/>
      </font>
      <fill>
        <patternFill>
          <bgColor rgb="FFFFC7CE"/>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color rgb="FFFFFF00"/>
      </font>
      <fill>
        <patternFill>
          <bgColor rgb="FFFF0000"/>
        </patternFill>
      </fill>
    </dxf>
    <dxf>
      <font>
        <color rgb="FF9C0006"/>
      </font>
      <fill>
        <patternFill>
          <bgColor rgb="FFFFC7C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color rgb="FFFFFF00"/>
      </font>
      <fill>
        <patternFill>
          <bgColor rgb="FFFF0000"/>
        </patternFill>
      </fill>
    </dxf>
    <dxf>
      <font>
        <b/>
        <i val="0"/>
        <color rgb="FFFF0066"/>
      </font>
    </dxf>
    <dxf>
      <font>
        <color rgb="FF9C0006"/>
      </font>
      <fill>
        <patternFill>
          <bgColor rgb="FFFFC7CE"/>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color rgb="FF9C0006"/>
      </font>
      <fill>
        <patternFill>
          <bgColor rgb="FFFFC7CE"/>
        </patternFill>
      </fill>
    </dxf>
    <dxf>
      <font>
        <color rgb="FFFFFF00"/>
      </font>
      <fill>
        <patternFill>
          <bgColor rgb="FFFF0000"/>
        </patternFill>
      </fill>
    </dxf>
    <dxf>
      <font>
        <b/>
        <i val="0"/>
        <color auto="1"/>
      </font>
      <fill>
        <patternFill>
          <bgColor theme="8" tint="0.39994506668294322"/>
        </patternFill>
      </fill>
    </dxf>
    <dxf>
      <font>
        <b/>
        <i val="0"/>
        <strike val="0"/>
        <color rgb="FF0070C0"/>
      </font>
      <fill>
        <patternFill patternType="none">
          <bgColor auto="1"/>
        </patternFill>
      </fill>
    </dxf>
    <dxf>
      <font>
        <color rgb="FF9C0006"/>
      </font>
      <fill>
        <patternFill>
          <bgColor rgb="FFFFC7CE"/>
        </patternFill>
      </fill>
    </dxf>
    <dxf>
      <font>
        <b/>
        <i val="0"/>
        <color rgb="FFFF0066"/>
      </font>
    </dxf>
    <dxf>
      <font>
        <b/>
        <i val="0"/>
      </font>
      <fill>
        <patternFill>
          <bgColor rgb="FFF595BE"/>
        </patternFill>
      </fill>
    </dxf>
    <dxf>
      <font>
        <color rgb="FFFFFF00"/>
      </font>
      <fill>
        <patternFill>
          <bgColor rgb="FFFF0000"/>
        </patternFill>
      </fill>
    </dxf>
    <dxf>
      <font>
        <b/>
        <i val="0"/>
        <strike val="0"/>
        <color rgb="FF0070C0"/>
      </font>
      <fill>
        <patternFill patternType="none">
          <bgColor auto="1"/>
        </patternFill>
      </fill>
    </dxf>
    <dxf>
      <font>
        <b/>
        <i val="0"/>
        <color auto="1"/>
      </font>
      <fill>
        <patternFill>
          <bgColor theme="8" tint="0.39994506668294322"/>
        </patternFill>
      </fill>
    </dxf>
    <dxf>
      <font>
        <color rgb="FF9C0006"/>
      </font>
      <fill>
        <patternFill>
          <bgColor rgb="FFFFC7CE"/>
        </patternFill>
      </fill>
    </dxf>
    <dxf>
      <font>
        <b/>
        <i val="0"/>
      </font>
      <fill>
        <patternFill>
          <bgColor rgb="FFF595BE"/>
        </patternFill>
      </fill>
    </dxf>
    <dxf>
      <font>
        <b/>
        <i val="0"/>
        <color rgb="FFFF0066"/>
      </font>
    </dxf>
    <dxf>
      <font>
        <color rgb="FFFFFF00"/>
      </font>
      <fill>
        <patternFill>
          <bgColor rgb="FFFF0000"/>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color rgb="FF9C0006"/>
      </font>
      <fill>
        <patternFill>
          <bgColor rgb="FFFFC7CE"/>
        </patternFill>
      </fill>
    </dxf>
    <dxf>
      <font>
        <color rgb="FFFFFF00"/>
      </font>
      <fill>
        <patternFill>
          <bgColor rgb="FFFF0000"/>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color rgb="FF9C0006"/>
      </font>
      <fill>
        <patternFill>
          <bgColor rgb="FFFFC7CE"/>
        </patternFill>
      </fill>
    </dxf>
    <dxf>
      <font>
        <color rgb="FFFFFF00"/>
      </font>
      <fill>
        <patternFill>
          <bgColor rgb="FFFF0000"/>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color rgb="FF9C0006"/>
      </font>
      <fill>
        <patternFill>
          <bgColor rgb="FFFFC7CE"/>
        </patternFill>
      </fill>
    </dxf>
    <dxf>
      <font>
        <color rgb="FFFFFF00"/>
      </font>
      <fill>
        <patternFill>
          <bgColor rgb="FFFF0000"/>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color rgb="FFFFFF00"/>
      </font>
      <fill>
        <patternFill>
          <bgColor rgb="FFFF0000"/>
        </patternFill>
      </fill>
    </dxf>
    <dxf>
      <font>
        <b/>
        <i val="0"/>
      </font>
      <fill>
        <patternFill>
          <bgColor rgb="FFF595BE"/>
        </patternFill>
      </fill>
    </dxf>
    <dxf>
      <font>
        <b/>
        <i val="0"/>
        <color rgb="FFFF0066"/>
      </font>
    </dxf>
    <dxf>
      <font>
        <color rgb="FF9C0006"/>
      </font>
      <fill>
        <patternFill>
          <bgColor rgb="FFFFC7C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color rgb="FF9C0006"/>
      </font>
      <fill>
        <patternFill>
          <bgColor rgb="FFFFC7CE"/>
        </patternFill>
      </fill>
    </dxf>
    <dxf>
      <font>
        <color rgb="FFFFFF00"/>
      </font>
      <fill>
        <patternFill>
          <bgColor rgb="FFFF0000"/>
        </patternFill>
      </fill>
    </dxf>
    <dxf>
      <font>
        <b/>
        <i val="0"/>
        <color auto="1"/>
      </font>
      <fill>
        <patternFill>
          <bgColor theme="8" tint="0.39994506668294322"/>
        </patternFill>
      </fill>
    </dxf>
    <dxf>
      <font>
        <b/>
        <i val="0"/>
        <strike val="0"/>
        <color rgb="FF0070C0"/>
      </font>
      <fill>
        <patternFill patternType="none">
          <bgColor auto="1"/>
        </patternFill>
      </fill>
    </dxf>
    <dxf>
      <font>
        <color rgb="FF9C0006"/>
      </font>
      <fill>
        <patternFill>
          <bgColor rgb="FFFFC7CE"/>
        </patternFill>
      </fill>
    </dxf>
    <dxf>
      <font>
        <b/>
        <i val="0"/>
        <color rgb="FFFF0066"/>
      </font>
    </dxf>
    <dxf>
      <font>
        <b/>
        <i val="0"/>
      </font>
      <fill>
        <patternFill>
          <bgColor rgb="FFF595BE"/>
        </patternFill>
      </fill>
    </dxf>
    <dxf>
      <font>
        <color rgb="FFFFFF00"/>
      </font>
      <fill>
        <patternFill>
          <bgColor rgb="FFFF0000"/>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color rgb="FF9C0006"/>
      </font>
      <fill>
        <patternFill>
          <bgColor rgb="FFFFC7CE"/>
        </patternFill>
      </fill>
    </dxf>
    <dxf>
      <font>
        <color rgb="FFFFFF00"/>
      </font>
      <fill>
        <patternFill>
          <bgColor rgb="FFFF0000"/>
        </patternFill>
      </fill>
    </dxf>
    <dxf>
      <font>
        <b/>
        <i val="0"/>
        <color auto="1"/>
      </font>
      <fill>
        <patternFill>
          <bgColor theme="8" tint="0.39994506668294322"/>
        </patternFill>
      </fill>
    </dxf>
    <dxf>
      <font>
        <b/>
        <i val="0"/>
        <strike val="0"/>
        <color rgb="FF0070C0"/>
      </font>
      <fill>
        <patternFill patternType="none">
          <bgColor auto="1"/>
        </patternFill>
      </fill>
    </dxf>
    <dxf>
      <font>
        <color rgb="FF9C0006"/>
      </font>
      <fill>
        <patternFill>
          <bgColor rgb="FFFFC7CE"/>
        </patternFill>
      </fill>
    </dxf>
    <dxf>
      <font>
        <color rgb="FFFFFF00"/>
      </font>
      <fill>
        <patternFill>
          <bgColor rgb="FFFF0000"/>
        </patternFill>
      </fill>
    </dxf>
    <dxf>
      <font>
        <b/>
        <i val="0"/>
        <strike val="0"/>
        <color rgb="FF0070C0"/>
      </font>
      <fill>
        <patternFill patternType="none">
          <bgColor auto="1"/>
        </patternFill>
      </fill>
    </dxf>
    <dxf>
      <font>
        <b/>
        <i val="0"/>
        <color auto="1"/>
      </font>
      <fill>
        <patternFill>
          <bgColor theme="8" tint="0.39994506668294322"/>
        </patternFill>
      </fill>
    </dxf>
    <dxf>
      <font>
        <color rgb="FFFFFF00"/>
      </font>
      <fill>
        <patternFill>
          <bgColor rgb="FFFF0000"/>
        </patternFill>
      </fill>
    </dxf>
    <dxf>
      <font>
        <color rgb="FF9C0006"/>
      </font>
      <fill>
        <patternFill>
          <bgColor rgb="FFFFC7C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color rgb="FF9C0006"/>
      </font>
      <fill>
        <patternFill>
          <bgColor rgb="FFFFC7CE"/>
        </patternFill>
      </fill>
    </dxf>
    <dxf>
      <font>
        <color rgb="FFFFFF00"/>
      </font>
      <fill>
        <patternFill>
          <bgColor rgb="FFFF0000"/>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color rgb="FF9C0006"/>
      </font>
      <fill>
        <patternFill>
          <bgColor rgb="FFFFC7CE"/>
        </patternFill>
      </fill>
    </dxf>
    <dxf>
      <font>
        <color rgb="FFFFFF00"/>
      </font>
      <fill>
        <patternFill>
          <bgColor rgb="FFFF0000"/>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color rgb="FF9C0006"/>
      </font>
      <fill>
        <patternFill>
          <bgColor rgb="FFFFC7CE"/>
        </patternFill>
      </fill>
    </dxf>
    <dxf>
      <font>
        <color rgb="FFFFFF00"/>
      </font>
      <fill>
        <patternFill>
          <bgColor rgb="FFFF0000"/>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color rgb="FF9C0006"/>
      </font>
      <fill>
        <patternFill>
          <bgColor rgb="FFFFC7CE"/>
        </patternFill>
      </fill>
    </dxf>
    <dxf>
      <font>
        <color rgb="FFFFFF00"/>
      </font>
      <fill>
        <patternFill>
          <bgColor rgb="FFFF0000"/>
        </patternFill>
      </fill>
    </dxf>
    <dxf>
      <font>
        <b/>
        <i val="0"/>
        <color auto="1"/>
      </font>
      <fill>
        <patternFill>
          <bgColor theme="8" tint="0.39994506668294322"/>
        </patternFill>
      </fill>
    </dxf>
    <dxf>
      <font>
        <b/>
        <i val="0"/>
        <strike val="0"/>
        <color rgb="FF0070C0"/>
      </font>
      <fill>
        <patternFill patternType="none">
          <bgColor auto="1"/>
        </patternFill>
      </fill>
    </dxf>
    <dxf>
      <font>
        <color rgb="FF9C0006"/>
      </font>
      <fill>
        <patternFill>
          <bgColor rgb="FFFFC7CE"/>
        </patternFill>
      </fill>
    </dxf>
    <dxf>
      <font>
        <b/>
        <i val="0"/>
        <color rgb="FFFF0066"/>
      </font>
    </dxf>
    <dxf>
      <font>
        <color rgb="FFFFFF00"/>
      </font>
      <fill>
        <patternFill>
          <bgColor rgb="FFFF0000"/>
        </patternFill>
      </fill>
    </dxf>
    <dxf>
      <font>
        <b/>
        <i val="0"/>
        <color rgb="FFFF0066"/>
      </font>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b/>
        <i val="0"/>
        <color rgb="FFFF0066"/>
      </font>
    </dxf>
    <dxf>
      <font>
        <color rgb="FF9C0006"/>
      </font>
      <fill>
        <patternFill>
          <bgColor rgb="FFFFC7CE"/>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color rgb="FF9C0006"/>
      </font>
      <fill>
        <patternFill>
          <bgColor rgb="FFFFC7CE"/>
        </patternFill>
      </fill>
    </dxf>
    <dxf>
      <font>
        <b/>
        <i val="0"/>
        <color auto="1"/>
      </font>
      <fill>
        <patternFill>
          <bgColor theme="8" tint="0.39994506668294322"/>
        </patternFill>
      </fill>
    </dxf>
    <dxf>
      <font>
        <color rgb="FFFFFF00"/>
      </font>
      <fill>
        <patternFill>
          <bgColor rgb="FFFF0000"/>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color rgb="FF9C0006"/>
      </font>
      <fill>
        <patternFill>
          <bgColor rgb="FFFFC7CE"/>
        </patternFill>
      </fill>
    </dxf>
    <dxf>
      <font>
        <b/>
        <i val="0"/>
        <strike val="0"/>
        <color rgb="FF0070C0"/>
      </font>
      <fill>
        <patternFill patternType="none">
          <bgColor auto="1"/>
        </patternFill>
      </fill>
    </dxf>
    <dxf>
      <font>
        <b/>
        <i val="0"/>
        <color auto="1"/>
      </font>
      <fill>
        <patternFill>
          <bgColor theme="8" tint="0.39994506668294322"/>
        </patternFill>
      </fill>
    </dxf>
    <dxf>
      <font>
        <color rgb="FFFFFF00"/>
      </font>
      <fill>
        <patternFill>
          <bgColor rgb="FFFF0000"/>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8" tint="0.39994506668294322"/>
        </patternFill>
      </fill>
    </dxf>
    <dxf>
      <font>
        <b/>
        <i val="0"/>
        <strike val="0"/>
        <color rgb="FF0070C0"/>
      </font>
      <fill>
        <patternFill patternType="none">
          <bgColor auto="1"/>
        </patternFill>
      </fill>
    </dxf>
    <dxf>
      <font>
        <color rgb="FF9C0006"/>
      </font>
      <fill>
        <patternFill>
          <bgColor rgb="FFFFC7CE"/>
        </patternFill>
      </fill>
    </dxf>
    <dxf>
      <font>
        <color rgb="FFFFFF00"/>
      </font>
      <fill>
        <patternFill>
          <bgColor rgb="FFFF0000"/>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b/>
        <i val="0"/>
        <strike val="0"/>
        <color rgb="FF0070C0"/>
      </font>
      <fill>
        <patternFill patternType="none">
          <bgColor auto="1"/>
        </patternFill>
      </fill>
    </dxf>
    <dxf>
      <font>
        <b/>
        <i val="0"/>
        <color auto="1"/>
      </font>
      <fill>
        <patternFill>
          <bgColor theme="8" tint="0.39994506668294322"/>
        </patternFill>
      </fill>
    </dxf>
    <dxf>
      <font>
        <color rgb="FF9C0006"/>
      </font>
      <fill>
        <patternFill>
          <bgColor rgb="FFFFC7C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8" tint="0.39994506668294322"/>
        </patternFill>
      </fill>
    </dxf>
    <dxf>
      <font>
        <b/>
        <i val="0"/>
        <strike val="0"/>
        <color rgb="FF0070C0"/>
      </font>
      <fill>
        <patternFill patternType="none">
          <bgColor auto="1"/>
        </patternFill>
      </fill>
    </dxf>
    <dxf>
      <font>
        <color rgb="FFFFFF00"/>
      </font>
      <fill>
        <patternFill>
          <bgColor rgb="FFFF0000"/>
        </patternFill>
      </fill>
    </dxf>
    <dxf>
      <font>
        <color rgb="FF9C0006"/>
      </font>
      <fill>
        <patternFill>
          <bgColor rgb="FFFFC7CE"/>
        </patternFill>
      </fill>
    </dxf>
    <dxf>
      <font>
        <b/>
        <i val="0"/>
      </font>
      <fill>
        <patternFill>
          <bgColor rgb="FFF595BE"/>
        </patternFill>
      </fill>
    </dxf>
    <dxf>
      <font>
        <b/>
        <i val="0"/>
        <color rgb="FFFF0066"/>
      </font>
    </dxf>
    <dxf>
      <font>
        <b/>
        <i val="0"/>
        <strike val="0"/>
        <color rgb="FF0070C0"/>
      </font>
      <fill>
        <patternFill patternType="none">
          <bgColor auto="1"/>
        </patternFill>
      </fill>
    </dxf>
    <dxf>
      <font>
        <color rgb="FFFFFF00"/>
      </font>
      <fill>
        <patternFill>
          <bgColor rgb="FFFF0000"/>
        </patternFill>
      </fill>
    </dxf>
    <dxf>
      <font>
        <color rgb="FF9C0006"/>
      </font>
      <fill>
        <patternFill>
          <bgColor rgb="FFFFC7CE"/>
        </patternFill>
      </fill>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color rgb="FFFFFF00"/>
      </font>
      <fill>
        <patternFill>
          <bgColor rgb="FFFF0000"/>
        </patternFill>
      </fill>
    </dxf>
    <dxf>
      <font>
        <color rgb="FF9C0006"/>
      </font>
      <fill>
        <patternFill>
          <bgColor rgb="FFFFC7CE"/>
        </patternFill>
      </fill>
    </dxf>
    <dxf>
      <font>
        <b/>
        <i val="0"/>
      </font>
      <fill>
        <patternFill>
          <bgColor rgb="FFF595BE"/>
        </patternFill>
      </fill>
    </dxf>
    <dxf>
      <font>
        <b/>
        <i val="0"/>
        <color rgb="FFFF0066"/>
      </font>
    </dxf>
    <dxf>
      <font>
        <color rgb="FFFFFF00"/>
      </font>
      <fill>
        <patternFill>
          <bgColor rgb="FFFF0000"/>
        </patternFill>
      </fill>
    </dxf>
    <dxf>
      <font>
        <color rgb="FF9C0006"/>
      </font>
      <fill>
        <patternFill>
          <bgColor rgb="FFFFC7CE"/>
        </patternFill>
      </fill>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color rgb="FFFFFF00"/>
      </font>
      <fill>
        <patternFill>
          <bgColor rgb="FFFF0000"/>
        </patternFill>
      </fill>
    </dxf>
    <dxf>
      <font>
        <color rgb="FF9C0006"/>
      </font>
      <fill>
        <patternFill>
          <bgColor rgb="FFFFC7CE"/>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font>
      <fill>
        <patternFill>
          <bgColor rgb="FFF595BE"/>
        </patternFill>
      </fill>
    </dxf>
    <dxf>
      <font>
        <b/>
        <i val="0"/>
        <color rgb="FFFF0066"/>
      </font>
    </dxf>
    <dxf>
      <font>
        <color rgb="FF9C0006"/>
      </font>
      <fill>
        <patternFill>
          <bgColor rgb="FFFFC7CE"/>
        </patternFill>
      </fill>
    </dxf>
    <dxf>
      <font>
        <color rgb="FFFFFF00"/>
      </font>
      <fill>
        <patternFill>
          <bgColor rgb="FFFF0000"/>
        </patternFill>
      </fill>
    </dxf>
    <dxf>
      <font>
        <b/>
        <i val="0"/>
        <strike val="0"/>
        <color rgb="FF0070C0"/>
      </font>
      <fill>
        <patternFill patternType="none">
          <bgColor auto="1"/>
        </patternFill>
      </fill>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color rgb="FF9C0006"/>
      </font>
      <fill>
        <patternFill>
          <bgColor rgb="FFFFC7CE"/>
        </patternFill>
      </fill>
    </dxf>
    <dxf>
      <font>
        <color rgb="FFFFFF00"/>
      </font>
      <fill>
        <patternFill>
          <bgColor rgb="FFFF0000"/>
        </patternFill>
      </fill>
    </dxf>
    <dxf>
      <font>
        <b/>
        <i val="0"/>
        <strike val="0"/>
        <color rgb="FF0070C0"/>
      </font>
      <fill>
        <patternFill patternType="none">
          <bgColor auto="1"/>
        </patternFill>
      </fill>
    </dxf>
    <dxf>
      <font>
        <color rgb="FFFFFF00"/>
      </font>
      <fill>
        <patternFill>
          <bgColor rgb="FFFF0000"/>
        </patternFill>
      </fill>
    </dxf>
    <dxf>
      <font>
        <color rgb="FF9C0006"/>
      </font>
      <fill>
        <patternFill>
          <bgColor rgb="FFFFC7CE"/>
        </patternFill>
      </fill>
    </dxf>
    <dxf>
      <font>
        <b/>
        <i val="0"/>
        <color auto="1"/>
      </font>
      <fill>
        <patternFill>
          <bgColor theme="8" tint="0.39994506668294322"/>
        </patternFill>
      </fill>
    </dxf>
    <dxf>
      <font>
        <b/>
        <i val="0"/>
      </font>
      <fill>
        <patternFill>
          <bgColor rgb="FFF595BE"/>
        </patternFill>
      </fill>
    </dxf>
    <dxf>
      <font>
        <b/>
        <i val="0"/>
        <color rgb="FFFF0066"/>
      </font>
    </dxf>
    <dxf>
      <font>
        <color rgb="FF9C0006"/>
      </font>
      <fill>
        <patternFill>
          <bgColor rgb="FFFFC7CE"/>
        </patternFill>
      </fill>
    </dxf>
    <dxf>
      <font>
        <color rgb="FFFFFF00"/>
      </font>
      <fill>
        <patternFill>
          <bgColor rgb="FFFF0000"/>
        </patternFill>
      </fill>
    </dxf>
    <dxf>
      <font>
        <b/>
        <i val="0"/>
        <strike val="0"/>
        <color rgb="FF0070C0"/>
      </font>
      <fill>
        <patternFill patternType="none">
          <bgColor auto="1"/>
        </patternFill>
      </fill>
    </dxf>
    <dxf>
      <font>
        <b/>
        <i val="0"/>
        <color auto="1"/>
      </font>
      <fill>
        <patternFill>
          <bgColor theme="8"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color rgb="FF9C0006"/>
      </font>
      <fill>
        <patternFill>
          <bgColor rgb="FFFFC7CE"/>
        </patternFill>
      </fill>
    </dxf>
    <dxf>
      <font>
        <color rgb="FFFFFF00"/>
      </font>
      <fill>
        <patternFill>
          <bgColor rgb="FFFF0000"/>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color rgb="FFFFFF00"/>
      </font>
      <fill>
        <patternFill>
          <bgColor rgb="FFFF0000"/>
        </patternFill>
      </fill>
    </dxf>
    <dxf>
      <font>
        <color rgb="FF9C0006"/>
      </font>
      <fill>
        <patternFill>
          <bgColor rgb="FFFFC7CE"/>
        </patternFill>
      </fill>
    </dxf>
    <dxf>
      <font>
        <b/>
        <i val="0"/>
        <color auto="1"/>
      </font>
      <fill>
        <patternFill>
          <bgColor theme="8" tint="0.39994506668294322"/>
        </patternFill>
      </fill>
    </dxf>
    <dxf>
      <font>
        <b/>
        <i val="0"/>
        <strike val="0"/>
        <color rgb="FF0070C0"/>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u val="double"/>
        <color rgb="FFFFFF0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39994506668294322"/>
        </patternFill>
      </fill>
    </dxf>
    <dxf>
      <fill>
        <patternFill>
          <bgColor theme="9" tint="0.39994506668294322"/>
        </patternFill>
      </fill>
    </dxf>
    <dxf>
      <font>
        <color rgb="FF9C0006"/>
      </font>
      <fill>
        <patternFill>
          <bgColor rgb="FFFFC7CE"/>
        </patternFill>
      </fill>
    </dxf>
    <dxf>
      <font>
        <color rgb="FFFFFF00"/>
      </font>
      <fill>
        <patternFill>
          <bgColor rgb="FFFF0000"/>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F99FF"/>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font>
      <fill>
        <patternFill>
          <bgColor rgb="FFF595BE"/>
        </patternFill>
      </fill>
    </dxf>
    <dxf>
      <font>
        <b/>
        <i val="0"/>
        <color rgb="FFFF0066"/>
      </font>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sz val="12"/>
      </font>
      <fill>
        <patternFill>
          <bgColor theme="0" tint="-0.499984740745262"/>
        </patternFill>
      </fill>
    </dxf>
    <dxf>
      <font>
        <b/>
        <sz val="12"/>
        <color rgb="FF974706"/>
      </font>
    </dxf>
    <dxf>
      <font>
        <b/>
        <sz val="12"/>
      </font>
      <fill>
        <patternFill>
          <bgColor rgb="FFFABF8F"/>
        </patternFill>
      </fill>
    </dxf>
    <dxf>
      <font>
        <b/>
        <i val="0"/>
        <sz val="12"/>
        <color rgb="FF00B050"/>
      </font>
    </dxf>
    <dxf>
      <font>
        <b/>
        <sz val="12"/>
      </font>
      <fill>
        <patternFill>
          <bgColor rgb="FF9ABA58"/>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rgb="FFFF0066"/>
      </font>
    </dxf>
    <dxf>
      <font>
        <b/>
        <i val="0"/>
        <color auto="1"/>
      </font>
      <fill>
        <patternFill>
          <bgColor theme="8" tint="0.39994506668294322"/>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color auto="1"/>
      </font>
      <fill>
        <patternFill>
          <bgColor theme="8" tint="0.39994506668294322"/>
        </patternFill>
      </fill>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strike val="0"/>
        <color rgb="FF0070C0"/>
      </font>
      <fill>
        <patternFill patternType="none">
          <bgColor auto="1"/>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b/>
        <i val="0"/>
      </font>
      <fill>
        <patternFill>
          <bgColor rgb="FFF595BE"/>
        </patternFill>
      </fill>
    </dxf>
    <dxf>
      <font>
        <b/>
        <i val="0"/>
        <color auto="1"/>
      </font>
      <fill>
        <patternFill>
          <bgColor theme="8" tint="0.39994506668294322"/>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strike val="0"/>
        <color rgb="FF0070C0"/>
      </font>
      <fill>
        <patternFill patternType="none">
          <bgColor auto="1"/>
        </patternFill>
      </fill>
    </dxf>
    <dxf>
      <font>
        <b/>
        <i val="0"/>
      </font>
      <fill>
        <patternFill>
          <bgColor rgb="FFF595BE"/>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auto="1"/>
      </font>
      <fill>
        <patternFill>
          <bgColor theme="8" tint="0.39994506668294322"/>
        </patternFill>
      </fill>
    </dxf>
    <dxf>
      <font>
        <b/>
        <i val="0"/>
        <strike val="0"/>
        <color rgb="FF0070C0"/>
      </font>
      <fill>
        <patternFill patternType="none">
          <bgColor auto="1"/>
        </patternFill>
      </fill>
    </dxf>
    <dxf>
      <font>
        <b/>
        <i val="0"/>
        <color rgb="FFFF0066"/>
      </font>
    </dxf>
    <dxf>
      <font>
        <strike/>
        <color auto="1"/>
      </font>
      <fill>
        <patternFill>
          <bgColor theme="0" tint="-0.499984740745262"/>
        </patternFill>
      </fill>
    </dxf>
    <dxf>
      <font>
        <b/>
        <i val="0"/>
        <strike val="0"/>
        <color rgb="FF0070C0"/>
      </font>
      <fill>
        <patternFill patternType="none">
          <bgColor auto="1"/>
        </patternFill>
      </fill>
    </dxf>
    <dxf>
      <font>
        <b/>
        <i val="0"/>
      </font>
      <fill>
        <patternFill>
          <bgColor rgb="FFF595BE"/>
        </patternFill>
      </fill>
    </dxf>
    <dxf>
      <font>
        <b/>
        <i val="0"/>
        <color rgb="FFFF0066"/>
      </font>
    </dxf>
    <dxf>
      <font>
        <b/>
        <i val="0"/>
        <color auto="1"/>
      </font>
      <fill>
        <patternFill>
          <bgColor theme="8" tint="0.39994506668294322"/>
        </patternFill>
      </fill>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b/>
        <i val="0"/>
        <color theme="9" tint="-0.499984740745262"/>
      </font>
      <fill>
        <patternFill patternType="none">
          <bgColor auto="1"/>
        </patternFill>
      </fill>
    </dxf>
    <dxf>
      <font>
        <strike/>
        <color auto="1"/>
      </font>
      <fill>
        <patternFill>
          <bgColor theme="0" tint="-0.499984740745262"/>
        </patternFill>
      </fill>
    </dxf>
    <dxf>
      <font>
        <b/>
        <i val="0"/>
        <color theme="9" tint="-0.499984740745262"/>
      </font>
      <fill>
        <patternFill patternType="none">
          <bgColor auto="1"/>
        </patternFill>
      </fill>
    </dxf>
    <dxf>
      <font>
        <strike/>
        <color auto="1"/>
      </font>
      <fill>
        <patternFill>
          <bgColor theme="0" tint="-0.499984740745262"/>
        </patternFill>
      </fill>
    </dxf>
    <dxf>
      <font>
        <b/>
        <i val="0"/>
        <color auto="1"/>
      </font>
      <fill>
        <patternFill>
          <bgColor theme="9" tint="0.3999450666829432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z val="12"/>
        <color rgb="FF00B050"/>
      </font>
    </dxf>
    <dxf>
      <font>
        <b/>
        <sz val="12"/>
        <color rgb="FF974706"/>
      </font>
    </dxf>
    <dxf>
      <font>
        <strike/>
        <sz val="12"/>
      </font>
      <fill>
        <patternFill>
          <bgColor theme="0" tint="-0.499984740745262"/>
        </patternFill>
      </fill>
    </dxf>
    <dxf>
      <font>
        <b/>
        <sz val="12"/>
      </font>
      <fill>
        <patternFill>
          <bgColor rgb="FF9ABA58"/>
        </patternFill>
      </fill>
    </dxf>
    <dxf>
      <font>
        <b/>
        <sz val="12"/>
      </font>
      <fill>
        <patternFill>
          <bgColor rgb="FFFABF8F"/>
        </patternFill>
      </fill>
    </dxf>
    <dxf>
      <font>
        <b/>
        <sz val="12"/>
      </font>
      <fill>
        <patternFill>
          <bgColor rgb="FFFABF8F"/>
        </patternFill>
      </fill>
    </dxf>
    <dxf>
      <font>
        <b/>
        <sz val="12"/>
        <color rgb="FF974706"/>
      </font>
    </dxf>
    <dxf>
      <font>
        <strike/>
        <sz val="12"/>
      </font>
      <fill>
        <patternFill>
          <bgColor theme="0" tint="-0.499984740745262"/>
        </patternFill>
      </fill>
    </dxf>
    <dxf>
      <font>
        <b/>
        <i val="0"/>
        <sz val="12"/>
        <color rgb="FF00B050"/>
      </font>
    </dxf>
    <dxf>
      <font>
        <b/>
        <sz val="12"/>
      </font>
      <fill>
        <patternFill>
          <bgColor rgb="FF9ABA58"/>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color auto="1"/>
      </font>
      <fill>
        <patternFill patternType="none">
          <fgColor indexed="64"/>
          <bgColor auto="1"/>
        </patternFill>
      </fill>
      <border>
        <top style="thin">
          <color auto="1"/>
        </top>
      </border>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color theme="9" tint="-0.499984740745262"/>
      </font>
      <fill>
        <patternFill patternType="none">
          <bgColor auto="1"/>
        </patternFill>
      </fill>
    </dxf>
    <dxf>
      <font>
        <b/>
        <i val="0"/>
        <color auto="1"/>
      </font>
      <fill>
        <patternFill>
          <bgColor theme="9" tint="0.39994506668294322"/>
        </patternFill>
      </fill>
    </dxf>
    <dxf>
      <font>
        <strike/>
        <color auto="1"/>
      </font>
      <fill>
        <patternFill>
          <bgColor theme="0" tint="-0.499984740745262"/>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ont>
        <b/>
        <i val="0"/>
        <strike val="0"/>
        <color rgb="FF0070C0"/>
      </font>
      <fill>
        <patternFill patternType="none">
          <bgColor auto="1"/>
        </patternFill>
      </fill>
    </dxf>
    <dxf>
      <font>
        <b/>
        <i val="0"/>
        <color auto="1"/>
      </font>
      <fill>
        <patternFill>
          <bgColor theme="8" tint="0.39994506668294322"/>
        </patternFill>
      </fill>
    </dxf>
    <dxf>
      <font>
        <b/>
        <i val="0"/>
        <color rgb="FFFF0066"/>
      </font>
    </dxf>
    <dxf>
      <font>
        <b/>
        <i val="0"/>
      </font>
      <fill>
        <patternFill>
          <bgColor rgb="FFF595BE"/>
        </patternFill>
      </fill>
    </dxf>
    <dxf>
      <fill>
        <patternFill>
          <bgColor theme="2" tint="-0.24994659260841701"/>
        </patternFill>
      </fill>
    </dxf>
    <dxf>
      <fill>
        <patternFill>
          <bgColor theme="2" tint="-0.24994659260841701"/>
        </patternFill>
      </fill>
    </dxf>
  </dxfs>
  <tableStyles count="0" defaultTableStyle="TableStyleMedium9" defaultPivotStyle="PivotStyleLight16"/>
  <colors>
    <mruColors>
      <color rgb="FFF595BE"/>
      <color rgb="FFFF0066"/>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18"/>
  <sheetViews>
    <sheetView zoomScale="85" zoomScaleNormal="85" workbookViewId="0">
      <pane xSplit="2" ySplit="1" topLeftCell="G216" activePane="bottomRight" state="frozen"/>
      <selection pane="topRight" activeCell="C1" sqref="C1"/>
      <selection pane="bottomLeft" activeCell="A2" sqref="A2"/>
      <selection pane="bottomRight" activeCell="J47" sqref="J47"/>
    </sheetView>
  </sheetViews>
  <sheetFormatPr defaultColWidth="9.140625" defaultRowHeight="15" zeroHeight="1" x14ac:dyDescent="0.25"/>
  <cols>
    <col min="1" max="1" width="13.7109375" customWidth="1"/>
    <col min="2" max="2" width="30.28515625" customWidth="1"/>
    <col min="3" max="3" width="10.85546875" bestFit="1" customWidth="1"/>
    <col min="4" max="4" width="18" customWidth="1"/>
    <col min="5" max="5" width="37.85546875" customWidth="1"/>
    <col min="6" max="6" width="20" customWidth="1"/>
    <col min="7" max="7" width="37.85546875" customWidth="1"/>
    <col min="8" max="9" width="13.7109375" customWidth="1"/>
    <col min="10" max="10" width="61" customWidth="1"/>
    <col min="11" max="11" width="61.28515625" style="32" customWidth="1"/>
    <col min="12" max="12" width="12.42578125" bestFit="1" customWidth="1"/>
    <col min="13" max="13" width="16.7109375" customWidth="1"/>
    <col min="14" max="14" width="14.85546875" customWidth="1"/>
    <col min="15" max="15" width="20.28515625" bestFit="1" customWidth="1"/>
    <col min="16" max="16" width="12.140625" bestFit="1" customWidth="1"/>
    <col min="17" max="17" width="21.42578125" bestFit="1" customWidth="1"/>
    <col min="18" max="18" width="44.7109375" customWidth="1"/>
    <col min="19" max="19" width="59.7109375" bestFit="1" customWidth="1"/>
    <col min="20" max="20" width="11.28515625" bestFit="1" customWidth="1"/>
    <col min="21" max="21" width="11" bestFit="1" customWidth="1"/>
    <col min="22" max="22" width="15.140625" bestFit="1" customWidth="1"/>
    <col min="23" max="23" width="14.42578125" bestFit="1" customWidth="1"/>
    <col min="24" max="24" width="16" bestFit="1" customWidth="1"/>
    <col min="25" max="25" width="15.140625" bestFit="1" customWidth="1"/>
    <col min="26" max="26" width="15.42578125" bestFit="1" customWidth="1"/>
    <col min="27" max="27" width="11.140625" customWidth="1"/>
    <col min="28" max="28" width="10.140625" customWidth="1"/>
    <col min="29" max="29" width="13.140625" customWidth="1"/>
  </cols>
  <sheetData>
    <row r="1" spans="1:34" s="13" customFormat="1" ht="12.75" x14ac:dyDescent="0.2">
      <c r="A1" s="13" t="s">
        <v>0</v>
      </c>
      <c r="B1" s="14" t="s">
        <v>1</v>
      </c>
      <c r="C1" s="13" t="s">
        <v>102</v>
      </c>
      <c r="E1" s="15" t="s">
        <v>1329</v>
      </c>
      <c r="F1" s="13" t="s">
        <v>1330</v>
      </c>
      <c r="G1" s="15" t="s">
        <v>1326</v>
      </c>
      <c r="H1" s="13" t="s">
        <v>1327</v>
      </c>
      <c r="I1" s="16" t="s">
        <v>2</v>
      </c>
      <c r="J1" s="17" t="s">
        <v>3</v>
      </c>
      <c r="K1" s="16" t="s">
        <v>234</v>
      </c>
      <c r="L1" s="16" t="s">
        <v>233</v>
      </c>
      <c r="M1" s="16" t="s">
        <v>232</v>
      </c>
      <c r="N1" s="19" t="s">
        <v>5</v>
      </c>
      <c r="O1" s="13" t="s">
        <v>426</v>
      </c>
      <c r="P1" s="16" t="s">
        <v>4</v>
      </c>
      <c r="Q1" s="13" t="s">
        <v>427</v>
      </c>
      <c r="R1" s="20" t="s">
        <v>6</v>
      </c>
      <c r="S1" s="21" t="s">
        <v>7</v>
      </c>
      <c r="T1" s="13" t="s">
        <v>10</v>
      </c>
      <c r="U1" s="13" t="s">
        <v>152</v>
      </c>
      <c r="V1" s="13" t="s">
        <v>8</v>
      </c>
      <c r="W1" s="13" t="s">
        <v>9</v>
      </c>
      <c r="X1" s="13" t="s">
        <v>423</v>
      </c>
      <c r="Y1" s="13" t="s">
        <v>425</v>
      </c>
      <c r="Z1" s="13" t="s">
        <v>424</v>
      </c>
      <c r="AB1" s="22"/>
      <c r="AD1" s="23"/>
      <c r="AF1" s="18"/>
      <c r="AH1" s="24"/>
    </row>
    <row r="2" spans="1:34" s="11" customFormat="1" ht="12.75" hidden="1" x14ac:dyDescent="0.2">
      <c r="A2" s="11" t="s">
        <v>114</v>
      </c>
      <c r="B2" s="14" t="s">
        <v>115</v>
      </c>
      <c r="J2" s="17"/>
      <c r="K2" s="31"/>
      <c r="L2" s="16"/>
      <c r="M2" s="16"/>
      <c r="O2" s="12"/>
      <c r="T2" s="12"/>
      <c r="U2" s="13"/>
      <c r="W2" s="17"/>
    </row>
    <row r="3" spans="1:34" hidden="1" x14ac:dyDescent="0.25">
      <c r="A3" t="s">
        <v>116</v>
      </c>
      <c r="B3" t="s">
        <v>117</v>
      </c>
    </row>
    <row r="4" spans="1:34" hidden="1" x14ac:dyDescent="0.25">
      <c r="A4" t="s">
        <v>118</v>
      </c>
      <c r="B4" t="s">
        <v>118</v>
      </c>
    </row>
    <row r="5" spans="1:34" hidden="1" x14ac:dyDescent="0.25">
      <c r="A5" t="s">
        <v>119</v>
      </c>
      <c r="B5" t="s">
        <v>119</v>
      </c>
    </row>
    <row r="6" spans="1:34" hidden="1" x14ac:dyDescent="0.25">
      <c r="A6" t="s">
        <v>120</v>
      </c>
      <c r="B6" t="s">
        <v>121</v>
      </c>
    </row>
    <row r="7" spans="1:34" hidden="1" x14ac:dyDescent="0.25">
      <c r="A7" t="s">
        <v>122</v>
      </c>
      <c r="B7" t="s">
        <v>123</v>
      </c>
    </row>
    <row r="9" spans="1:34" ht="15.75" hidden="1" x14ac:dyDescent="0.25">
      <c r="A9" t="s">
        <v>113</v>
      </c>
      <c r="B9" t="s">
        <v>208</v>
      </c>
      <c r="E9" s="26"/>
      <c r="F9" s="26"/>
      <c r="G9" s="26"/>
      <c r="H9" s="26"/>
      <c r="I9" s="26"/>
      <c r="K9" s="33"/>
      <c r="L9" s="27"/>
      <c r="P9" s="28"/>
      <c r="R9" s="28"/>
      <c r="S9" t="s">
        <v>209</v>
      </c>
    </row>
    <row r="10" spans="1:34" hidden="1" x14ac:dyDescent="0.25">
      <c r="A10" t="s">
        <v>113</v>
      </c>
      <c r="B10" t="s">
        <v>124</v>
      </c>
      <c r="S10" t="s">
        <v>210</v>
      </c>
    </row>
    <row r="11" spans="1:34" hidden="1" x14ac:dyDescent="0.25">
      <c r="A11" t="s">
        <v>113</v>
      </c>
      <c r="B11" t="s">
        <v>125</v>
      </c>
      <c r="S11" t="s">
        <v>474</v>
      </c>
    </row>
    <row r="12" spans="1:34" hidden="1" x14ac:dyDescent="0.25">
      <c r="A12" t="s">
        <v>113</v>
      </c>
      <c r="B12" t="s">
        <v>126</v>
      </c>
      <c r="S12" t="s">
        <v>127</v>
      </c>
    </row>
    <row r="13" spans="1:34" hidden="1" x14ac:dyDescent="0.25">
      <c r="A13" t="s">
        <v>113</v>
      </c>
      <c r="B13" t="s">
        <v>15</v>
      </c>
      <c r="S13" t="str">
        <f>settings!$B$2</f>
        <v>AIO_Form_Demo_G3</v>
      </c>
    </row>
    <row r="14" spans="1:34" hidden="1" x14ac:dyDescent="0.25">
      <c r="A14" t="s">
        <v>113</v>
      </c>
      <c r="B14" t="s">
        <v>162</v>
      </c>
      <c r="S14" t="str">
        <f>"concat('"&amp;settings!I2&amp;"')"</f>
        <v>concat('AIO_Form_Demo')</v>
      </c>
    </row>
    <row r="15" spans="1:34" hidden="1" x14ac:dyDescent="0.25">
      <c r="A15" t="s">
        <v>113</v>
      </c>
      <c r="B15" t="s">
        <v>163</v>
      </c>
      <c r="S15" t="s">
        <v>165</v>
      </c>
    </row>
    <row r="16" spans="1:34" hidden="1" x14ac:dyDescent="0.25">
      <c r="A16" t="s">
        <v>113</v>
      </c>
      <c r="B16" t="s">
        <v>164</v>
      </c>
      <c r="S16" t="s">
        <v>166</v>
      </c>
    </row>
    <row r="18" spans="1:28" ht="15.75" hidden="1" x14ac:dyDescent="0.25">
      <c r="A18" s="37" t="s">
        <v>113</v>
      </c>
      <c r="B18" t="s">
        <v>428</v>
      </c>
      <c r="E18" t="s">
        <v>429</v>
      </c>
      <c r="G18" t="s">
        <v>429</v>
      </c>
      <c r="L18" s="27"/>
      <c r="N18" s="36"/>
      <c r="P18" s="36"/>
      <c r="S18" t="s">
        <v>430</v>
      </c>
      <c r="Z18" s="28"/>
    </row>
    <row r="19" spans="1:28" ht="15.75" hidden="1" x14ac:dyDescent="0.25">
      <c r="A19" s="37" t="s">
        <v>113</v>
      </c>
      <c r="B19" t="s">
        <v>431</v>
      </c>
      <c r="E19" t="s">
        <v>432</v>
      </c>
      <c r="G19" t="s">
        <v>432</v>
      </c>
      <c r="L19" s="27"/>
      <c r="N19" s="36"/>
      <c r="P19" s="36"/>
      <c r="S19" t="s">
        <v>433</v>
      </c>
      <c r="Z19" s="28"/>
    </row>
    <row r="20" spans="1:28" ht="15.75" hidden="1" x14ac:dyDescent="0.25">
      <c r="A20" s="37" t="s">
        <v>113</v>
      </c>
      <c r="B20" t="s">
        <v>1016</v>
      </c>
      <c r="E20" t="s">
        <v>434</v>
      </c>
      <c r="G20" t="s">
        <v>434</v>
      </c>
      <c r="L20" s="27"/>
      <c r="N20" s="36"/>
      <c r="P20" s="36"/>
      <c r="S20" t="s">
        <v>435</v>
      </c>
      <c r="Z20" s="28"/>
    </row>
    <row r="21" spans="1:28" hidden="1" x14ac:dyDescent="0.25">
      <c r="A21" t="s">
        <v>113</v>
      </c>
      <c r="B21" t="s">
        <v>1017</v>
      </c>
      <c r="E21" s="40" t="s">
        <v>1018</v>
      </c>
      <c r="G21" s="40" t="s">
        <v>1018</v>
      </c>
      <c r="S21" t="s">
        <v>1019</v>
      </c>
    </row>
    <row r="22" spans="1:28" ht="15.75" hidden="1" x14ac:dyDescent="0.25">
      <c r="A22" s="37" t="s">
        <v>113</v>
      </c>
      <c r="B22" t="s">
        <v>1020</v>
      </c>
      <c r="E22" t="s">
        <v>1021</v>
      </c>
      <c r="G22" t="s">
        <v>1021</v>
      </c>
      <c r="L22" s="27"/>
      <c r="N22" s="36"/>
      <c r="P22" s="36"/>
      <c r="S22" t="s">
        <v>1022</v>
      </c>
      <c r="Z22" s="28"/>
    </row>
    <row r="23" spans="1:28" ht="15.75" hidden="1" x14ac:dyDescent="0.25">
      <c r="A23" s="37" t="s">
        <v>113</v>
      </c>
      <c r="B23" t="s">
        <v>1023</v>
      </c>
      <c r="E23" t="s">
        <v>1024</v>
      </c>
      <c r="G23" t="s">
        <v>1024</v>
      </c>
      <c r="L23" s="27"/>
      <c r="N23" s="36"/>
      <c r="P23" s="36"/>
      <c r="S23" t="s">
        <v>1025</v>
      </c>
      <c r="Z23" s="28"/>
    </row>
    <row r="24" spans="1:28" ht="15.75" hidden="1" x14ac:dyDescent="0.25">
      <c r="A24" s="37" t="s">
        <v>113</v>
      </c>
      <c r="B24" s="37" t="s">
        <v>1026</v>
      </c>
      <c r="E24" t="s">
        <v>1027</v>
      </c>
      <c r="G24" t="s">
        <v>1027</v>
      </c>
      <c r="L24" s="27"/>
      <c r="N24" s="36"/>
      <c r="P24" s="36"/>
      <c r="S24" s="37" t="s">
        <v>1028</v>
      </c>
      <c r="U24" s="37"/>
      <c r="Z24" s="28"/>
    </row>
    <row r="25" spans="1:28" hidden="1" x14ac:dyDescent="0.25">
      <c r="A25" t="s">
        <v>113</v>
      </c>
      <c r="B25" t="s">
        <v>1029</v>
      </c>
      <c r="E25" t="s">
        <v>1030</v>
      </c>
      <c r="G25" t="s">
        <v>1030</v>
      </c>
      <c r="S25" t="s">
        <v>1031</v>
      </c>
    </row>
    <row r="26" spans="1:28" hidden="1" x14ac:dyDescent="0.25">
      <c r="A26" t="s">
        <v>113</v>
      </c>
      <c r="B26" t="s">
        <v>1032</v>
      </c>
      <c r="E26" t="s">
        <v>1033</v>
      </c>
      <c r="G26" t="s">
        <v>1033</v>
      </c>
      <c r="S26" t="s">
        <v>1034</v>
      </c>
    </row>
    <row r="27" spans="1:28" ht="15.75" hidden="1" x14ac:dyDescent="0.25">
      <c r="A27" s="37"/>
      <c r="I27" s="26"/>
      <c r="J27" s="36"/>
      <c r="L27" s="26"/>
      <c r="M27" s="36"/>
      <c r="N27" s="26"/>
      <c r="R27" s="27"/>
      <c r="T27" s="36"/>
      <c r="V27" s="36"/>
      <c r="AB27" s="36"/>
    </row>
    <row r="28" spans="1:28" hidden="1" x14ac:dyDescent="0.25">
      <c r="A28" t="s">
        <v>113</v>
      </c>
      <c r="B28" t="s">
        <v>370</v>
      </c>
      <c r="E28" t="s">
        <v>371</v>
      </c>
      <c r="G28" t="s">
        <v>371</v>
      </c>
      <c r="S28" t="s">
        <v>1035</v>
      </c>
      <c r="V28" s="35"/>
    </row>
    <row r="29" spans="1:28" hidden="1" x14ac:dyDescent="0.25">
      <c r="A29" t="s">
        <v>113</v>
      </c>
      <c r="B29" t="s">
        <v>372</v>
      </c>
      <c r="E29" t="s">
        <v>373</v>
      </c>
      <c r="G29" t="s">
        <v>373</v>
      </c>
      <c r="S29" t="s">
        <v>1036</v>
      </c>
      <c r="V29" s="35"/>
    </row>
    <row r="30" spans="1:28" hidden="1" x14ac:dyDescent="0.25">
      <c r="A30" t="s">
        <v>113</v>
      </c>
      <c r="B30" t="s">
        <v>374</v>
      </c>
      <c r="E30" t="s">
        <v>375</v>
      </c>
      <c r="G30" t="s">
        <v>375</v>
      </c>
      <c r="S30" t="s">
        <v>1037</v>
      </c>
      <c r="V30" s="35"/>
    </row>
    <row r="31" spans="1:28" hidden="1" x14ac:dyDescent="0.25">
      <c r="A31" t="s">
        <v>113</v>
      </c>
      <c r="B31" t="s">
        <v>376</v>
      </c>
      <c r="E31" t="s">
        <v>377</v>
      </c>
      <c r="G31" t="s">
        <v>377</v>
      </c>
      <c r="S31" t="s">
        <v>1035</v>
      </c>
      <c r="V31" s="35"/>
    </row>
    <row r="32" spans="1:28" hidden="1" x14ac:dyDescent="0.25">
      <c r="A32" t="s">
        <v>113</v>
      </c>
      <c r="B32" t="s">
        <v>378</v>
      </c>
      <c r="E32" t="s">
        <v>379</v>
      </c>
      <c r="F32" s="34"/>
      <c r="G32" t="s">
        <v>379</v>
      </c>
      <c r="H32" s="34"/>
      <c r="I32" s="34"/>
      <c r="S32" t="s">
        <v>1038</v>
      </c>
      <c r="V32" s="35"/>
    </row>
    <row r="33" spans="1:18" x14ac:dyDescent="0.25">
      <c r="A33" t="s">
        <v>38</v>
      </c>
      <c r="B33" t="s">
        <v>421</v>
      </c>
      <c r="E33" t="s">
        <v>422</v>
      </c>
      <c r="G33" t="s">
        <v>422</v>
      </c>
      <c r="J33" t="str">
        <f t="shared" ref="J33:J96" si="0">TRIM(CONCATENATE(K33," ",L33," ",M33))</f>
        <v>field-list</v>
      </c>
      <c r="K33" s="32" t="s">
        <v>40</v>
      </c>
      <c r="N33" s="15"/>
    </row>
    <row r="34" spans="1:18" ht="15.75" x14ac:dyDescent="0.25">
      <c r="A34" t="s">
        <v>190</v>
      </c>
      <c r="B34" t="s">
        <v>187</v>
      </c>
      <c r="E34" t="s">
        <v>1325</v>
      </c>
      <c r="F34" s="28"/>
      <c r="G34" t="s">
        <v>188</v>
      </c>
      <c r="H34" s="28"/>
      <c r="I34" s="36"/>
      <c r="J34" t="str">
        <f t="shared" si="0"/>
        <v/>
      </c>
    </row>
    <row r="35" spans="1:18" x14ac:dyDescent="0.25">
      <c r="A35" t="s">
        <v>39</v>
      </c>
      <c r="J35" t="str">
        <f t="shared" si="0"/>
        <v/>
      </c>
    </row>
    <row r="36" spans="1:18" x14ac:dyDescent="0.25">
      <c r="A36" t="s">
        <v>38</v>
      </c>
      <c r="B36" t="str">
        <f>CONCATENATE("bg_section_",C36)</f>
        <v>bg_section_b</v>
      </c>
      <c r="C36" t="s">
        <v>476</v>
      </c>
      <c r="D36" t="s">
        <v>441</v>
      </c>
      <c r="E36" t="str">
        <f t="shared" ref="E36:E38" si="1">CONCATENATE(PROPER(C36),". ",D36)</f>
        <v>B. SELECT_ONE appearance</v>
      </c>
      <c r="G36" t="str">
        <f>CONCATENATE(PROPER(C36),". ",D36)</f>
        <v>B. SELECT_ONE appearance</v>
      </c>
      <c r="J36" t="str">
        <f t="shared" si="0"/>
        <v>section</v>
      </c>
      <c r="K36" t="s">
        <v>43</v>
      </c>
      <c r="R36" t="s">
        <v>191</v>
      </c>
    </row>
    <row r="37" spans="1:18" x14ac:dyDescent="0.25">
      <c r="A37" t="s">
        <v>38</v>
      </c>
      <c r="B37" t="str">
        <f>CONCATENATE("bg_field_",C37)</f>
        <v>bg_field_b</v>
      </c>
      <c r="C37" t="s">
        <v>476</v>
      </c>
      <c r="D37" t="s">
        <v>441</v>
      </c>
      <c r="E37" t="str">
        <f t="shared" si="1"/>
        <v>B. SELECT_ONE appearance</v>
      </c>
      <c r="G37" t="str">
        <f>CONCATENATE(PROPER(C37),". ",D37)</f>
        <v>B. SELECT_ONE appearance</v>
      </c>
      <c r="J37" t="str">
        <f t="shared" si="0"/>
        <v>field-list</v>
      </c>
      <c r="K37" t="s">
        <v>40</v>
      </c>
    </row>
    <row r="38" spans="1:18" x14ac:dyDescent="0.25">
      <c r="A38" t="s">
        <v>37</v>
      </c>
      <c r="B38" t="str">
        <f>CONCATENATE(SUBSTITUTE(A38," ","_"),"_",C38)</f>
        <v>note_b</v>
      </c>
      <c r="C38" t="s">
        <v>476</v>
      </c>
      <c r="D38" t="s">
        <v>128</v>
      </c>
      <c r="E38" t="str">
        <f t="shared" si="1"/>
        <v>B. SELECT_ONE</v>
      </c>
      <c r="F38" t="s">
        <v>1000</v>
      </c>
      <c r="G38" t="str">
        <f>CONCATENATE(PROPER(C38),". ",D38)</f>
        <v>B. SELECT_ONE</v>
      </c>
      <c r="H38" t="s">
        <v>1000</v>
      </c>
      <c r="J38" t="str">
        <f t="shared" si="0"/>
        <v/>
      </c>
    </row>
    <row r="39" spans="1:18" x14ac:dyDescent="0.25">
      <c r="A39" t="s">
        <v>34</v>
      </c>
      <c r="B39" t="str">
        <f t="shared" ref="B39:B102" si="2">CONCATENATE(SUBSTITUTE(A39," ","_"),"_",C39)</f>
        <v>select_one_q1_b1</v>
      </c>
      <c r="C39" t="s">
        <v>477</v>
      </c>
      <c r="E39" t="str">
        <f>CONCATENATE(PROPER(C39),". ",J39)</f>
        <v>B1. label</v>
      </c>
      <c r="F39" t="str">
        <f>A39</f>
        <v>select_one q1</v>
      </c>
      <c r="G39" t="str">
        <f>CONCATENATE(PROPER(C39),". ",J39)</f>
        <v>B1. label</v>
      </c>
      <c r="H39" t="str">
        <f>A39</f>
        <v>select_one q1</v>
      </c>
      <c r="J39" t="str">
        <f t="shared" si="0"/>
        <v>label</v>
      </c>
      <c r="K39" s="32" t="s">
        <v>139</v>
      </c>
    </row>
    <row r="40" spans="1:18" x14ac:dyDescent="0.25">
      <c r="A40" t="s">
        <v>34</v>
      </c>
      <c r="B40" t="str">
        <f t="shared" si="2"/>
        <v>select_one_q1_b2</v>
      </c>
      <c r="C40" t="s">
        <v>478</v>
      </c>
      <c r="E40" t="str">
        <f t="shared" ref="E40:E103" si="3">CONCATENATE(PROPER(C40),". ",J40)</f>
        <v>B2. list-nolabel</v>
      </c>
      <c r="F40" t="str">
        <f t="shared" ref="F40:F103" si="4">A40</f>
        <v>select_one q1</v>
      </c>
      <c r="G40" t="str">
        <f t="shared" ref="G40:G103" si="5">CONCATENATE(PROPER(C40),". ",J40)</f>
        <v>B2. list-nolabel</v>
      </c>
      <c r="H40" t="str">
        <f t="shared" ref="H40:H103" si="6">A40</f>
        <v>select_one q1</v>
      </c>
      <c r="J40" t="str">
        <f t="shared" si="0"/>
        <v>list-nolabel</v>
      </c>
      <c r="K40" s="32" t="s">
        <v>79</v>
      </c>
    </row>
    <row r="41" spans="1:18" x14ac:dyDescent="0.25">
      <c r="A41" t="s">
        <v>34</v>
      </c>
      <c r="B41" t="str">
        <f t="shared" si="2"/>
        <v>select_one_q1_b3</v>
      </c>
      <c r="C41" t="s">
        <v>479</v>
      </c>
      <c r="E41" t="str">
        <f t="shared" si="3"/>
        <v>B3. star_rating</v>
      </c>
      <c r="F41" t="str">
        <f t="shared" si="4"/>
        <v>select_one q1</v>
      </c>
      <c r="G41" t="str">
        <f t="shared" si="5"/>
        <v>B3. star_rating</v>
      </c>
      <c r="H41" t="str">
        <f t="shared" si="6"/>
        <v>select_one q1</v>
      </c>
      <c r="J41" t="str">
        <f t="shared" si="0"/>
        <v>star_rating</v>
      </c>
      <c r="K41" s="32" t="s">
        <v>138</v>
      </c>
    </row>
    <row r="42" spans="1:18" x14ac:dyDescent="0.25">
      <c r="A42" t="s">
        <v>34</v>
      </c>
      <c r="B42" t="str">
        <f t="shared" si="2"/>
        <v>select_one_q1_b4</v>
      </c>
      <c r="C42" t="s">
        <v>480</v>
      </c>
      <c r="E42" t="str">
        <f t="shared" si="3"/>
        <v>B4. star_rating-009980-FFFF00</v>
      </c>
      <c r="F42" t="str">
        <f t="shared" si="4"/>
        <v>select_one q1</v>
      </c>
      <c r="G42" t="str">
        <f t="shared" si="5"/>
        <v>B4. star_rating-009980-FFFF00</v>
      </c>
      <c r="H42" t="str">
        <f t="shared" si="6"/>
        <v>select_one q1</v>
      </c>
      <c r="J42" t="str">
        <f t="shared" si="0"/>
        <v>star_rating-009980-FFFF00</v>
      </c>
      <c r="K42" s="32" t="s">
        <v>235</v>
      </c>
    </row>
    <row r="43" spans="1:18" x14ac:dyDescent="0.25">
      <c r="A43" t="s">
        <v>34</v>
      </c>
      <c r="B43" t="str">
        <f t="shared" si="2"/>
        <v>select_one_q1_b5</v>
      </c>
      <c r="C43" t="s">
        <v>481</v>
      </c>
      <c r="E43" t="str">
        <f t="shared" si="3"/>
        <v>B5. star_rating-009980-FFFF00-24pt</v>
      </c>
      <c r="F43" t="str">
        <f t="shared" si="4"/>
        <v>select_one q1</v>
      </c>
      <c r="G43" t="str">
        <f t="shared" si="5"/>
        <v>B5. star_rating-009980-FFFF00-24pt</v>
      </c>
      <c r="H43" t="str">
        <f t="shared" si="6"/>
        <v>select_one q1</v>
      </c>
      <c r="J43" t="str">
        <f t="shared" si="0"/>
        <v>star_rating-009980-FFFF00-24pt</v>
      </c>
      <c r="K43" s="32" t="s">
        <v>237</v>
      </c>
    </row>
    <row r="44" spans="1:18" x14ac:dyDescent="0.25">
      <c r="A44" t="s">
        <v>34</v>
      </c>
      <c r="B44" t="str">
        <f t="shared" si="2"/>
        <v>select_one_q1_b6</v>
      </c>
      <c r="C44" t="s">
        <v>482</v>
      </c>
      <c r="E44" t="str">
        <f t="shared" si="3"/>
        <v>B6. star_rating-showlabel(1,3,5)</v>
      </c>
      <c r="F44" t="str">
        <f t="shared" si="4"/>
        <v>select_one q1</v>
      </c>
      <c r="G44" t="str">
        <f t="shared" si="5"/>
        <v>B6. star_rating-showlabel(1,3,5)</v>
      </c>
      <c r="H44" t="str">
        <f t="shared" si="6"/>
        <v>select_one q1</v>
      </c>
      <c r="J44" t="str">
        <f t="shared" si="0"/>
        <v>star_rating-showlabel(1,3,5)</v>
      </c>
      <c r="K44" s="32" t="s">
        <v>1398</v>
      </c>
    </row>
    <row r="45" spans="1:18" x14ac:dyDescent="0.25">
      <c r="A45" t="s">
        <v>34</v>
      </c>
      <c r="B45" t="str">
        <f t="shared" si="2"/>
        <v>select_one_q1_b7</v>
      </c>
      <c r="C45" t="s">
        <v>483</v>
      </c>
      <c r="E45" t="str">
        <f t="shared" si="3"/>
        <v>B7. star_rating-showlabel(1,3,5)-009980-FFFF00</v>
      </c>
      <c r="F45" t="str">
        <f t="shared" si="4"/>
        <v>select_one q1</v>
      </c>
      <c r="G45" t="str">
        <f t="shared" si="5"/>
        <v>B7. star_rating-showlabel(1,3,5)-009980-FFFF00</v>
      </c>
      <c r="H45" t="str">
        <f t="shared" si="6"/>
        <v>select_one q1</v>
      </c>
      <c r="J45" t="str">
        <f t="shared" si="0"/>
        <v>star_rating-showlabel(1,3,5)-009980-FFFF00</v>
      </c>
      <c r="K45" s="32" t="s">
        <v>236</v>
      </c>
    </row>
    <row r="46" spans="1:18" x14ac:dyDescent="0.25">
      <c r="A46" t="s">
        <v>34</v>
      </c>
      <c r="B46" t="str">
        <f t="shared" si="2"/>
        <v>select_one_q1_b8</v>
      </c>
      <c r="C46" t="s">
        <v>484</v>
      </c>
      <c r="E46" t="str">
        <f t="shared" si="3"/>
        <v>B8. star_rating-showlabel(1,3,5)-009980-FFFF00-32pt</v>
      </c>
      <c r="F46" t="str">
        <f t="shared" si="4"/>
        <v>select_one q1</v>
      </c>
      <c r="G46" t="str">
        <f t="shared" si="5"/>
        <v>B8. star_rating-showlabel(1,3,5)-009980-FFFF00-32pt</v>
      </c>
      <c r="H46" t="str">
        <f t="shared" si="6"/>
        <v>select_one q1</v>
      </c>
      <c r="J46" t="str">
        <f t="shared" si="0"/>
        <v>star_rating-showlabel(1,3,5)-009980-FFFF00-32pt</v>
      </c>
      <c r="K46" s="32" t="s">
        <v>238</v>
      </c>
    </row>
    <row r="47" spans="1:18" x14ac:dyDescent="0.25">
      <c r="A47" t="s">
        <v>34</v>
      </c>
      <c r="B47" t="str">
        <f t="shared" si="2"/>
        <v>select_one_q1_b9</v>
      </c>
      <c r="C47" t="s">
        <v>485</v>
      </c>
      <c r="E47" t="str">
        <f t="shared" si="3"/>
        <v>B9. #FFCB00-32pt-star_rating</v>
      </c>
      <c r="F47" t="str">
        <f t="shared" si="4"/>
        <v>select_one q1</v>
      </c>
      <c r="G47" t="str">
        <f t="shared" si="5"/>
        <v>B9. #FFCB00-32pt-star_rating</v>
      </c>
      <c r="H47" t="str">
        <f t="shared" si="6"/>
        <v>select_one q1</v>
      </c>
      <c r="J47" t="str">
        <f t="shared" si="0"/>
        <v>#FFCB00-32pt-star_rating</v>
      </c>
      <c r="K47" s="32" t="s">
        <v>240</v>
      </c>
    </row>
    <row r="48" spans="1:18" x14ac:dyDescent="0.25">
      <c r="A48" t="s">
        <v>34</v>
      </c>
      <c r="B48" t="str">
        <f t="shared" si="2"/>
        <v>select_one_q1_b10</v>
      </c>
      <c r="C48" t="s">
        <v>486</v>
      </c>
      <c r="E48" t="str">
        <f t="shared" si="3"/>
        <v>B10. #FFCB00-32pt-star_rating-showlabel(1,2,3,4,5)</v>
      </c>
      <c r="F48" t="str">
        <f t="shared" si="4"/>
        <v>select_one q1</v>
      </c>
      <c r="G48" t="str">
        <f t="shared" si="5"/>
        <v>B10. #FFCB00-32pt-star_rating-showlabel(1,2,3,4,5)</v>
      </c>
      <c r="H48" t="str">
        <f t="shared" si="6"/>
        <v>select_one q1</v>
      </c>
      <c r="J48" t="str">
        <f t="shared" si="0"/>
        <v>#FFCB00-32pt-star_rating-showlabel(1,2,3,4,5)</v>
      </c>
      <c r="K48" s="32" t="s">
        <v>239</v>
      </c>
    </row>
    <row r="49" spans="1:12" x14ac:dyDescent="0.25">
      <c r="A49" t="s">
        <v>34</v>
      </c>
      <c r="B49" t="str">
        <f t="shared" si="2"/>
        <v>select_one_q1_b11</v>
      </c>
      <c r="C49" t="s">
        <v>487</v>
      </c>
      <c r="E49" t="str">
        <f t="shared" si="3"/>
        <v>B11. quick</v>
      </c>
      <c r="F49" t="str">
        <f t="shared" si="4"/>
        <v>select_one q1</v>
      </c>
      <c r="G49" t="str">
        <f t="shared" si="5"/>
        <v>B11. quick</v>
      </c>
      <c r="H49" t="str">
        <f t="shared" si="6"/>
        <v>select_one q1</v>
      </c>
      <c r="J49" t="str">
        <f t="shared" si="0"/>
        <v>quick</v>
      </c>
      <c r="K49" s="32" t="s">
        <v>131</v>
      </c>
    </row>
    <row r="50" spans="1:12" x14ac:dyDescent="0.25">
      <c r="A50" t="s">
        <v>34</v>
      </c>
      <c r="B50" t="str">
        <f t="shared" si="2"/>
        <v>select_one_q1_b12</v>
      </c>
      <c r="C50" t="s">
        <v>488</v>
      </c>
      <c r="E50" t="str">
        <f t="shared" si="3"/>
        <v>B12. quick compact</v>
      </c>
      <c r="F50" t="str">
        <f t="shared" si="4"/>
        <v>select_one q1</v>
      </c>
      <c r="G50" t="str">
        <f t="shared" si="5"/>
        <v>B12. quick compact</v>
      </c>
      <c r="H50" t="str">
        <f t="shared" si="6"/>
        <v>select_one q1</v>
      </c>
      <c r="J50" t="str">
        <f t="shared" si="0"/>
        <v>quick compact</v>
      </c>
      <c r="K50" s="32" t="s">
        <v>132</v>
      </c>
    </row>
    <row r="51" spans="1:12" x14ac:dyDescent="0.25">
      <c r="A51" t="s">
        <v>34</v>
      </c>
      <c r="B51" t="str">
        <f t="shared" si="2"/>
        <v>select_one_q1_b13</v>
      </c>
      <c r="C51" t="s">
        <v>489</v>
      </c>
      <c r="E51" t="str">
        <f t="shared" si="3"/>
        <v>B13. quick compact-3</v>
      </c>
      <c r="F51" t="str">
        <f t="shared" si="4"/>
        <v>select_one q1</v>
      </c>
      <c r="G51" t="str">
        <f t="shared" si="5"/>
        <v>B13. quick compact-3</v>
      </c>
      <c r="H51" t="str">
        <f t="shared" si="6"/>
        <v>select_one q1</v>
      </c>
      <c r="J51" t="str">
        <f t="shared" si="0"/>
        <v>quick compact-3</v>
      </c>
      <c r="K51" s="32" t="s">
        <v>133</v>
      </c>
    </row>
    <row r="52" spans="1:12" x14ac:dyDescent="0.25">
      <c r="A52" t="s">
        <v>34</v>
      </c>
      <c r="B52" t="str">
        <f t="shared" si="2"/>
        <v>select_one_q1_b14</v>
      </c>
      <c r="C52" t="s">
        <v>490</v>
      </c>
      <c r="E52" t="str">
        <f t="shared" si="3"/>
        <v>B14. minimal</v>
      </c>
      <c r="F52" t="str">
        <f t="shared" si="4"/>
        <v>select_one q1</v>
      </c>
      <c r="G52" t="str">
        <f t="shared" si="5"/>
        <v>B14. minimal</v>
      </c>
      <c r="H52" t="str">
        <f t="shared" si="6"/>
        <v>select_one q1</v>
      </c>
      <c r="J52" t="str">
        <f t="shared" si="0"/>
        <v>minimal</v>
      </c>
      <c r="K52" s="32" t="s">
        <v>129</v>
      </c>
    </row>
    <row r="53" spans="1:12" x14ac:dyDescent="0.25">
      <c r="A53" t="s">
        <v>34</v>
      </c>
      <c r="B53" t="str">
        <f t="shared" si="2"/>
        <v>select_one_q1_b15</v>
      </c>
      <c r="C53" t="s">
        <v>491</v>
      </c>
      <c r="E53" t="str">
        <f t="shared" si="3"/>
        <v>B15. minimal &lt;#0099FF/&gt;</v>
      </c>
      <c r="F53" t="str">
        <f t="shared" si="4"/>
        <v>select_one q1</v>
      </c>
      <c r="G53" t="str">
        <f t="shared" si="5"/>
        <v>B15. minimal &lt;#0099FF/&gt;</v>
      </c>
      <c r="H53" t="str">
        <f t="shared" si="6"/>
        <v>select_one q1</v>
      </c>
      <c r="J53" t="str">
        <f t="shared" si="0"/>
        <v>minimal &lt;#0099FF/&gt;</v>
      </c>
      <c r="K53" s="32" t="s">
        <v>129</v>
      </c>
      <c r="L53" t="s">
        <v>1083</v>
      </c>
    </row>
    <row r="54" spans="1:12" x14ac:dyDescent="0.25">
      <c r="A54" t="s">
        <v>34</v>
      </c>
      <c r="B54" t="str">
        <f t="shared" si="2"/>
        <v>select_one_q1_b16</v>
      </c>
      <c r="C54" t="s">
        <v>492</v>
      </c>
      <c r="E54" t="str">
        <f t="shared" si="3"/>
        <v>B16. minimal-f6f6f6-0099FF-737373-ffffff</v>
      </c>
      <c r="F54" t="str">
        <f t="shared" si="4"/>
        <v>select_one q1</v>
      </c>
      <c r="G54" t="str">
        <f t="shared" si="5"/>
        <v>B16. minimal-f6f6f6-0099FF-737373-ffffff</v>
      </c>
      <c r="H54" t="str">
        <f t="shared" si="6"/>
        <v>select_one q1</v>
      </c>
      <c r="J54" t="str">
        <f t="shared" si="0"/>
        <v>minimal-f6f6f6-0099FF-737373-ffffff</v>
      </c>
      <c r="K54" s="32" t="s">
        <v>450</v>
      </c>
    </row>
    <row r="55" spans="1:12" x14ac:dyDescent="0.25">
      <c r="A55" t="s">
        <v>34</v>
      </c>
      <c r="B55" t="str">
        <f t="shared" si="2"/>
        <v>select_one_q1_b17</v>
      </c>
      <c r="C55" t="s">
        <v>493</v>
      </c>
      <c r="E55" t="str">
        <f t="shared" si="3"/>
        <v>B17. compact</v>
      </c>
      <c r="F55" t="str">
        <f t="shared" si="4"/>
        <v>select_one q1</v>
      </c>
      <c r="G55" t="str">
        <f t="shared" si="5"/>
        <v>B17. compact</v>
      </c>
      <c r="H55" t="str">
        <f t="shared" si="6"/>
        <v>select_one q1</v>
      </c>
      <c r="J55" t="str">
        <f t="shared" si="0"/>
        <v>compact</v>
      </c>
      <c r="K55" s="32" t="s">
        <v>130</v>
      </c>
    </row>
    <row r="56" spans="1:12" x14ac:dyDescent="0.25">
      <c r="A56" t="s">
        <v>34</v>
      </c>
      <c r="B56" t="str">
        <f t="shared" si="2"/>
        <v>select_one_q1_b18</v>
      </c>
      <c r="C56" t="s">
        <v>494</v>
      </c>
      <c r="E56" t="str">
        <f t="shared" si="3"/>
        <v>B18. compact-5</v>
      </c>
      <c r="F56" t="str">
        <f t="shared" si="4"/>
        <v>select_one q1</v>
      </c>
      <c r="G56" t="str">
        <f t="shared" si="5"/>
        <v>B18. compact-5</v>
      </c>
      <c r="H56" t="str">
        <f t="shared" si="6"/>
        <v>select_one q1</v>
      </c>
      <c r="J56" t="str">
        <f t="shared" si="0"/>
        <v>compact-5</v>
      </c>
      <c r="K56" s="32" t="s">
        <v>186</v>
      </c>
    </row>
    <row r="57" spans="1:12" x14ac:dyDescent="0.25">
      <c r="A57" t="s">
        <v>34</v>
      </c>
      <c r="B57" t="str">
        <f t="shared" si="2"/>
        <v>select_one_q1_b19</v>
      </c>
      <c r="C57" t="s">
        <v>495</v>
      </c>
      <c r="E57" t="str">
        <f t="shared" si="3"/>
        <v>B19. rating_box</v>
      </c>
      <c r="F57" t="str">
        <f t="shared" si="4"/>
        <v>select_one q1</v>
      </c>
      <c r="G57" t="str">
        <f t="shared" si="5"/>
        <v>B19. rating_box</v>
      </c>
      <c r="H57" t="str">
        <f t="shared" si="6"/>
        <v>select_one q1</v>
      </c>
      <c r="J57" t="str">
        <f t="shared" si="0"/>
        <v>rating_box</v>
      </c>
      <c r="K57" s="32" t="s">
        <v>134</v>
      </c>
    </row>
    <row r="58" spans="1:12" x14ac:dyDescent="0.25">
      <c r="A58" t="s">
        <v>34</v>
      </c>
      <c r="B58" t="str">
        <f t="shared" si="2"/>
        <v>select_one_q1_b20</v>
      </c>
      <c r="C58" t="s">
        <v>496</v>
      </c>
      <c r="E58" t="str">
        <f t="shared" si="3"/>
        <v>B20. rating_box-fill</v>
      </c>
      <c r="F58" t="str">
        <f t="shared" si="4"/>
        <v>select_one q1</v>
      </c>
      <c r="G58" t="str">
        <f t="shared" si="5"/>
        <v>B20. rating_box-fill</v>
      </c>
      <c r="H58" t="str">
        <f t="shared" si="6"/>
        <v>select_one q1</v>
      </c>
      <c r="J58" t="str">
        <f t="shared" si="0"/>
        <v>rating_box-fill</v>
      </c>
      <c r="K58" s="32" t="s">
        <v>136</v>
      </c>
    </row>
    <row r="59" spans="1:12" x14ac:dyDescent="0.25">
      <c r="A59" t="s">
        <v>34</v>
      </c>
      <c r="B59" t="str">
        <f t="shared" si="2"/>
        <v>select_one_q1_b21</v>
      </c>
      <c r="C59" t="s">
        <v>497</v>
      </c>
      <c r="E59" t="str">
        <f t="shared" si="3"/>
        <v>B21. D4E4FD-3D84EF-rating_box</v>
      </c>
      <c r="F59" t="str">
        <f t="shared" si="4"/>
        <v>select_one q1</v>
      </c>
      <c r="G59" t="str">
        <f t="shared" si="5"/>
        <v>B21. D4E4FD-3D84EF-rating_box</v>
      </c>
      <c r="H59" t="str">
        <f t="shared" si="6"/>
        <v>select_one q1</v>
      </c>
      <c r="J59" t="str">
        <f t="shared" si="0"/>
        <v>D4E4FD-3D84EF-rating_box</v>
      </c>
      <c r="K59" s="32" t="s">
        <v>135</v>
      </c>
    </row>
    <row r="60" spans="1:12" x14ac:dyDescent="0.25">
      <c r="A60" t="s">
        <v>34</v>
      </c>
      <c r="B60" t="str">
        <f t="shared" si="2"/>
        <v>select_one_q1_b22</v>
      </c>
      <c r="C60" t="s">
        <v>498</v>
      </c>
      <c r="E60" t="str">
        <f t="shared" si="3"/>
        <v>B22. D4E4FD-3D84EF-rating_box-fill</v>
      </c>
      <c r="F60" t="str">
        <f t="shared" si="4"/>
        <v>select_one q1</v>
      </c>
      <c r="G60" t="str">
        <f t="shared" si="5"/>
        <v>B22. D4E4FD-3D84EF-rating_box-fill</v>
      </c>
      <c r="H60" t="str">
        <f t="shared" si="6"/>
        <v>select_one q1</v>
      </c>
      <c r="J60" t="str">
        <f t="shared" si="0"/>
        <v>D4E4FD-3D84EF-rating_box-fill</v>
      </c>
      <c r="K60" s="32" t="s">
        <v>137</v>
      </c>
    </row>
    <row r="61" spans="1:12" x14ac:dyDescent="0.25">
      <c r="A61" t="s">
        <v>34</v>
      </c>
      <c r="B61" t="str">
        <f t="shared" si="2"/>
        <v>select_one_q1_b23</v>
      </c>
      <c r="C61" t="s">
        <v>499</v>
      </c>
      <c r="E61" t="str">
        <f t="shared" si="3"/>
        <v>B23. rating_box-f6f6f6-0099FF-737373-EB4889</v>
      </c>
      <c r="F61" t="str">
        <f t="shared" si="4"/>
        <v>select_one q1</v>
      </c>
      <c r="G61" t="str">
        <f t="shared" si="5"/>
        <v>B23. rating_box-f6f6f6-0099FF-737373-EB4889</v>
      </c>
      <c r="H61" t="str">
        <f t="shared" si="6"/>
        <v>select_one q1</v>
      </c>
      <c r="J61" t="str">
        <f t="shared" si="0"/>
        <v>rating_box-f6f6f6-0099FF-737373-EB4889</v>
      </c>
      <c r="K61" s="32" t="s">
        <v>451</v>
      </c>
    </row>
    <row r="62" spans="1:12" x14ac:dyDescent="0.25">
      <c r="A62" t="s">
        <v>34</v>
      </c>
      <c r="B62" t="str">
        <f t="shared" si="2"/>
        <v>select_one_q1_b24</v>
      </c>
      <c r="C62" t="s">
        <v>500</v>
      </c>
      <c r="E62" t="str">
        <f t="shared" si="3"/>
        <v>B24. rating_box-fill-f6f6f6-0099FF-737373-ffffff</v>
      </c>
      <c r="F62" t="str">
        <f t="shared" si="4"/>
        <v>select_one q1</v>
      </c>
      <c r="G62" t="str">
        <f t="shared" si="5"/>
        <v>B24. rating_box-fill-f6f6f6-0099FF-737373-ffffff</v>
      </c>
      <c r="H62" t="str">
        <f t="shared" si="6"/>
        <v>select_one q1</v>
      </c>
      <c r="J62" t="str">
        <f t="shared" si="0"/>
        <v>rating_box-fill-f6f6f6-0099FF-737373-ffffff</v>
      </c>
      <c r="K62" s="32" t="s">
        <v>452</v>
      </c>
    </row>
    <row r="63" spans="1:12" x14ac:dyDescent="0.25">
      <c r="A63" t="s">
        <v>34</v>
      </c>
      <c r="B63" t="str">
        <f t="shared" si="2"/>
        <v>select_one_q1_b25</v>
      </c>
      <c r="C63" t="s">
        <v>501</v>
      </c>
      <c r="E63" t="str">
        <f t="shared" si="3"/>
        <v>B25. boxtag</v>
      </c>
      <c r="F63" t="str">
        <f t="shared" si="4"/>
        <v>select_one q1</v>
      </c>
      <c r="G63" t="str">
        <f t="shared" si="5"/>
        <v>B25. boxtag</v>
      </c>
      <c r="H63" t="str">
        <f t="shared" si="6"/>
        <v>select_one q1</v>
      </c>
      <c r="J63" t="str">
        <f t="shared" si="0"/>
        <v>boxtag</v>
      </c>
      <c r="K63" s="32" t="s">
        <v>386</v>
      </c>
    </row>
    <row r="64" spans="1:12" x14ac:dyDescent="0.25">
      <c r="A64" t="s">
        <v>34</v>
      </c>
      <c r="B64" t="str">
        <f t="shared" si="2"/>
        <v>select_one_q1_b26</v>
      </c>
      <c r="C64" t="s">
        <v>502</v>
      </c>
      <c r="E64" t="str">
        <f t="shared" si="3"/>
        <v>B26. boxtag-fill</v>
      </c>
      <c r="F64" t="str">
        <f t="shared" si="4"/>
        <v>select_one q1</v>
      </c>
      <c r="G64" t="str">
        <f t="shared" si="5"/>
        <v>B26. boxtag-fill</v>
      </c>
      <c r="H64" t="str">
        <f t="shared" si="6"/>
        <v>select_one q1</v>
      </c>
      <c r="J64" t="str">
        <f t="shared" si="0"/>
        <v>boxtag-fill</v>
      </c>
      <c r="K64" s="32" t="s">
        <v>387</v>
      </c>
    </row>
    <row r="65" spans="1:11" x14ac:dyDescent="0.25">
      <c r="A65" t="s">
        <v>34</v>
      </c>
      <c r="B65" t="str">
        <f t="shared" si="2"/>
        <v>select_one_q1_b27</v>
      </c>
      <c r="C65" t="s">
        <v>503</v>
      </c>
      <c r="E65" t="str">
        <f t="shared" si="3"/>
        <v>B27. 9B5CF4-D4E4FD-3D84EF-boxtag</v>
      </c>
      <c r="F65" t="str">
        <f t="shared" si="4"/>
        <v>select_one q1</v>
      </c>
      <c r="G65" t="str">
        <f t="shared" si="5"/>
        <v>B27. 9B5CF4-D4E4FD-3D84EF-boxtag</v>
      </c>
      <c r="H65" t="str">
        <f t="shared" si="6"/>
        <v>select_one q1</v>
      </c>
      <c r="J65" t="str">
        <f t="shared" si="0"/>
        <v>9B5CF4-D4E4FD-3D84EF-boxtag</v>
      </c>
      <c r="K65" s="32" t="s">
        <v>173</v>
      </c>
    </row>
    <row r="66" spans="1:11" x14ac:dyDescent="0.25">
      <c r="A66" t="s">
        <v>34</v>
      </c>
      <c r="B66" t="str">
        <f t="shared" si="2"/>
        <v>select_one_q1_b28</v>
      </c>
      <c r="C66" t="s">
        <v>504</v>
      </c>
      <c r="E66" t="str">
        <f t="shared" si="3"/>
        <v>B28. 9B5CF4-D4E4FD-3D84EF-boxtag-fill</v>
      </c>
      <c r="F66" t="str">
        <f t="shared" si="4"/>
        <v>select_one q1</v>
      </c>
      <c r="G66" t="str">
        <f t="shared" si="5"/>
        <v>B28. 9B5CF4-D4E4FD-3D84EF-boxtag-fill</v>
      </c>
      <c r="H66" t="str">
        <f t="shared" si="6"/>
        <v>select_one q1</v>
      </c>
      <c r="J66" t="str">
        <f t="shared" si="0"/>
        <v>9B5CF4-D4E4FD-3D84EF-boxtag-fill</v>
      </c>
      <c r="K66" s="32" t="s">
        <v>175</v>
      </c>
    </row>
    <row r="67" spans="1:11" x14ac:dyDescent="0.25">
      <c r="A67" t="s">
        <v>34</v>
      </c>
      <c r="B67" t="str">
        <f t="shared" si="2"/>
        <v>select_one_q1_b29</v>
      </c>
      <c r="C67" t="s">
        <v>505</v>
      </c>
      <c r="E67" t="str">
        <f t="shared" si="3"/>
        <v>B29. boxtag-F6CEEC-f6f6f6-0099FF-737373-EB4889</v>
      </c>
      <c r="F67" t="str">
        <f t="shared" si="4"/>
        <v>select_one q1</v>
      </c>
      <c r="G67" t="str">
        <f t="shared" si="5"/>
        <v>B29. boxtag-F6CEEC-f6f6f6-0099FF-737373-EB4889</v>
      </c>
      <c r="H67" t="str">
        <f t="shared" si="6"/>
        <v>select_one q1</v>
      </c>
      <c r="J67" t="str">
        <f t="shared" si="0"/>
        <v>boxtag-F6CEEC-f6f6f6-0099FF-737373-EB4889</v>
      </c>
      <c r="K67" s="32" t="s">
        <v>453</v>
      </c>
    </row>
    <row r="68" spans="1:11" x14ac:dyDescent="0.25">
      <c r="A68" t="s">
        <v>34</v>
      </c>
      <c r="B68" t="str">
        <f t="shared" si="2"/>
        <v>select_one_q1_b30</v>
      </c>
      <c r="C68" t="s">
        <v>506</v>
      </c>
      <c r="E68" t="str">
        <f t="shared" si="3"/>
        <v>B30. boxtag-fill-F6CEEC-f6f6f6-0099FF-737373-ffffff</v>
      </c>
      <c r="F68" t="str">
        <f t="shared" si="4"/>
        <v>select_one q1</v>
      </c>
      <c r="G68" t="str">
        <f t="shared" si="5"/>
        <v>B30. boxtag-fill-F6CEEC-f6f6f6-0099FF-737373-ffffff</v>
      </c>
      <c r="H68" t="str">
        <f t="shared" si="6"/>
        <v>select_one q1</v>
      </c>
      <c r="J68" t="str">
        <f t="shared" si="0"/>
        <v>boxtag-fill-F6CEEC-f6f6f6-0099FF-737373-ffffff</v>
      </c>
      <c r="K68" s="32" t="s">
        <v>454</v>
      </c>
    </row>
    <row r="69" spans="1:11" x14ac:dyDescent="0.25">
      <c r="A69" t="s">
        <v>34</v>
      </c>
      <c r="B69" t="str">
        <f t="shared" si="2"/>
        <v>select_one_q1_b31</v>
      </c>
      <c r="C69" t="s">
        <v>507</v>
      </c>
      <c r="E69" t="str">
        <f t="shared" si="3"/>
        <v>B31. boxtag-search</v>
      </c>
      <c r="F69" t="str">
        <f t="shared" si="4"/>
        <v>select_one q1</v>
      </c>
      <c r="G69" t="str">
        <f t="shared" si="5"/>
        <v>B31. boxtag-search</v>
      </c>
      <c r="H69" t="str">
        <f t="shared" si="6"/>
        <v>select_one q1</v>
      </c>
      <c r="J69" t="str">
        <f t="shared" si="0"/>
        <v>boxtag-search</v>
      </c>
      <c r="K69" s="32" t="s">
        <v>388</v>
      </c>
    </row>
    <row r="70" spans="1:11" x14ac:dyDescent="0.25">
      <c r="A70" t="s">
        <v>34</v>
      </c>
      <c r="B70" t="str">
        <f t="shared" si="2"/>
        <v>select_one_q1_b32</v>
      </c>
      <c r="C70" t="s">
        <v>508</v>
      </c>
      <c r="E70" t="str">
        <f t="shared" si="3"/>
        <v>B32. boxtag-search-fill</v>
      </c>
      <c r="F70" t="str">
        <f t="shared" si="4"/>
        <v>select_one q1</v>
      </c>
      <c r="G70" t="str">
        <f t="shared" si="5"/>
        <v>B32. boxtag-search-fill</v>
      </c>
      <c r="H70" t="str">
        <f t="shared" si="6"/>
        <v>select_one q1</v>
      </c>
      <c r="J70" t="str">
        <f t="shared" si="0"/>
        <v>boxtag-search-fill</v>
      </c>
      <c r="K70" s="32" t="s">
        <v>389</v>
      </c>
    </row>
    <row r="71" spans="1:11" x14ac:dyDescent="0.25">
      <c r="A71" t="s">
        <v>34</v>
      </c>
      <c r="B71" t="str">
        <f t="shared" si="2"/>
        <v>select_one_q1_b33</v>
      </c>
      <c r="C71" t="s">
        <v>509</v>
      </c>
      <c r="E71" t="str">
        <f t="shared" si="3"/>
        <v>B33. 9B5CF4-D4E4FD-3D84EF-boxtag-search</v>
      </c>
      <c r="F71" t="str">
        <f t="shared" si="4"/>
        <v>select_one q1</v>
      </c>
      <c r="G71" t="str">
        <f t="shared" si="5"/>
        <v>B33. 9B5CF4-D4E4FD-3D84EF-boxtag-search</v>
      </c>
      <c r="H71" t="str">
        <f t="shared" si="6"/>
        <v>select_one q1</v>
      </c>
      <c r="J71" t="str">
        <f t="shared" si="0"/>
        <v>9B5CF4-D4E4FD-3D84EF-boxtag-search</v>
      </c>
      <c r="K71" s="32" t="s">
        <v>174</v>
      </c>
    </row>
    <row r="72" spans="1:11" x14ac:dyDescent="0.25">
      <c r="A72" t="s">
        <v>34</v>
      </c>
      <c r="B72" t="str">
        <f t="shared" si="2"/>
        <v>select_one_q1_b34</v>
      </c>
      <c r="C72" t="s">
        <v>510</v>
      </c>
      <c r="E72" t="str">
        <f t="shared" si="3"/>
        <v>B34. 9B5CF4-D4E4FD-3D84EF-boxtag-search-fill</v>
      </c>
      <c r="F72" t="str">
        <f t="shared" si="4"/>
        <v>select_one q1</v>
      </c>
      <c r="G72" t="str">
        <f t="shared" si="5"/>
        <v>B34. 9B5CF4-D4E4FD-3D84EF-boxtag-search-fill</v>
      </c>
      <c r="H72" t="str">
        <f t="shared" si="6"/>
        <v>select_one q1</v>
      </c>
      <c r="J72" t="str">
        <f t="shared" si="0"/>
        <v>9B5CF4-D4E4FD-3D84EF-boxtag-search-fill</v>
      </c>
      <c r="K72" s="32" t="s">
        <v>176</v>
      </c>
    </row>
    <row r="73" spans="1:11" x14ac:dyDescent="0.25">
      <c r="A73" t="s">
        <v>34</v>
      </c>
      <c r="B73" t="str">
        <f t="shared" si="2"/>
        <v>select_one_q1_b35</v>
      </c>
      <c r="C73" t="s">
        <v>511</v>
      </c>
      <c r="E73" t="str">
        <f t="shared" si="3"/>
        <v>B35. boxtag-search-F6CEEC-f6f6f6-0099FF-737373-EB4889</v>
      </c>
      <c r="F73" t="str">
        <f t="shared" si="4"/>
        <v>select_one q1</v>
      </c>
      <c r="G73" t="str">
        <f t="shared" si="5"/>
        <v>B35. boxtag-search-F6CEEC-f6f6f6-0099FF-737373-EB4889</v>
      </c>
      <c r="H73" t="str">
        <f t="shared" si="6"/>
        <v>select_one q1</v>
      </c>
      <c r="J73" t="str">
        <f t="shared" si="0"/>
        <v>boxtag-search-F6CEEC-f6f6f6-0099FF-737373-EB4889</v>
      </c>
      <c r="K73" s="32" t="s">
        <v>455</v>
      </c>
    </row>
    <row r="74" spans="1:11" x14ac:dyDescent="0.25">
      <c r="A74" t="s">
        <v>34</v>
      </c>
      <c r="B74" t="str">
        <f t="shared" si="2"/>
        <v>select_one_q1_b36</v>
      </c>
      <c r="C74" t="s">
        <v>512</v>
      </c>
      <c r="E74" t="str">
        <f t="shared" si="3"/>
        <v>B36. boxtag-search-fill-F6CEEC-f6f6f6-0099FF-737373-ffffff</v>
      </c>
      <c r="F74" t="str">
        <f t="shared" si="4"/>
        <v>select_one q1</v>
      </c>
      <c r="G74" t="str">
        <f t="shared" si="5"/>
        <v>B36. boxtag-search-fill-F6CEEC-f6f6f6-0099FF-737373-ffffff</v>
      </c>
      <c r="H74" t="str">
        <f t="shared" si="6"/>
        <v>select_one q1</v>
      </c>
      <c r="J74" t="str">
        <f t="shared" si="0"/>
        <v>boxtag-search-fill-F6CEEC-f6f6f6-0099FF-737373-ffffff</v>
      </c>
      <c r="K74" s="32" t="s">
        <v>456</v>
      </c>
    </row>
    <row r="75" spans="1:11" x14ac:dyDescent="0.25">
      <c r="A75" t="s">
        <v>34</v>
      </c>
      <c r="B75" t="str">
        <f t="shared" si="2"/>
        <v>select_one_q1_b37</v>
      </c>
      <c r="C75" t="s">
        <v>513</v>
      </c>
      <c r="E75" t="str">
        <f t="shared" si="3"/>
        <v>B37. boxtag-choices-noshow</v>
      </c>
      <c r="F75" t="str">
        <f t="shared" si="4"/>
        <v>select_one q1</v>
      </c>
      <c r="G75" t="str">
        <f t="shared" si="5"/>
        <v>B37. boxtag-choices-noshow</v>
      </c>
      <c r="H75" t="str">
        <f t="shared" si="6"/>
        <v>select_one q1</v>
      </c>
      <c r="J75" t="str">
        <f t="shared" si="0"/>
        <v>boxtag-choices-noshow</v>
      </c>
      <c r="K75" s="32" t="s">
        <v>390</v>
      </c>
    </row>
    <row r="76" spans="1:11" x14ac:dyDescent="0.25">
      <c r="A76" t="s">
        <v>34</v>
      </c>
      <c r="B76" t="str">
        <f t="shared" si="2"/>
        <v>select_one_q1_b38</v>
      </c>
      <c r="C76" t="s">
        <v>514</v>
      </c>
      <c r="E76" t="str">
        <f t="shared" si="3"/>
        <v>B38. boxtag-choices-noshow-fill</v>
      </c>
      <c r="F76" t="str">
        <f t="shared" si="4"/>
        <v>select_one q1</v>
      </c>
      <c r="G76" t="str">
        <f t="shared" si="5"/>
        <v>B38. boxtag-choices-noshow-fill</v>
      </c>
      <c r="H76" t="str">
        <f t="shared" si="6"/>
        <v>select_one q1</v>
      </c>
      <c r="J76" t="str">
        <f t="shared" si="0"/>
        <v>boxtag-choices-noshow-fill</v>
      </c>
      <c r="K76" s="32" t="s">
        <v>391</v>
      </c>
    </row>
    <row r="77" spans="1:11" x14ac:dyDescent="0.25">
      <c r="A77" t="s">
        <v>34</v>
      </c>
      <c r="B77" t="str">
        <f t="shared" si="2"/>
        <v>select_one_q1_b39</v>
      </c>
      <c r="C77" t="s">
        <v>515</v>
      </c>
      <c r="E77" t="str">
        <f t="shared" si="3"/>
        <v>B39. 9B5CF4-D4E4FD-3D84EF-boxtag-choices-noshow</v>
      </c>
      <c r="F77" t="str">
        <f t="shared" si="4"/>
        <v>select_one q1</v>
      </c>
      <c r="G77" t="str">
        <f t="shared" si="5"/>
        <v>B39. 9B5CF4-D4E4FD-3D84EF-boxtag-choices-noshow</v>
      </c>
      <c r="H77" t="str">
        <f t="shared" si="6"/>
        <v>select_one q1</v>
      </c>
      <c r="J77" t="str">
        <f t="shared" si="0"/>
        <v>9B5CF4-D4E4FD-3D84EF-boxtag-choices-noshow</v>
      </c>
      <c r="K77" s="32" t="s">
        <v>177</v>
      </c>
    </row>
    <row r="78" spans="1:11" x14ac:dyDescent="0.25">
      <c r="A78" t="s">
        <v>34</v>
      </c>
      <c r="B78" t="str">
        <f t="shared" si="2"/>
        <v>select_one_q1_b40</v>
      </c>
      <c r="C78" t="s">
        <v>516</v>
      </c>
      <c r="E78" t="str">
        <f t="shared" si="3"/>
        <v>B40. 9B5CF4-D4E4FD-3D84EF-boxtag-choices-noshow-fill</v>
      </c>
      <c r="F78" t="str">
        <f t="shared" si="4"/>
        <v>select_one q1</v>
      </c>
      <c r="G78" t="str">
        <f t="shared" si="5"/>
        <v>B40. 9B5CF4-D4E4FD-3D84EF-boxtag-choices-noshow-fill</v>
      </c>
      <c r="H78" t="str">
        <f t="shared" si="6"/>
        <v>select_one q1</v>
      </c>
      <c r="J78" t="str">
        <f t="shared" si="0"/>
        <v>9B5CF4-D4E4FD-3D84EF-boxtag-choices-noshow-fill</v>
      </c>
      <c r="K78" s="32" t="s">
        <v>178</v>
      </c>
    </row>
    <row r="79" spans="1:11" x14ac:dyDescent="0.25">
      <c r="A79" t="s">
        <v>34</v>
      </c>
      <c r="B79" t="str">
        <f t="shared" si="2"/>
        <v>select_one_q1_b41</v>
      </c>
      <c r="C79" t="s">
        <v>517</v>
      </c>
      <c r="E79" t="str">
        <f t="shared" si="3"/>
        <v>B41. boxtag-choices-noshow-F6CEEC-f6f6f6-0099FF-737373-EB4889</v>
      </c>
      <c r="F79" t="str">
        <f t="shared" si="4"/>
        <v>select_one q1</v>
      </c>
      <c r="G79" t="str">
        <f t="shared" si="5"/>
        <v>B41. boxtag-choices-noshow-F6CEEC-f6f6f6-0099FF-737373-EB4889</v>
      </c>
      <c r="H79" t="str">
        <f t="shared" si="6"/>
        <v>select_one q1</v>
      </c>
      <c r="J79" t="str">
        <f t="shared" si="0"/>
        <v>boxtag-choices-noshow-F6CEEC-f6f6f6-0099FF-737373-EB4889</v>
      </c>
      <c r="K79" s="32" t="s">
        <v>457</v>
      </c>
    </row>
    <row r="80" spans="1:11" x14ac:dyDescent="0.25">
      <c r="A80" t="s">
        <v>34</v>
      </c>
      <c r="B80" t="str">
        <f t="shared" si="2"/>
        <v>select_one_q1_b42</v>
      </c>
      <c r="C80" t="s">
        <v>518</v>
      </c>
      <c r="E80" t="str">
        <f t="shared" si="3"/>
        <v>B42. boxtag-choices-noshow-fill-F6CEEC-f6f6f6-0099FF-737373-ffffff</v>
      </c>
      <c r="F80" t="str">
        <f t="shared" si="4"/>
        <v>select_one q1</v>
      </c>
      <c r="G80" t="str">
        <f t="shared" si="5"/>
        <v>B42. boxtag-choices-noshow-fill-F6CEEC-f6f6f6-0099FF-737373-ffffff</v>
      </c>
      <c r="H80" t="str">
        <f t="shared" si="6"/>
        <v>select_one q1</v>
      </c>
      <c r="J80" t="str">
        <f t="shared" si="0"/>
        <v>boxtag-choices-noshow-fill-F6CEEC-f6f6f6-0099FF-737373-ffffff</v>
      </c>
      <c r="K80" s="32" t="s">
        <v>458</v>
      </c>
    </row>
    <row r="81" spans="1:11" x14ac:dyDescent="0.25">
      <c r="A81" t="s">
        <v>34</v>
      </c>
      <c r="B81" t="str">
        <f t="shared" si="2"/>
        <v>select_one_q1_b43</v>
      </c>
      <c r="C81" t="s">
        <v>519</v>
      </c>
      <c r="E81" t="str">
        <f t="shared" si="3"/>
        <v>B43. bf3eff-FF084A-084AFF-boxtag-choices-noshow-v2</v>
      </c>
      <c r="F81" t="str">
        <f t="shared" si="4"/>
        <v>select_one q1</v>
      </c>
      <c r="G81" t="str">
        <f t="shared" si="5"/>
        <v>B43. bf3eff-FF084A-084AFF-boxtag-choices-noshow-v2</v>
      </c>
      <c r="H81" t="str">
        <f t="shared" si="6"/>
        <v>select_one q1</v>
      </c>
      <c r="J81" t="str">
        <f t="shared" si="0"/>
        <v>bf3eff-FF084A-084AFF-boxtag-choices-noshow-v2</v>
      </c>
      <c r="K81" s="32" t="s">
        <v>242</v>
      </c>
    </row>
    <row r="82" spans="1:11" x14ac:dyDescent="0.25">
      <c r="A82" t="s">
        <v>34</v>
      </c>
      <c r="B82" t="str">
        <f t="shared" si="2"/>
        <v>select_one_q1_b44</v>
      </c>
      <c r="C82" t="s">
        <v>520</v>
      </c>
      <c r="E82" t="str">
        <f t="shared" si="3"/>
        <v>B44. bf3eff-FF084A-084AFF-boxtag-choices-noshow-v2-fill</v>
      </c>
      <c r="F82" t="str">
        <f t="shared" si="4"/>
        <v>select_one q1</v>
      </c>
      <c r="G82" t="str">
        <f t="shared" si="5"/>
        <v>B44. bf3eff-FF084A-084AFF-boxtag-choices-noshow-v2-fill</v>
      </c>
      <c r="H82" t="str">
        <f t="shared" si="6"/>
        <v>select_one q1</v>
      </c>
      <c r="J82" t="str">
        <f t="shared" si="0"/>
        <v>bf3eff-FF084A-084AFF-boxtag-choices-noshow-v2-fill</v>
      </c>
      <c r="K82" s="32" t="s">
        <v>247</v>
      </c>
    </row>
    <row r="83" spans="1:11" x14ac:dyDescent="0.25">
      <c r="A83" t="s">
        <v>34</v>
      </c>
      <c r="B83" t="str">
        <f t="shared" si="2"/>
        <v>select_one_q1_b45</v>
      </c>
      <c r="C83" t="s">
        <v>521</v>
      </c>
      <c r="E83" t="str">
        <f t="shared" si="3"/>
        <v>B45. boxtag-choices-noshow-v2-FBB0D4-009980-FF2E94-737373-FF2E94</v>
      </c>
      <c r="F83" t="str">
        <f t="shared" si="4"/>
        <v>select_one q1</v>
      </c>
      <c r="G83" t="str">
        <f t="shared" si="5"/>
        <v>B45. boxtag-choices-noshow-v2-FBB0D4-009980-FF2E94-737373-FF2E94</v>
      </c>
      <c r="H83" t="str">
        <f t="shared" si="6"/>
        <v>select_one q1</v>
      </c>
      <c r="J83" t="str">
        <f t="shared" si="0"/>
        <v>boxtag-choices-noshow-v2-FBB0D4-009980-FF2E94-737373-FF2E94</v>
      </c>
      <c r="K83" s="32" t="s">
        <v>243</v>
      </c>
    </row>
    <row r="84" spans="1:11" x14ac:dyDescent="0.25">
      <c r="A84" t="s">
        <v>34</v>
      </c>
      <c r="B84" t="str">
        <f t="shared" si="2"/>
        <v>select_one_q1_b46</v>
      </c>
      <c r="C84" t="s">
        <v>522</v>
      </c>
      <c r="E84" t="str">
        <f t="shared" si="3"/>
        <v>B46. boxtag-choices-noshow-v2-fill-ee1289-084AFF-FF084A-ee1289-ffffff</v>
      </c>
      <c r="F84" t="str">
        <f t="shared" si="4"/>
        <v>select_one q1</v>
      </c>
      <c r="G84" t="str">
        <f t="shared" si="5"/>
        <v>B46. boxtag-choices-noshow-v2-fill-ee1289-084AFF-FF084A-ee1289-ffffff</v>
      </c>
      <c r="H84" t="str">
        <f t="shared" si="6"/>
        <v>select_one q1</v>
      </c>
      <c r="J84" t="str">
        <f t="shared" si="0"/>
        <v>boxtag-choices-noshow-v2-fill-ee1289-084AFF-FF084A-ee1289-ffffff</v>
      </c>
      <c r="K84" s="32" t="s">
        <v>244</v>
      </c>
    </row>
    <row r="85" spans="1:11" x14ac:dyDescent="0.25">
      <c r="A85" t="s">
        <v>34</v>
      </c>
      <c r="B85" t="str">
        <f t="shared" si="2"/>
        <v>select_one_q1_b47</v>
      </c>
      <c r="C85" t="s">
        <v>523</v>
      </c>
      <c r="E85" t="str">
        <f t="shared" si="3"/>
        <v>B47. tagging</v>
      </c>
      <c r="F85" t="str">
        <f t="shared" si="4"/>
        <v>select_one q1</v>
      </c>
      <c r="G85" t="str">
        <f t="shared" si="5"/>
        <v>B47. tagging</v>
      </c>
      <c r="H85" t="str">
        <f t="shared" si="6"/>
        <v>select_one q1</v>
      </c>
      <c r="J85" t="str">
        <f t="shared" si="0"/>
        <v>tagging</v>
      </c>
      <c r="K85" s="32" t="s">
        <v>380</v>
      </c>
    </row>
    <row r="86" spans="1:11" x14ac:dyDescent="0.25">
      <c r="A86" t="s">
        <v>34</v>
      </c>
      <c r="B86" t="str">
        <f t="shared" si="2"/>
        <v>select_one_q1_b48</v>
      </c>
      <c r="C86" t="s">
        <v>524</v>
      </c>
      <c r="E86" t="str">
        <f t="shared" si="3"/>
        <v>B48. tagging-fill</v>
      </c>
      <c r="F86" t="str">
        <f t="shared" si="4"/>
        <v>select_one q1</v>
      </c>
      <c r="G86" t="str">
        <f t="shared" si="5"/>
        <v>B48. tagging-fill</v>
      </c>
      <c r="H86" t="str">
        <f t="shared" si="6"/>
        <v>select_one q1</v>
      </c>
      <c r="J86" t="str">
        <f t="shared" si="0"/>
        <v>tagging-fill</v>
      </c>
      <c r="K86" s="32" t="s">
        <v>381</v>
      </c>
    </row>
    <row r="87" spans="1:11" x14ac:dyDescent="0.25">
      <c r="A87" t="s">
        <v>34</v>
      </c>
      <c r="B87" t="str">
        <f t="shared" si="2"/>
        <v>select_one_q1_b49</v>
      </c>
      <c r="C87" t="s">
        <v>525</v>
      </c>
      <c r="E87" t="str">
        <f t="shared" si="3"/>
        <v>B49. 9B5CF4-D4E4FD-3D84EF-tagging</v>
      </c>
      <c r="F87" t="str">
        <f t="shared" si="4"/>
        <v>select_one q1</v>
      </c>
      <c r="G87" t="str">
        <f t="shared" si="5"/>
        <v>B49. 9B5CF4-D4E4FD-3D84EF-tagging</v>
      </c>
      <c r="H87" t="str">
        <f t="shared" si="6"/>
        <v>select_one q1</v>
      </c>
      <c r="J87" t="str">
        <f t="shared" si="0"/>
        <v>9B5CF4-D4E4FD-3D84EF-tagging</v>
      </c>
      <c r="K87" s="32" t="s">
        <v>167</v>
      </c>
    </row>
    <row r="88" spans="1:11" x14ac:dyDescent="0.25">
      <c r="A88" t="s">
        <v>34</v>
      </c>
      <c r="B88" t="str">
        <f t="shared" si="2"/>
        <v>select_one_q1_b50</v>
      </c>
      <c r="C88" t="s">
        <v>526</v>
      </c>
      <c r="E88" t="str">
        <f t="shared" si="3"/>
        <v>B50. 9B5CF4-D4E4FD-3D84EF-tagging-fill</v>
      </c>
      <c r="F88" t="str">
        <f t="shared" si="4"/>
        <v>select_one q1</v>
      </c>
      <c r="G88" t="str">
        <f t="shared" si="5"/>
        <v>B50. 9B5CF4-D4E4FD-3D84EF-tagging-fill</v>
      </c>
      <c r="H88" t="str">
        <f t="shared" si="6"/>
        <v>select_one q1</v>
      </c>
      <c r="J88" t="str">
        <f t="shared" si="0"/>
        <v>9B5CF4-D4E4FD-3D84EF-tagging-fill</v>
      </c>
      <c r="K88" s="32" t="s">
        <v>168</v>
      </c>
    </row>
    <row r="89" spans="1:11" x14ac:dyDescent="0.25">
      <c r="A89" t="s">
        <v>34</v>
      </c>
      <c r="B89" t="str">
        <f t="shared" si="2"/>
        <v>select_one_q1_b51</v>
      </c>
      <c r="C89" t="s">
        <v>527</v>
      </c>
      <c r="E89" t="str">
        <f t="shared" si="3"/>
        <v>B51. tagging-F6CEEC-f6f6f6-0099FF-737373-EB4889</v>
      </c>
      <c r="F89" t="str">
        <f t="shared" si="4"/>
        <v>select_one q1</v>
      </c>
      <c r="G89" t="str">
        <f t="shared" si="5"/>
        <v>B51. tagging-F6CEEC-f6f6f6-0099FF-737373-EB4889</v>
      </c>
      <c r="H89" t="str">
        <f t="shared" si="6"/>
        <v>select_one q1</v>
      </c>
      <c r="J89" t="str">
        <f t="shared" si="0"/>
        <v>tagging-F6CEEC-f6f6f6-0099FF-737373-EB4889</v>
      </c>
      <c r="K89" s="32" t="s">
        <v>459</v>
      </c>
    </row>
    <row r="90" spans="1:11" x14ac:dyDescent="0.25">
      <c r="A90" t="s">
        <v>34</v>
      </c>
      <c r="B90" t="str">
        <f t="shared" si="2"/>
        <v>select_one_q1_b52</v>
      </c>
      <c r="C90" t="s">
        <v>528</v>
      </c>
      <c r="E90" t="str">
        <f t="shared" si="3"/>
        <v>B52. tagging-fill-F6CEEC-f6f6f6-0099FF-737373-ffffff</v>
      </c>
      <c r="F90" t="str">
        <f t="shared" si="4"/>
        <v>select_one q1</v>
      </c>
      <c r="G90" t="str">
        <f t="shared" si="5"/>
        <v>B52. tagging-fill-F6CEEC-f6f6f6-0099FF-737373-ffffff</v>
      </c>
      <c r="H90" t="str">
        <f t="shared" si="6"/>
        <v>select_one q1</v>
      </c>
      <c r="J90" t="str">
        <f t="shared" si="0"/>
        <v>tagging-fill-F6CEEC-f6f6f6-0099FF-737373-ffffff</v>
      </c>
      <c r="K90" s="32" t="s">
        <v>460</v>
      </c>
    </row>
    <row r="91" spans="1:11" x14ac:dyDescent="0.25">
      <c r="A91" t="s">
        <v>34</v>
      </c>
      <c r="B91" t="str">
        <f t="shared" si="2"/>
        <v>select_one_q1_b53</v>
      </c>
      <c r="C91" t="s">
        <v>529</v>
      </c>
      <c r="E91" t="str">
        <f t="shared" si="3"/>
        <v>B53. tagging-search</v>
      </c>
      <c r="F91" t="str">
        <f t="shared" si="4"/>
        <v>select_one q1</v>
      </c>
      <c r="G91" t="str">
        <f t="shared" si="5"/>
        <v>B53. tagging-search</v>
      </c>
      <c r="H91" t="str">
        <f t="shared" si="6"/>
        <v>select_one q1</v>
      </c>
      <c r="J91" t="str">
        <f t="shared" si="0"/>
        <v>tagging-search</v>
      </c>
      <c r="K91" s="32" t="s">
        <v>382</v>
      </c>
    </row>
    <row r="92" spans="1:11" x14ac:dyDescent="0.25">
      <c r="A92" t="s">
        <v>34</v>
      </c>
      <c r="B92" t="str">
        <f t="shared" si="2"/>
        <v>select_one_q1_b54</v>
      </c>
      <c r="C92" t="s">
        <v>530</v>
      </c>
      <c r="E92" t="str">
        <f t="shared" si="3"/>
        <v>B54. tagging-search-fill</v>
      </c>
      <c r="F92" t="str">
        <f t="shared" si="4"/>
        <v>select_one q1</v>
      </c>
      <c r="G92" t="str">
        <f t="shared" si="5"/>
        <v>B54. tagging-search-fill</v>
      </c>
      <c r="H92" t="str">
        <f t="shared" si="6"/>
        <v>select_one q1</v>
      </c>
      <c r="J92" t="str">
        <f t="shared" si="0"/>
        <v>tagging-search-fill</v>
      </c>
      <c r="K92" s="32" t="s">
        <v>383</v>
      </c>
    </row>
    <row r="93" spans="1:11" x14ac:dyDescent="0.25">
      <c r="A93" t="s">
        <v>34</v>
      </c>
      <c r="B93" t="str">
        <f t="shared" si="2"/>
        <v>select_one_q1_b55</v>
      </c>
      <c r="C93" t="s">
        <v>531</v>
      </c>
      <c r="E93" t="str">
        <f t="shared" si="3"/>
        <v>B55. 9B5CF4-D4E4FD-3D84EF-tagging-search</v>
      </c>
      <c r="F93" t="str">
        <f t="shared" si="4"/>
        <v>select_one q1</v>
      </c>
      <c r="G93" t="str">
        <f t="shared" si="5"/>
        <v>B55. 9B5CF4-D4E4FD-3D84EF-tagging-search</v>
      </c>
      <c r="H93" t="str">
        <f t="shared" si="6"/>
        <v>select_one q1</v>
      </c>
      <c r="J93" t="str">
        <f t="shared" si="0"/>
        <v>9B5CF4-D4E4FD-3D84EF-tagging-search</v>
      </c>
      <c r="K93" s="32" t="s">
        <v>169</v>
      </c>
    </row>
    <row r="94" spans="1:11" x14ac:dyDescent="0.25">
      <c r="A94" t="s">
        <v>34</v>
      </c>
      <c r="B94" t="str">
        <f t="shared" si="2"/>
        <v>select_one_q1_b56</v>
      </c>
      <c r="C94" t="s">
        <v>532</v>
      </c>
      <c r="E94" t="str">
        <f t="shared" si="3"/>
        <v>B56. 9B5CF4-D4E4FD-3D84EF-tagging-search-fill</v>
      </c>
      <c r="F94" t="str">
        <f t="shared" si="4"/>
        <v>select_one q1</v>
      </c>
      <c r="G94" t="str">
        <f t="shared" si="5"/>
        <v>B56. 9B5CF4-D4E4FD-3D84EF-tagging-search-fill</v>
      </c>
      <c r="H94" t="str">
        <f t="shared" si="6"/>
        <v>select_one q1</v>
      </c>
      <c r="J94" t="str">
        <f t="shared" si="0"/>
        <v>9B5CF4-D4E4FD-3D84EF-tagging-search-fill</v>
      </c>
      <c r="K94" s="32" t="s">
        <v>170</v>
      </c>
    </row>
    <row r="95" spans="1:11" x14ac:dyDescent="0.25">
      <c r="A95" t="s">
        <v>34</v>
      </c>
      <c r="B95" t="str">
        <f t="shared" si="2"/>
        <v>select_one_q1_b57</v>
      </c>
      <c r="C95" t="s">
        <v>533</v>
      </c>
      <c r="E95" t="str">
        <f t="shared" si="3"/>
        <v>B57. tagging-search-F6CEEC-f6f6f6-0099FF-737373-EB4889</v>
      </c>
      <c r="F95" t="str">
        <f t="shared" si="4"/>
        <v>select_one q1</v>
      </c>
      <c r="G95" t="str">
        <f t="shared" si="5"/>
        <v>B57. tagging-search-F6CEEC-f6f6f6-0099FF-737373-EB4889</v>
      </c>
      <c r="H95" t="str">
        <f t="shared" si="6"/>
        <v>select_one q1</v>
      </c>
      <c r="J95" t="str">
        <f t="shared" si="0"/>
        <v>tagging-search-F6CEEC-f6f6f6-0099FF-737373-EB4889</v>
      </c>
      <c r="K95" s="32" t="s">
        <v>461</v>
      </c>
    </row>
    <row r="96" spans="1:11" x14ac:dyDescent="0.25">
      <c r="A96" t="s">
        <v>34</v>
      </c>
      <c r="B96" t="str">
        <f t="shared" si="2"/>
        <v>select_one_q1_b58</v>
      </c>
      <c r="C96" t="s">
        <v>534</v>
      </c>
      <c r="E96" t="str">
        <f t="shared" si="3"/>
        <v>B58. tagging-search-fill-F6CEEC-f6f6f6-0099FF-737373-ffffff</v>
      </c>
      <c r="F96" t="str">
        <f t="shared" si="4"/>
        <v>select_one q1</v>
      </c>
      <c r="G96" t="str">
        <f t="shared" si="5"/>
        <v>B58. tagging-search-fill-F6CEEC-f6f6f6-0099FF-737373-ffffff</v>
      </c>
      <c r="H96" t="str">
        <f t="shared" si="6"/>
        <v>select_one q1</v>
      </c>
      <c r="J96" t="str">
        <f t="shared" si="0"/>
        <v>tagging-search-fill-F6CEEC-f6f6f6-0099FF-737373-ffffff</v>
      </c>
      <c r="K96" s="32" t="s">
        <v>462</v>
      </c>
    </row>
    <row r="97" spans="1:11" x14ac:dyDescent="0.25">
      <c r="A97" t="s">
        <v>34</v>
      </c>
      <c r="B97" t="str">
        <f t="shared" si="2"/>
        <v>select_one_q1_b59</v>
      </c>
      <c r="C97" t="s">
        <v>535</v>
      </c>
      <c r="E97" t="str">
        <f t="shared" si="3"/>
        <v>B59. tagging-choices-noshow</v>
      </c>
      <c r="F97" t="str">
        <f t="shared" si="4"/>
        <v>select_one q1</v>
      </c>
      <c r="G97" t="str">
        <f t="shared" si="5"/>
        <v>B59. tagging-choices-noshow</v>
      </c>
      <c r="H97" t="str">
        <f t="shared" si="6"/>
        <v>select_one q1</v>
      </c>
      <c r="J97" t="str">
        <f t="shared" ref="J97:J160" si="7">TRIM(CONCATENATE(K97," ",L97," ",M97))</f>
        <v>tagging-choices-noshow</v>
      </c>
      <c r="K97" s="32" t="s">
        <v>384</v>
      </c>
    </row>
    <row r="98" spans="1:11" x14ac:dyDescent="0.25">
      <c r="A98" t="s">
        <v>34</v>
      </c>
      <c r="B98" t="str">
        <f t="shared" si="2"/>
        <v>select_one_q1_b60</v>
      </c>
      <c r="C98" t="s">
        <v>536</v>
      </c>
      <c r="E98" t="str">
        <f t="shared" si="3"/>
        <v>B60. tagging-choices-noshow-fill</v>
      </c>
      <c r="F98" t="str">
        <f t="shared" si="4"/>
        <v>select_one q1</v>
      </c>
      <c r="G98" t="str">
        <f t="shared" si="5"/>
        <v>B60. tagging-choices-noshow-fill</v>
      </c>
      <c r="H98" t="str">
        <f t="shared" si="6"/>
        <v>select_one q1</v>
      </c>
      <c r="J98" t="str">
        <f t="shared" si="7"/>
        <v>tagging-choices-noshow-fill</v>
      </c>
      <c r="K98" s="32" t="s">
        <v>385</v>
      </c>
    </row>
    <row r="99" spans="1:11" x14ac:dyDescent="0.25">
      <c r="A99" t="s">
        <v>34</v>
      </c>
      <c r="B99" t="str">
        <f t="shared" si="2"/>
        <v>select_one_q1_b61</v>
      </c>
      <c r="C99" t="s">
        <v>537</v>
      </c>
      <c r="E99" t="str">
        <f t="shared" si="3"/>
        <v>B61. 9B5CF4-D4E4FD-3D84EF-tagging-choices-noshow</v>
      </c>
      <c r="F99" t="str">
        <f t="shared" si="4"/>
        <v>select_one q1</v>
      </c>
      <c r="G99" t="str">
        <f t="shared" si="5"/>
        <v>B61. 9B5CF4-D4E4FD-3D84EF-tagging-choices-noshow</v>
      </c>
      <c r="H99" t="str">
        <f t="shared" si="6"/>
        <v>select_one q1</v>
      </c>
      <c r="J99" t="str">
        <f t="shared" si="7"/>
        <v>9B5CF4-D4E4FD-3D84EF-tagging-choices-noshow</v>
      </c>
      <c r="K99" s="32" t="s">
        <v>171</v>
      </c>
    </row>
    <row r="100" spans="1:11" x14ac:dyDescent="0.25">
      <c r="A100" t="s">
        <v>34</v>
      </c>
      <c r="B100" t="str">
        <f t="shared" si="2"/>
        <v>select_one_q1_b62</v>
      </c>
      <c r="C100" t="s">
        <v>538</v>
      </c>
      <c r="E100" t="str">
        <f t="shared" si="3"/>
        <v>B62. 9B5CF4-D4E4FD-3D84EF-tagging-choices-noshow-fill</v>
      </c>
      <c r="F100" t="str">
        <f t="shared" si="4"/>
        <v>select_one q1</v>
      </c>
      <c r="G100" t="str">
        <f t="shared" si="5"/>
        <v>B62. 9B5CF4-D4E4FD-3D84EF-tagging-choices-noshow-fill</v>
      </c>
      <c r="H100" t="str">
        <f t="shared" si="6"/>
        <v>select_one q1</v>
      </c>
      <c r="J100" t="str">
        <f t="shared" si="7"/>
        <v>9B5CF4-D4E4FD-3D84EF-tagging-choices-noshow-fill</v>
      </c>
      <c r="K100" s="32" t="s">
        <v>172</v>
      </c>
    </row>
    <row r="101" spans="1:11" x14ac:dyDescent="0.25">
      <c r="A101" t="s">
        <v>34</v>
      </c>
      <c r="B101" t="str">
        <f t="shared" si="2"/>
        <v>select_one_q1_b63</v>
      </c>
      <c r="C101" t="s">
        <v>539</v>
      </c>
      <c r="E101" t="str">
        <f t="shared" si="3"/>
        <v>B63. tagging-choices-noshow-F6CEEC-f6f6f6-0099FF-737373-EB4889</v>
      </c>
      <c r="F101" t="str">
        <f t="shared" si="4"/>
        <v>select_one q1</v>
      </c>
      <c r="G101" t="str">
        <f t="shared" si="5"/>
        <v>B63. tagging-choices-noshow-F6CEEC-f6f6f6-0099FF-737373-EB4889</v>
      </c>
      <c r="H101" t="str">
        <f t="shared" si="6"/>
        <v>select_one q1</v>
      </c>
      <c r="J101" t="str">
        <f t="shared" si="7"/>
        <v>tagging-choices-noshow-F6CEEC-f6f6f6-0099FF-737373-EB4889</v>
      </c>
      <c r="K101" s="32" t="s">
        <v>463</v>
      </c>
    </row>
    <row r="102" spans="1:11" x14ac:dyDescent="0.25">
      <c r="A102" t="s">
        <v>34</v>
      </c>
      <c r="B102" t="str">
        <f t="shared" si="2"/>
        <v>select_one_q1_b64</v>
      </c>
      <c r="C102" t="s">
        <v>540</v>
      </c>
      <c r="E102" t="str">
        <f t="shared" si="3"/>
        <v>B64. tagging-choices-noshow-fill-F6CEEC-f6f6f6-0099FF-737373-ffffff inputs{qrscan, stt}</v>
      </c>
      <c r="F102" t="str">
        <f t="shared" si="4"/>
        <v>select_one q1</v>
      </c>
      <c r="G102" t="str">
        <f t="shared" si="5"/>
        <v>B64. tagging-choices-noshow-fill-F6CEEC-f6f6f6-0099FF-737373-ffffff inputs{qrscan, stt}</v>
      </c>
      <c r="H102" t="str">
        <f t="shared" si="6"/>
        <v>select_one q1</v>
      </c>
      <c r="J102" t="str">
        <f t="shared" si="7"/>
        <v>tagging-choices-noshow-fill-F6CEEC-f6f6f6-0099FF-737373-ffffff inputs{qrscan, stt}</v>
      </c>
      <c r="K102" s="32" t="s">
        <v>1762</v>
      </c>
    </row>
    <row r="103" spans="1:11" x14ac:dyDescent="0.25">
      <c r="A103" t="s">
        <v>34</v>
      </c>
      <c r="B103" t="str">
        <f t="shared" ref="B103:B113" si="8">CONCATENATE(SUBSTITUTE(A103," ","_"),"_",C103)</f>
        <v>select_one_q1_b65</v>
      </c>
      <c r="C103" t="s">
        <v>541</v>
      </c>
      <c r="E103" t="str">
        <f t="shared" si="3"/>
        <v>B65. FBB0D4-009980-FF2E94-tagging-choices-noshow-v2 inputs{stt, qrscan}</v>
      </c>
      <c r="F103" t="str">
        <f t="shared" si="4"/>
        <v>select_one q1</v>
      </c>
      <c r="G103" t="str">
        <f t="shared" si="5"/>
        <v>B65. FBB0D4-009980-FF2E94-tagging-choices-noshow-v2 inputs{stt, qrscan}</v>
      </c>
      <c r="H103" t="str">
        <f t="shared" si="6"/>
        <v>select_one q1</v>
      </c>
      <c r="J103" t="str">
        <f t="shared" si="7"/>
        <v>FBB0D4-009980-FF2E94-tagging-choices-noshow-v2 inputs{stt, qrscan}</v>
      </c>
      <c r="K103" s="32" t="s">
        <v>1763</v>
      </c>
    </row>
    <row r="104" spans="1:11" x14ac:dyDescent="0.25">
      <c r="A104" t="s">
        <v>34</v>
      </c>
      <c r="B104" t="str">
        <f t="shared" si="8"/>
        <v>select_one_q1_b66</v>
      </c>
      <c r="C104" t="s">
        <v>542</v>
      </c>
      <c r="E104" t="str">
        <f t="shared" ref="E104:E113" si="9">CONCATENATE(PROPER(C104),". ",J104)</f>
        <v>B66. bf3eff-FF084A-084AFF-tagging-choices-noshow-v2-fill</v>
      </c>
      <c r="F104" t="str">
        <f t="shared" ref="F104:F113" si="10">A104</f>
        <v>select_one q1</v>
      </c>
      <c r="G104" t="str">
        <f t="shared" ref="G104:G113" si="11">CONCATENATE(PROPER(C104),". ",J104)</f>
        <v>B66. bf3eff-FF084A-084AFF-tagging-choices-noshow-v2-fill</v>
      </c>
      <c r="H104" t="str">
        <f t="shared" ref="H104:H113" si="12">A104</f>
        <v>select_one q1</v>
      </c>
      <c r="J104" t="str">
        <f t="shared" si="7"/>
        <v>bf3eff-FF084A-084AFF-tagging-choices-noshow-v2-fill</v>
      </c>
      <c r="K104" s="32" t="s">
        <v>245</v>
      </c>
    </row>
    <row r="105" spans="1:11" x14ac:dyDescent="0.25">
      <c r="A105" t="s">
        <v>34</v>
      </c>
      <c r="B105" t="str">
        <f t="shared" si="8"/>
        <v>select_one_q1_b67</v>
      </c>
      <c r="C105" t="s">
        <v>543</v>
      </c>
      <c r="E105" t="str">
        <f t="shared" si="9"/>
        <v>B67. tagging-choices-noshow-v2-ee1289-084AFF-FF084A-ee1289-bf3eff</v>
      </c>
      <c r="F105" t="str">
        <f t="shared" si="10"/>
        <v>select_one q1</v>
      </c>
      <c r="G105" t="str">
        <f t="shared" si="11"/>
        <v>B67. tagging-choices-noshow-v2-ee1289-084AFF-FF084A-ee1289-bf3eff</v>
      </c>
      <c r="H105" t="str">
        <f t="shared" si="12"/>
        <v>select_one q1</v>
      </c>
      <c r="J105" t="str">
        <f t="shared" si="7"/>
        <v>tagging-choices-noshow-v2-ee1289-084AFF-FF084A-ee1289-bf3eff</v>
      </c>
      <c r="K105" s="32" t="s">
        <v>241</v>
      </c>
    </row>
    <row r="106" spans="1:11" x14ac:dyDescent="0.25">
      <c r="A106" t="s">
        <v>34</v>
      </c>
      <c r="B106" t="str">
        <f t="shared" si="8"/>
        <v>select_one_q1_b68</v>
      </c>
      <c r="C106" t="s">
        <v>544</v>
      </c>
      <c r="E106" t="str">
        <f t="shared" si="9"/>
        <v>B68. tagging-choices-noshow-v2-fill-ee1289-084AFF-FF084A-ee1289-ffffff</v>
      </c>
      <c r="F106" t="str">
        <f t="shared" si="10"/>
        <v>select_one q1</v>
      </c>
      <c r="G106" t="str">
        <f t="shared" si="11"/>
        <v>B68. tagging-choices-noshow-v2-fill-ee1289-084AFF-FF084A-ee1289-ffffff</v>
      </c>
      <c r="H106" t="str">
        <f t="shared" si="12"/>
        <v>select_one q1</v>
      </c>
      <c r="J106" t="str">
        <f t="shared" si="7"/>
        <v>tagging-choices-noshow-v2-fill-ee1289-084AFF-FF084A-ee1289-ffffff</v>
      </c>
      <c r="K106" s="32" t="s">
        <v>246</v>
      </c>
    </row>
    <row r="107" spans="1:11" x14ac:dyDescent="0.25">
      <c r="A107" t="s">
        <v>1740</v>
      </c>
      <c r="B107" t="str">
        <f t="shared" si="8"/>
        <v>select_one_province_b69</v>
      </c>
      <c r="C107" t="s">
        <v>1279</v>
      </c>
      <c r="E107" t="str">
        <f t="shared" si="9"/>
        <v>B69. tagging-choices-noshow-v2 search(concat(${family_path},'/province.db::externalData'))</v>
      </c>
      <c r="F107" t="str">
        <f t="shared" si="10"/>
        <v>select_one province</v>
      </c>
      <c r="G107" t="str">
        <f t="shared" si="11"/>
        <v>B69. tagging-choices-noshow-v2 search(concat(${family_path},'/province.db::externalData'))</v>
      </c>
      <c r="H107" t="str">
        <f t="shared" si="12"/>
        <v>select_one province</v>
      </c>
      <c r="J107" t="s">
        <v>1730</v>
      </c>
      <c r="K107" s="32" t="s">
        <v>241</v>
      </c>
    </row>
    <row r="108" spans="1:11" x14ac:dyDescent="0.25">
      <c r="A108" t="s">
        <v>1740</v>
      </c>
      <c r="B108" t="str">
        <f t="shared" si="8"/>
        <v>select_one_province_b70</v>
      </c>
      <c r="C108" t="s">
        <v>1352</v>
      </c>
      <c r="E108" t="str">
        <f t="shared" si="9"/>
        <v>B70. tagging-choices-noshow-v2 search('rawquery', concat(${family_path},'/province.db::externalData'), 'select DISTINCT tinh_id, tinh_name from externalData where marked_as_deleted != "1" ORDER BY tinh_name ASC')</v>
      </c>
      <c r="F108" t="str">
        <f t="shared" si="10"/>
        <v>select_one province</v>
      </c>
      <c r="G108" t="str">
        <f t="shared" si="11"/>
        <v>B70. tagging-choices-noshow-v2 search('rawquery', concat(${family_path},'/province.db::externalData'), 'select DISTINCT tinh_id, tinh_name from externalData where marked_as_deleted != "1" ORDER BY tinh_name ASC')</v>
      </c>
      <c r="H108" t="str">
        <f t="shared" si="12"/>
        <v>select_one province</v>
      </c>
      <c r="J108" t="s">
        <v>1731</v>
      </c>
      <c r="K108" s="32" t="s">
        <v>246</v>
      </c>
    </row>
    <row r="109" spans="1:11" x14ac:dyDescent="0.25">
      <c r="A109" t="s">
        <v>1741</v>
      </c>
      <c r="B109" t="str">
        <f t="shared" si="8"/>
        <v>select_one_sl_b71</v>
      </c>
      <c r="C109" t="s">
        <v>1379</v>
      </c>
      <c r="E109" t="str">
        <f t="shared" si="9"/>
        <v>B71. tagging-choices-noshow-v2 search-api('POST',concat('https://es.rta.vn/c872_vn_admin3/_search'),'{"size": 1000,"collapse":{"field":"tinh_id.raw"},"query":{"bool":{"must":[/*{"query_string":{"query":"%__input__%","fields":["tinh_name"],"allow_leading_wildcard":"true","default_operator":"AND"}}*/]}},"_source":{"excludes":[]},"sort":[{"added_date":{"order":"desc"}}]}','tinh_id','tinh_name','$.hits.hits.*._source','/file/path/sl2')</v>
      </c>
      <c r="F109" t="str">
        <f t="shared" si="10"/>
        <v>select_one sl</v>
      </c>
      <c r="G109" t="str">
        <f t="shared" si="11"/>
        <v>B71. tagging-choices-noshow-v2 search-api('POST',concat('https://es.rta.vn/c872_vn_admin3/_search'),'{"size": 1000,"collapse":{"field":"tinh_id.raw"},"query":{"bool":{"must":[/*{"query_string":{"query":"%__input__%","fields":["tinh_name"],"allow_leading_wildcard":"true","default_operator":"AND"}}*/]}},"_source":{"excludes":[]},"sort":[{"added_date":{"order":"desc"}}]}','tinh_id','tinh_name','$.hits.hits.*._source','/file/path/sl2')</v>
      </c>
      <c r="H109" t="str">
        <f t="shared" si="12"/>
        <v>select_one sl</v>
      </c>
      <c r="J109" t="s">
        <v>1732</v>
      </c>
      <c r="K109" s="32" t="s">
        <v>246</v>
      </c>
    </row>
    <row r="110" spans="1:11" x14ac:dyDescent="0.25">
      <c r="A110" t="s">
        <v>34</v>
      </c>
      <c r="B110" t="str">
        <f t="shared" si="8"/>
        <v>select_one_q1_b72</v>
      </c>
      <c r="C110" t="s">
        <v>1380</v>
      </c>
      <c r="E110" t="str">
        <f t="shared" si="9"/>
        <v>B72. search-select</v>
      </c>
      <c r="F110" t="str">
        <f t="shared" si="10"/>
        <v>select_one q1</v>
      </c>
      <c r="G110" t="str">
        <f t="shared" si="11"/>
        <v>B72. search-select</v>
      </c>
      <c r="H110" t="str">
        <f t="shared" si="12"/>
        <v>select_one q1</v>
      </c>
      <c r="J110" t="str">
        <f t="shared" si="7"/>
        <v>search-select</v>
      </c>
      <c r="K110" s="32" t="s">
        <v>1350</v>
      </c>
    </row>
    <row r="111" spans="1:11" x14ac:dyDescent="0.25">
      <c r="A111" t="s">
        <v>34</v>
      </c>
      <c r="B111" t="str">
        <f t="shared" si="8"/>
        <v>select_one_q1_b73</v>
      </c>
      <c r="C111" t="s">
        <v>1749</v>
      </c>
      <c r="E111" t="str">
        <f t="shared" si="9"/>
        <v>B73. autocomplete</v>
      </c>
      <c r="F111" t="str">
        <f t="shared" si="10"/>
        <v>select_one q1</v>
      </c>
      <c r="G111" t="str">
        <f t="shared" si="11"/>
        <v>B73. autocomplete</v>
      </c>
      <c r="H111" t="str">
        <f t="shared" si="12"/>
        <v>select_one q1</v>
      </c>
      <c r="J111" t="str">
        <f t="shared" si="7"/>
        <v>autocomplete</v>
      </c>
      <c r="K111" s="32" t="s">
        <v>1351</v>
      </c>
    </row>
    <row r="112" spans="1:11" x14ac:dyDescent="0.25">
      <c r="A112" t="s">
        <v>1304</v>
      </c>
      <c r="B112" t="str">
        <f t="shared" si="8"/>
        <v>select_one_q4_b74</v>
      </c>
      <c r="C112" t="s">
        <v>1750</v>
      </c>
      <c r="E112" t="str">
        <f t="shared" si="9"/>
        <v>B74. cover-flow('200','square')</v>
      </c>
      <c r="F112" t="str">
        <f t="shared" si="10"/>
        <v>select_one q4</v>
      </c>
      <c r="G112" t="str">
        <f t="shared" si="11"/>
        <v>B74. cover-flow('200','square')</v>
      </c>
      <c r="H112" t="str">
        <f t="shared" si="12"/>
        <v>select_one q4</v>
      </c>
      <c r="J112" t="str">
        <f t="shared" si="7"/>
        <v>cover-flow('200','square')</v>
      </c>
      <c r="K112" s="32" t="s">
        <v>1381</v>
      </c>
    </row>
    <row r="113" spans="1:11" x14ac:dyDescent="0.25">
      <c r="A113" t="s">
        <v>1304</v>
      </c>
      <c r="B113" t="str">
        <f t="shared" si="8"/>
        <v>select_one_q4_b75</v>
      </c>
      <c r="C113" t="s">
        <v>1751</v>
      </c>
      <c r="E113" t="str">
        <f t="shared" si="9"/>
        <v>B75. cover-flow('150','rectangle')</v>
      </c>
      <c r="F113" t="str">
        <f t="shared" si="10"/>
        <v>select_one q4</v>
      </c>
      <c r="G113" t="str">
        <f t="shared" si="11"/>
        <v>B75. cover-flow('150','rectangle')</v>
      </c>
      <c r="H113" t="str">
        <f t="shared" si="12"/>
        <v>select_one q4</v>
      </c>
      <c r="J113" t="str">
        <f t="shared" si="7"/>
        <v>cover-flow('150','rectangle')</v>
      </c>
      <c r="K113" s="32" t="s">
        <v>1382</v>
      </c>
    </row>
    <row r="114" spans="1:11" x14ac:dyDescent="0.25">
      <c r="A114" t="s">
        <v>39</v>
      </c>
      <c r="E114" t="str">
        <f t="shared" ref="E114:E131" si="13">CONCATENATE(PROPER(C114),". ",D114)</f>
        <v xml:space="preserve">. </v>
      </c>
      <c r="J114" t="str">
        <f t="shared" si="7"/>
        <v/>
      </c>
    </row>
    <row r="115" spans="1:11" x14ac:dyDescent="0.25">
      <c r="A115" t="s">
        <v>38</v>
      </c>
      <c r="B115" t="str">
        <f>CONCATENATE("bg_field_",C115)</f>
        <v>bg_field_ba</v>
      </c>
      <c r="C115" t="s">
        <v>545</v>
      </c>
      <c r="D115" t="s">
        <v>1015</v>
      </c>
      <c r="E115" t="str">
        <f t="shared" si="13"/>
        <v>Ba. SELECT_ONE quick prev</v>
      </c>
      <c r="G115" t="str">
        <f>CONCATENATE(PROPER(C115),". ",D115)</f>
        <v>Ba. SELECT_ONE quick prev</v>
      </c>
      <c r="J115" t="str">
        <f t="shared" si="7"/>
        <v>field-list</v>
      </c>
      <c r="K115" t="s">
        <v>40</v>
      </c>
    </row>
    <row r="116" spans="1:11" x14ac:dyDescent="0.25">
      <c r="A116" t="s">
        <v>34</v>
      </c>
      <c r="B116" t="str">
        <f t="shared" ref="B116:B122" si="14">CONCATENATE(SUBSTITUTE(A116," ","_"),"_",C116)</f>
        <v>select_one_q1_ba1</v>
      </c>
      <c r="C116" t="s">
        <v>546</v>
      </c>
      <c r="E116" t="str">
        <f>CONCATENATE(PROPER(C116),". ",J116)</f>
        <v>Ba1. quick prev</v>
      </c>
      <c r="F116" t="str">
        <f t="shared" ref="F116:F122" si="15">A116</f>
        <v>select_one q1</v>
      </c>
      <c r="G116" t="str">
        <f>CONCATENATE(PROPER(C116),". ",J116)</f>
        <v>Ba1. quick prev</v>
      </c>
      <c r="H116" t="str">
        <f>A116</f>
        <v>select_one q1</v>
      </c>
      <c r="J116" t="str">
        <f t="shared" si="7"/>
        <v>quick prev</v>
      </c>
      <c r="K116" s="32" t="s">
        <v>153</v>
      </c>
    </row>
    <row r="117" spans="1:11" x14ac:dyDescent="0.25">
      <c r="A117" t="s">
        <v>34</v>
      </c>
      <c r="B117" t="str">
        <f t="shared" si="14"/>
        <v>select_one_q1_ba2</v>
      </c>
      <c r="C117" t="s">
        <v>547</v>
      </c>
      <c r="E117" t="str">
        <f t="shared" ref="E117:E119" si="16">CONCATENATE(PROPER(C117),". ",J117)</f>
        <v>Ba2. quick compact prev</v>
      </c>
      <c r="F117" t="str">
        <f t="shared" si="15"/>
        <v>select_one q1</v>
      </c>
      <c r="G117" t="str">
        <f t="shared" ref="G117:G119" si="17">CONCATENATE(PROPER(C117),". ",J117)</f>
        <v>Ba2. quick compact prev</v>
      </c>
      <c r="H117" t="str">
        <f t="shared" ref="H117:H122" si="18">A117</f>
        <v>select_one q1</v>
      </c>
      <c r="J117" t="str">
        <f t="shared" si="7"/>
        <v>quick compact prev</v>
      </c>
      <c r="K117" s="32" t="s">
        <v>154</v>
      </c>
    </row>
    <row r="118" spans="1:11" x14ac:dyDescent="0.25">
      <c r="A118" t="s">
        <v>34</v>
      </c>
      <c r="B118" t="str">
        <f t="shared" si="14"/>
        <v>select_one_q1_ba3</v>
      </c>
      <c r="C118" t="s">
        <v>548</v>
      </c>
      <c r="E118" t="str">
        <f t="shared" si="16"/>
        <v>Ba3. quick compact-3 prev</v>
      </c>
      <c r="F118" t="str">
        <f t="shared" si="15"/>
        <v>select_one q1</v>
      </c>
      <c r="G118" t="str">
        <f t="shared" si="17"/>
        <v>Ba3. quick compact-3 prev</v>
      </c>
      <c r="H118" t="str">
        <f t="shared" si="18"/>
        <v>select_one q1</v>
      </c>
      <c r="J118" t="str">
        <f t="shared" si="7"/>
        <v>quick compact-3 prev</v>
      </c>
      <c r="K118" s="32" t="s">
        <v>155</v>
      </c>
    </row>
    <row r="119" spans="1:11" x14ac:dyDescent="0.25">
      <c r="A119" t="s">
        <v>34</v>
      </c>
      <c r="B119" t="str">
        <f t="shared" si="14"/>
        <v>select_one_q1_ba4</v>
      </c>
      <c r="C119" t="s">
        <v>549</v>
      </c>
      <c r="E119" t="str">
        <f t="shared" si="16"/>
        <v>Ba4. quick compact-5</v>
      </c>
      <c r="F119" t="str">
        <f t="shared" si="15"/>
        <v>select_one q1</v>
      </c>
      <c r="G119" t="str">
        <f t="shared" si="17"/>
        <v>Ba4. quick compact-5</v>
      </c>
      <c r="H119" t="str">
        <f t="shared" si="18"/>
        <v>select_one q1</v>
      </c>
      <c r="J119" t="str">
        <f t="shared" si="7"/>
        <v>quick compact-5</v>
      </c>
      <c r="K119" s="32" t="s">
        <v>436</v>
      </c>
    </row>
    <row r="120" spans="1:11" x14ac:dyDescent="0.25">
      <c r="A120" t="s">
        <v>1293</v>
      </c>
      <c r="B120" t="str">
        <f t="shared" si="14"/>
        <v>select_one_q2_ba5</v>
      </c>
      <c r="C120" t="s">
        <v>1291</v>
      </c>
      <c r="D120" t="s">
        <v>1310</v>
      </c>
      <c r="E120" t="str">
        <f>CONCATENATE(PROPER(C120),". ",D120)</f>
        <v>Ba5. Audio media</v>
      </c>
      <c r="F120" t="str">
        <f t="shared" si="15"/>
        <v>select_one q2</v>
      </c>
      <c r="G120" t="str">
        <f>CONCATENATE(PROPER(C120),". ",D120)</f>
        <v>Ba5. Audio media</v>
      </c>
      <c r="H120" t="str">
        <f t="shared" si="18"/>
        <v>select_one q2</v>
      </c>
      <c r="J120" t="str">
        <f t="shared" si="7"/>
        <v/>
      </c>
    </row>
    <row r="121" spans="1:11" x14ac:dyDescent="0.25">
      <c r="A121" t="s">
        <v>1294</v>
      </c>
      <c r="B121" t="str">
        <f t="shared" si="14"/>
        <v>select_one_q3_ba6</v>
      </c>
      <c r="C121" t="s">
        <v>1292</v>
      </c>
      <c r="D121" t="s">
        <v>1311</v>
      </c>
      <c r="E121" t="str">
        <f t="shared" ref="E121:E122" si="19">CONCATENATE(PROPER(C121),". ",D121)</f>
        <v>Ba6. Video media</v>
      </c>
      <c r="F121" t="str">
        <f t="shared" si="15"/>
        <v>select_one q3</v>
      </c>
      <c r="G121" t="str">
        <f>CONCATENATE(PROPER(C121),". ",D121)</f>
        <v>Ba6. Video media</v>
      </c>
      <c r="H121" t="str">
        <f t="shared" si="18"/>
        <v>select_one q3</v>
      </c>
      <c r="J121" t="str">
        <f t="shared" si="7"/>
        <v/>
      </c>
    </row>
    <row r="122" spans="1:11" x14ac:dyDescent="0.25">
      <c r="A122" t="s">
        <v>1304</v>
      </c>
      <c r="B122" t="str">
        <f t="shared" si="14"/>
        <v>select_one_q4_ba7</v>
      </c>
      <c r="C122" t="s">
        <v>1303</v>
      </c>
      <c r="D122" t="s">
        <v>1312</v>
      </c>
      <c r="E122" t="str">
        <f t="shared" si="19"/>
        <v>Ba7. Image media</v>
      </c>
      <c r="F122" t="str">
        <f t="shared" si="15"/>
        <v>select_one q4</v>
      </c>
      <c r="G122" t="str">
        <f>CONCATENATE(PROPER(C122),". ",D122)</f>
        <v>Ba7. Image media</v>
      </c>
      <c r="H122" t="str">
        <f t="shared" si="18"/>
        <v>select_one q4</v>
      </c>
      <c r="J122" t="str">
        <f>TRIM(CONCATENATE(K122," ",L122," ",M122))</f>
        <v/>
      </c>
    </row>
    <row r="123" spans="1:11" x14ac:dyDescent="0.25">
      <c r="A123" t="s">
        <v>39</v>
      </c>
      <c r="E123" t="str">
        <f t="shared" si="13"/>
        <v xml:space="preserve">. </v>
      </c>
      <c r="J123" t="str">
        <f t="shared" si="7"/>
        <v/>
      </c>
    </row>
    <row r="124" spans="1:11" x14ac:dyDescent="0.25">
      <c r="A124" t="s">
        <v>38</v>
      </c>
      <c r="B124" t="str">
        <f>CONCATENATE("bg_field_",C124)</f>
        <v>bg_field_bb</v>
      </c>
      <c r="C124" t="s">
        <v>1309</v>
      </c>
      <c r="D124" t="s">
        <v>1305</v>
      </c>
      <c r="E124" t="str">
        <f t="shared" si="13"/>
        <v>Bb. SELECT_ONE table-list</v>
      </c>
      <c r="G124" t="str">
        <f>CONCATENATE(PROPER(C124),". ",D124)</f>
        <v>Bb. SELECT_ONE table-list</v>
      </c>
      <c r="J124" t="str">
        <f t="shared" si="7"/>
        <v>table-list</v>
      </c>
      <c r="K124" t="s">
        <v>156</v>
      </c>
    </row>
    <row r="125" spans="1:11" x14ac:dyDescent="0.25">
      <c r="A125" t="s">
        <v>34</v>
      </c>
      <c r="B125" t="str">
        <f>CONCATENATE(SUBSTITUTE(A125," ","_"),"_",C125)</f>
        <v>select_one_q1_bb1</v>
      </c>
      <c r="C125" t="s">
        <v>1307</v>
      </c>
      <c r="E125" t="str">
        <f t="shared" si="13"/>
        <v xml:space="preserve">Bb1. </v>
      </c>
      <c r="F125" t="str">
        <f t="shared" ref="F125:F126" si="20">A125</f>
        <v>select_one q1</v>
      </c>
      <c r="G125" t="str">
        <f>CONCATENATE(PROPER(C125),". ",J125)</f>
        <v xml:space="preserve">Bb1. </v>
      </c>
      <c r="H125" t="str">
        <f t="shared" ref="H125:H126" si="21">A125</f>
        <v>select_one q1</v>
      </c>
      <c r="J125" t="str">
        <f t="shared" si="7"/>
        <v/>
      </c>
    </row>
    <row r="126" spans="1:11" x14ac:dyDescent="0.25">
      <c r="A126" t="s">
        <v>34</v>
      </c>
      <c r="B126" t="str">
        <f>CONCATENATE(SUBSTITUTE(A126," ","_"),"_",C126)</f>
        <v>select_one_q1_bb2</v>
      </c>
      <c r="C126" t="s">
        <v>1308</v>
      </c>
      <c r="E126" t="str">
        <f t="shared" si="13"/>
        <v xml:space="preserve">Bb2. </v>
      </c>
      <c r="F126" t="str">
        <f t="shared" si="20"/>
        <v>select_one q1</v>
      </c>
      <c r="G126" t="str">
        <f>CONCATENATE(PROPER(C126),". ",J126)</f>
        <v xml:space="preserve">Bb2. </v>
      </c>
      <c r="H126" t="str">
        <f t="shared" si="21"/>
        <v>select_one q1</v>
      </c>
      <c r="J126" t="str">
        <f t="shared" si="7"/>
        <v/>
      </c>
    </row>
    <row r="127" spans="1:11" x14ac:dyDescent="0.25">
      <c r="A127" t="s">
        <v>39</v>
      </c>
      <c r="E127" t="str">
        <f t="shared" si="13"/>
        <v xml:space="preserve">. </v>
      </c>
      <c r="J127" t="str">
        <f t="shared" si="7"/>
        <v/>
      </c>
    </row>
    <row r="128" spans="1:11" x14ac:dyDescent="0.25">
      <c r="A128" t="s">
        <v>39</v>
      </c>
      <c r="E128" t="str">
        <f t="shared" si="13"/>
        <v xml:space="preserve">. </v>
      </c>
      <c r="J128" t="str">
        <f t="shared" si="7"/>
        <v/>
      </c>
    </row>
    <row r="129" spans="1:18" x14ac:dyDescent="0.25">
      <c r="A129" t="s">
        <v>38</v>
      </c>
      <c r="B129" t="str">
        <f>CONCATENATE("bg_section_",C129)</f>
        <v>bg_section_c</v>
      </c>
      <c r="C129" t="s">
        <v>550</v>
      </c>
      <c r="D129" t="s">
        <v>411</v>
      </c>
      <c r="E129" t="str">
        <f t="shared" si="13"/>
        <v>C. SELECT_MULTIPLE appearance</v>
      </c>
      <c r="G129" t="str">
        <f>CONCATENATE(PROPER(C129),". ",D129)</f>
        <v>C. SELECT_MULTIPLE appearance</v>
      </c>
      <c r="J129" t="str">
        <f t="shared" si="7"/>
        <v>section</v>
      </c>
      <c r="K129" t="s">
        <v>43</v>
      </c>
      <c r="R129" t="s">
        <v>192</v>
      </c>
    </row>
    <row r="130" spans="1:18" x14ac:dyDescent="0.25">
      <c r="A130" t="s">
        <v>38</v>
      </c>
      <c r="B130" t="str">
        <f>CONCATENATE("bg_field_",C130)</f>
        <v>bg_field_c</v>
      </c>
      <c r="C130" t="s">
        <v>550</v>
      </c>
      <c r="D130" t="s">
        <v>411</v>
      </c>
      <c r="E130" t="str">
        <f t="shared" si="13"/>
        <v>C. SELECT_MULTIPLE appearance</v>
      </c>
      <c r="G130" t="str">
        <f>CONCATENATE(PROPER(C130),". ",D130)</f>
        <v>C. SELECT_MULTIPLE appearance</v>
      </c>
      <c r="J130" t="str">
        <f t="shared" si="7"/>
        <v>field-list</v>
      </c>
      <c r="K130" t="s">
        <v>40</v>
      </c>
    </row>
    <row r="131" spans="1:18" x14ac:dyDescent="0.25">
      <c r="A131" t="s">
        <v>37</v>
      </c>
      <c r="B131" t="str">
        <f>CONCATENATE(SUBSTITUTE(A131," ","_"),"_",C131)</f>
        <v>note_c</v>
      </c>
      <c r="C131" t="s">
        <v>550</v>
      </c>
      <c r="D131" t="s">
        <v>995</v>
      </c>
      <c r="E131" t="str">
        <f t="shared" si="13"/>
        <v>C. SELECT MULTIPLE</v>
      </c>
      <c r="F131" t="s">
        <v>1000</v>
      </c>
      <c r="G131" t="s">
        <v>141</v>
      </c>
      <c r="H131" t="s">
        <v>1000</v>
      </c>
      <c r="J131" t="str">
        <f t="shared" si="7"/>
        <v/>
      </c>
    </row>
    <row r="132" spans="1:18" x14ac:dyDescent="0.25">
      <c r="A132" t="s">
        <v>35</v>
      </c>
      <c r="B132" t="str">
        <f t="shared" ref="B132:B195" si="22">CONCATENATE(SUBSTITUTE(A132," ","_"),"_",C132)</f>
        <v>select_multiple_q1_c1</v>
      </c>
      <c r="C132" t="s">
        <v>551</v>
      </c>
      <c r="E132" t="str">
        <f t="shared" ref="E132:E195" si="23">CONCATENATE(PROPER(C132),". ",J132)</f>
        <v>C1. top[5]</v>
      </c>
      <c r="F132" t="str">
        <f t="shared" ref="F132:F195" si="24">A132</f>
        <v>select_multiple q1</v>
      </c>
      <c r="G132" t="str">
        <f t="shared" ref="G132:G195" si="25">CONCATENATE(PROPER(C132),". ",J132)</f>
        <v>C1. top[5]</v>
      </c>
      <c r="H132" t="str">
        <f t="shared" ref="H132:H195" si="26">A132</f>
        <v>select_multiple q1</v>
      </c>
      <c r="J132" t="str">
        <f t="shared" si="7"/>
        <v>top[5]</v>
      </c>
      <c r="K132" s="32" t="s">
        <v>250</v>
      </c>
    </row>
    <row r="133" spans="1:18" x14ac:dyDescent="0.25">
      <c r="A133" t="s">
        <v>35</v>
      </c>
      <c r="B133" t="str">
        <f t="shared" si="22"/>
        <v>select_multiple_q1_c2</v>
      </c>
      <c r="C133" t="s">
        <v>552</v>
      </c>
      <c r="E133" t="str">
        <f t="shared" si="23"/>
        <v>C2. label</v>
      </c>
      <c r="F133" t="str">
        <f t="shared" si="24"/>
        <v>select_multiple q1</v>
      </c>
      <c r="G133" t="str">
        <f t="shared" si="25"/>
        <v>C2. label</v>
      </c>
      <c r="H133" t="str">
        <f t="shared" si="26"/>
        <v>select_multiple q1</v>
      </c>
      <c r="J133" t="str">
        <f t="shared" si="7"/>
        <v>label</v>
      </c>
      <c r="K133" s="32" t="s">
        <v>139</v>
      </c>
    </row>
    <row r="134" spans="1:18" x14ac:dyDescent="0.25">
      <c r="A134" t="s">
        <v>35</v>
      </c>
      <c r="B134" t="str">
        <f t="shared" si="22"/>
        <v>select_multiple_q1_c3</v>
      </c>
      <c r="C134" t="s">
        <v>553</v>
      </c>
      <c r="E134" t="str">
        <f t="shared" si="23"/>
        <v>C3. list-nolabel</v>
      </c>
      <c r="F134" t="str">
        <f t="shared" si="24"/>
        <v>select_multiple q1</v>
      </c>
      <c r="G134" t="str">
        <f t="shared" si="25"/>
        <v>C3. list-nolabel</v>
      </c>
      <c r="H134" t="str">
        <f t="shared" si="26"/>
        <v>select_multiple q1</v>
      </c>
      <c r="J134" t="str">
        <f t="shared" si="7"/>
        <v>list-nolabel</v>
      </c>
      <c r="K134" s="32" t="s">
        <v>79</v>
      </c>
    </row>
    <row r="135" spans="1:18" x14ac:dyDescent="0.25">
      <c r="A135" t="s">
        <v>35</v>
      </c>
      <c r="B135" t="str">
        <f t="shared" si="22"/>
        <v>select_multiple_q1_c4</v>
      </c>
      <c r="C135" t="s">
        <v>554</v>
      </c>
      <c r="E135" t="str">
        <f t="shared" si="23"/>
        <v>C4. checkall</v>
      </c>
      <c r="F135" t="str">
        <f t="shared" si="24"/>
        <v>select_multiple q1</v>
      </c>
      <c r="G135" t="str">
        <f t="shared" si="25"/>
        <v>C4. checkall</v>
      </c>
      <c r="H135" t="str">
        <f t="shared" si="26"/>
        <v>select_multiple q1</v>
      </c>
      <c r="J135" t="str">
        <f t="shared" si="7"/>
        <v>checkall</v>
      </c>
      <c r="K135" s="32" t="s">
        <v>142</v>
      </c>
    </row>
    <row r="136" spans="1:18" x14ac:dyDescent="0.25">
      <c r="A136" t="s">
        <v>35</v>
      </c>
      <c r="B136" t="str">
        <f t="shared" si="22"/>
        <v>select_multiple_q1_c5</v>
      </c>
      <c r="C136" t="s">
        <v>555</v>
      </c>
      <c r="E136" t="str">
        <f t="shared" si="23"/>
        <v>C5. checkall(hide)</v>
      </c>
      <c r="F136" t="str">
        <f t="shared" si="24"/>
        <v>select_multiple q1</v>
      </c>
      <c r="G136" t="str">
        <f t="shared" si="25"/>
        <v>C5. checkall(hide)</v>
      </c>
      <c r="H136" t="str">
        <f t="shared" si="26"/>
        <v>select_multiple q1</v>
      </c>
      <c r="J136" t="str">
        <f t="shared" si="7"/>
        <v>checkall(hide)</v>
      </c>
      <c r="K136" s="32" t="s">
        <v>143</v>
      </c>
    </row>
    <row r="137" spans="1:18" x14ac:dyDescent="0.25">
      <c r="A137" t="s">
        <v>35</v>
      </c>
      <c r="B137" t="str">
        <f t="shared" si="22"/>
        <v>select_multiple_q1_c6</v>
      </c>
      <c r="C137" t="s">
        <v>556</v>
      </c>
      <c r="E137" t="str">
        <f t="shared" si="23"/>
        <v>C6. minimal</v>
      </c>
      <c r="F137" t="str">
        <f t="shared" si="24"/>
        <v>select_multiple q1</v>
      </c>
      <c r="G137" t="str">
        <f t="shared" si="25"/>
        <v>C6. minimal</v>
      </c>
      <c r="H137" t="str">
        <f t="shared" si="26"/>
        <v>select_multiple q1</v>
      </c>
      <c r="J137" t="str">
        <f t="shared" si="7"/>
        <v>minimal</v>
      </c>
      <c r="K137" s="32" t="s">
        <v>129</v>
      </c>
    </row>
    <row r="138" spans="1:18" x14ac:dyDescent="0.25">
      <c r="A138" t="s">
        <v>35</v>
      </c>
      <c r="B138" t="str">
        <f t="shared" si="22"/>
        <v>select_multiple_q1_c7</v>
      </c>
      <c r="C138" t="s">
        <v>557</v>
      </c>
      <c r="E138" t="str">
        <f t="shared" si="23"/>
        <v>C7. minimal &lt;#0099FF/&gt;</v>
      </c>
      <c r="F138" t="str">
        <f t="shared" si="24"/>
        <v>select_multiple q1</v>
      </c>
      <c r="G138" t="str">
        <f t="shared" si="25"/>
        <v>C7. minimal &lt;#0099FF/&gt;</v>
      </c>
      <c r="H138" t="str">
        <f t="shared" si="26"/>
        <v>select_multiple q1</v>
      </c>
      <c r="J138" t="str">
        <f t="shared" si="7"/>
        <v>minimal &lt;#0099FF/&gt;</v>
      </c>
      <c r="K138" s="32" t="s">
        <v>129</v>
      </c>
      <c r="L138" t="s">
        <v>1083</v>
      </c>
    </row>
    <row r="139" spans="1:18" x14ac:dyDescent="0.25">
      <c r="A139" t="s">
        <v>35</v>
      </c>
      <c r="B139" t="str">
        <f t="shared" si="22"/>
        <v>select_multiple_q1_c8</v>
      </c>
      <c r="C139" t="s">
        <v>558</v>
      </c>
      <c r="E139" t="str">
        <f t="shared" si="23"/>
        <v>C8. minimal-f6f6f6-0099FF-737373-ffffff</v>
      </c>
      <c r="F139" t="str">
        <f t="shared" si="24"/>
        <v>select_multiple q1</v>
      </c>
      <c r="G139" t="str">
        <f t="shared" si="25"/>
        <v>C8. minimal-f6f6f6-0099FF-737373-ffffff</v>
      </c>
      <c r="H139" t="str">
        <f t="shared" si="26"/>
        <v>select_multiple q1</v>
      </c>
      <c r="J139" t="str">
        <f t="shared" si="7"/>
        <v>minimal-f6f6f6-0099FF-737373-ffffff</v>
      </c>
      <c r="K139" s="32" t="s">
        <v>450</v>
      </c>
    </row>
    <row r="140" spans="1:18" x14ac:dyDescent="0.25">
      <c r="A140" t="s">
        <v>35</v>
      </c>
      <c r="B140" t="str">
        <f t="shared" si="22"/>
        <v>select_multiple_q1_c9</v>
      </c>
      <c r="C140" t="s">
        <v>559</v>
      </c>
      <c r="E140" t="str">
        <f t="shared" si="23"/>
        <v>C9. compact</v>
      </c>
      <c r="F140" t="str">
        <f t="shared" si="24"/>
        <v>select_multiple q1</v>
      </c>
      <c r="G140" t="str">
        <f t="shared" si="25"/>
        <v>C9. compact</v>
      </c>
      <c r="H140" t="str">
        <f t="shared" si="26"/>
        <v>select_multiple q1</v>
      </c>
      <c r="J140" t="str">
        <f t="shared" si="7"/>
        <v>compact</v>
      </c>
      <c r="K140" s="32" t="s">
        <v>130</v>
      </c>
    </row>
    <row r="141" spans="1:18" x14ac:dyDescent="0.25">
      <c r="A141" t="s">
        <v>35</v>
      </c>
      <c r="B141" t="str">
        <f t="shared" si="22"/>
        <v>select_multiple_q1_c10</v>
      </c>
      <c r="C141" t="s">
        <v>560</v>
      </c>
      <c r="E141" t="str">
        <f t="shared" si="23"/>
        <v>C10. compact-5</v>
      </c>
      <c r="F141" t="str">
        <f t="shared" si="24"/>
        <v>select_multiple q1</v>
      </c>
      <c r="G141" t="str">
        <f t="shared" si="25"/>
        <v>C10. compact-5</v>
      </c>
      <c r="H141" t="str">
        <f t="shared" si="26"/>
        <v>select_multiple q1</v>
      </c>
      <c r="J141" t="str">
        <f t="shared" si="7"/>
        <v>compact-5</v>
      </c>
      <c r="K141" s="32" t="s">
        <v>186</v>
      </c>
    </row>
    <row r="142" spans="1:18" x14ac:dyDescent="0.25">
      <c r="A142" t="s">
        <v>35</v>
      </c>
      <c r="B142" t="str">
        <f t="shared" si="22"/>
        <v>select_multiple_q1_c11</v>
      </c>
      <c r="C142" t="s">
        <v>561</v>
      </c>
      <c r="E142" t="str">
        <f t="shared" si="23"/>
        <v>C11. rating_box</v>
      </c>
      <c r="F142" t="str">
        <f t="shared" si="24"/>
        <v>select_multiple q1</v>
      </c>
      <c r="G142" t="str">
        <f t="shared" si="25"/>
        <v>C11. rating_box</v>
      </c>
      <c r="H142" t="str">
        <f t="shared" si="26"/>
        <v>select_multiple q1</v>
      </c>
      <c r="J142" t="str">
        <f t="shared" si="7"/>
        <v>rating_box</v>
      </c>
      <c r="K142" s="32" t="s">
        <v>134</v>
      </c>
    </row>
    <row r="143" spans="1:18" x14ac:dyDescent="0.25">
      <c r="A143" t="s">
        <v>35</v>
      </c>
      <c r="B143" t="str">
        <f t="shared" si="22"/>
        <v>select_multiple_q1_c12</v>
      </c>
      <c r="C143" t="s">
        <v>562</v>
      </c>
      <c r="E143" t="str">
        <f t="shared" si="23"/>
        <v>C12. rating_box-fill</v>
      </c>
      <c r="F143" t="str">
        <f t="shared" si="24"/>
        <v>select_multiple q1</v>
      </c>
      <c r="G143" t="str">
        <f t="shared" si="25"/>
        <v>C12. rating_box-fill</v>
      </c>
      <c r="H143" t="str">
        <f t="shared" si="26"/>
        <v>select_multiple q1</v>
      </c>
      <c r="J143" t="str">
        <f t="shared" si="7"/>
        <v>rating_box-fill</v>
      </c>
      <c r="K143" s="32" t="s">
        <v>136</v>
      </c>
    </row>
    <row r="144" spans="1:18" x14ac:dyDescent="0.25">
      <c r="A144" t="s">
        <v>35</v>
      </c>
      <c r="B144" t="str">
        <f t="shared" si="22"/>
        <v>select_multiple_q1_c13</v>
      </c>
      <c r="C144" t="s">
        <v>563</v>
      </c>
      <c r="E144" t="str">
        <f t="shared" si="23"/>
        <v>C13. D4E4FD-3D84EF-rating_box</v>
      </c>
      <c r="F144" t="str">
        <f t="shared" si="24"/>
        <v>select_multiple q1</v>
      </c>
      <c r="G144" t="str">
        <f t="shared" si="25"/>
        <v>C13. D4E4FD-3D84EF-rating_box</v>
      </c>
      <c r="H144" t="str">
        <f t="shared" si="26"/>
        <v>select_multiple q1</v>
      </c>
      <c r="J144" t="str">
        <f t="shared" si="7"/>
        <v>D4E4FD-3D84EF-rating_box</v>
      </c>
      <c r="K144" s="32" t="s">
        <v>135</v>
      </c>
    </row>
    <row r="145" spans="1:11" x14ac:dyDescent="0.25">
      <c r="A145" t="s">
        <v>35</v>
      </c>
      <c r="B145" t="str">
        <f t="shared" si="22"/>
        <v>select_multiple_q1_c14</v>
      </c>
      <c r="C145" t="s">
        <v>564</v>
      </c>
      <c r="E145" t="str">
        <f t="shared" si="23"/>
        <v>C14. D4E4FD-3D84EF-rating_box-fill</v>
      </c>
      <c r="F145" t="str">
        <f t="shared" si="24"/>
        <v>select_multiple q1</v>
      </c>
      <c r="G145" t="str">
        <f t="shared" si="25"/>
        <v>C14. D4E4FD-3D84EF-rating_box-fill</v>
      </c>
      <c r="H145" t="str">
        <f t="shared" si="26"/>
        <v>select_multiple q1</v>
      </c>
      <c r="J145" t="str">
        <f t="shared" si="7"/>
        <v>D4E4FD-3D84EF-rating_box-fill</v>
      </c>
      <c r="K145" s="32" t="s">
        <v>137</v>
      </c>
    </row>
    <row r="146" spans="1:11" x14ac:dyDescent="0.25">
      <c r="A146" t="s">
        <v>35</v>
      </c>
      <c r="B146" t="str">
        <f t="shared" si="22"/>
        <v>select_multiple_q1_c15</v>
      </c>
      <c r="C146" t="s">
        <v>565</v>
      </c>
      <c r="E146" t="str">
        <f t="shared" si="23"/>
        <v>C15. rating_box-f6f6f6-0099FF-737373-EB4889</v>
      </c>
      <c r="F146" t="str">
        <f t="shared" si="24"/>
        <v>select_multiple q1</v>
      </c>
      <c r="G146" t="str">
        <f t="shared" si="25"/>
        <v>C15. rating_box-f6f6f6-0099FF-737373-EB4889</v>
      </c>
      <c r="H146" t="str">
        <f t="shared" si="26"/>
        <v>select_multiple q1</v>
      </c>
      <c r="J146" t="str">
        <f t="shared" si="7"/>
        <v>rating_box-f6f6f6-0099FF-737373-EB4889</v>
      </c>
      <c r="K146" s="32" t="s">
        <v>451</v>
      </c>
    </row>
    <row r="147" spans="1:11" x14ac:dyDescent="0.25">
      <c r="A147" t="s">
        <v>35</v>
      </c>
      <c r="B147" t="str">
        <f t="shared" si="22"/>
        <v>select_multiple_q1_c16</v>
      </c>
      <c r="C147" t="s">
        <v>566</v>
      </c>
      <c r="E147" t="str">
        <f t="shared" si="23"/>
        <v>C16. rating_box-fill-f6f6f6-0099FF-737373-ffffff</v>
      </c>
      <c r="F147" t="str">
        <f t="shared" si="24"/>
        <v>select_multiple q1</v>
      </c>
      <c r="G147" t="str">
        <f t="shared" si="25"/>
        <v>C16. rating_box-fill-f6f6f6-0099FF-737373-ffffff</v>
      </c>
      <c r="H147" t="str">
        <f t="shared" si="26"/>
        <v>select_multiple q1</v>
      </c>
      <c r="J147" t="str">
        <f t="shared" si="7"/>
        <v>rating_box-fill-f6f6f6-0099FF-737373-ffffff</v>
      </c>
      <c r="K147" s="32" t="s">
        <v>452</v>
      </c>
    </row>
    <row r="148" spans="1:11" x14ac:dyDescent="0.25">
      <c r="A148" t="s">
        <v>35</v>
      </c>
      <c r="B148" t="str">
        <f t="shared" si="22"/>
        <v>select_multiple_q1_c17</v>
      </c>
      <c r="C148" t="s">
        <v>567</v>
      </c>
      <c r="E148" t="str">
        <f t="shared" si="23"/>
        <v>C17. boxtag</v>
      </c>
      <c r="F148" t="str">
        <f t="shared" si="24"/>
        <v>select_multiple q1</v>
      </c>
      <c r="G148" t="str">
        <f t="shared" si="25"/>
        <v>C17. boxtag</v>
      </c>
      <c r="H148" t="str">
        <f t="shared" si="26"/>
        <v>select_multiple q1</v>
      </c>
      <c r="J148" t="str">
        <f t="shared" si="7"/>
        <v>boxtag</v>
      </c>
      <c r="K148" s="32" t="s">
        <v>386</v>
      </c>
    </row>
    <row r="149" spans="1:11" x14ac:dyDescent="0.25">
      <c r="A149" t="s">
        <v>35</v>
      </c>
      <c r="B149" t="str">
        <f t="shared" si="22"/>
        <v>select_multiple_q1_c18</v>
      </c>
      <c r="C149" t="s">
        <v>568</v>
      </c>
      <c r="E149" t="str">
        <f t="shared" si="23"/>
        <v>C18. boxtag-fill</v>
      </c>
      <c r="F149" t="str">
        <f t="shared" si="24"/>
        <v>select_multiple q1</v>
      </c>
      <c r="G149" t="str">
        <f t="shared" si="25"/>
        <v>C18. boxtag-fill</v>
      </c>
      <c r="H149" t="str">
        <f t="shared" si="26"/>
        <v>select_multiple q1</v>
      </c>
      <c r="J149" t="str">
        <f t="shared" si="7"/>
        <v>boxtag-fill</v>
      </c>
      <c r="K149" s="32" t="s">
        <v>387</v>
      </c>
    </row>
    <row r="150" spans="1:11" x14ac:dyDescent="0.25">
      <c r="A150" t="s">
        <v>35</v>
      </c>
      <c r="B150" t="str">
        <f t="shared" si="22"/>
        <v>select_multiple_q1_c19</v>
      </c>
      <c r="C150" t="s">
        <v>569</v>
      </c>
      <c r="E150" t="str">
        <f t="shared" si="23"/>
        <v>C19. 9B5CF4-D4E4FD-3D84EF-boxtag</v>
      </c>
      <c r="F150" t="str">
        <f t="shared" si="24"/>
        <v>select_multiple q1</v>
      </c>
      <c r="G150" t="str">
        <f t="shared" si="25"/>
        <v>C19. 9B5CF4-D4E4FD-3D84EF-boxtag</v>
      </c>
      <c r="H150" t="str">
        <f t="shared" si="26"/>
        <v>select_multiple q1</v>
      </c>
      <c r="J150" t="str">
        <f t="shared" si="7"/>
        <v>9B5CF4-D4E4FD-3D84EF-boxtag</v>
      </c>
      <c r="K150" s="32" t="s">
        <v>173</v>
      </c>
    </row>
    <row r="151" spans="1:11" x14ac:dyDescent="0.25">
      <c r="A151" t="s">
        <v>35</v>
      </c>
      <c r="B151" t="str">
        <f t="shared" si="22"/>
        <v>select_multiple_q1_c20</v>
      </c>
      <c r="C151" t="s">
        <v>570</v>
      </c>
      <c r="E151" t="str">
        <f t="shared" si="23"/>
        <v>C20. 9B5CF4-D4E4FD-3D84EF-boxtag-fill</v>
      </c>
      <c r="F151" t="str">
        <f t="shared" si="24"/>
        <v>select_multiple q1</v>
      </c>
      <c r="G151" t="str">
        <f t="shared" si="25"/>
        <v>C20. 9B5CF4-D4E4FD-3D84EF-boxtag-fill</v>
      </c>
      <c r="H151" t="str">
        <f t="shared" si="26"/>
        <v>select_multiple q1</v>
      </c>
      <c r="J151" t="str">
        <f t="shared" si="7"/>
        <v>9B5CF4-D4E4FD-3D84EF-boxtag-fill</v>
      </c>
      <c r="K151" s="32" t="s">
        <v>175</v>
      </c>
    </row>
    <row r="152" spans="1:11" x14ac:dyDescent="0.25">
      <c r="A152" t="s">
        <v>35</v>
      </c>
      <c r="B152" t="str">
        <f t="shared" si="22"/>
        <v>select_multiple_q1_c21</v>
      </c>
      <c r="C152" t="s">
        <v>571</v>
      </c>
      <c r="E152" t="str">
        <f t="shared" si="23"/>
        <v>C21. boxtag-F6CEEC-f6f6f6-0099FF-737373-EB4889</v>
      </c>
      <c r="F152" t="str">
        <f t="shared" si="24"/>
        <v>select_multiple q1</v>
      </c>
      <c r="G152" t="str">
        <f t="shared" si="25"/>
        <v>C21. boxtag-F6CEEC-f6f6f6-0099FF-737373-EB4889</v>
      </c>
      <c r="H152" t="str">
        <f t="shared" si="26"/>
        <v>select_multiple q1</v>
      </c>
      <c r="J152" t="str">
        <f t="shared" si="7"/>
        <v>boxtag-F6CEEC-f6f6f6-0099FF-737373-EB4889</v>
      </c>
      <c r="K152" s="32" t="s">
        <v>453</v>
      </c>
    </row>
    <row r="153" spans="1:11" x14ac:dyDescent="0.25">
      <c r="A153" t="s">
        <v>35</v>
      </c>
      <c r="B153" t="str">
        <f t="shared" si="22"/>
        <v>select_multiple_q1_c22</v>
      </c>
      <c r="C153" t="s">
        <v>572</v>
      </c>
      <c r="E153" t="str">
        <f t="shared" si="23"/>
        <v>C22. boxtag-fill-F6CEEC-f6f6f6-0099FF-737373-ffffff</v>
      </c>
      <c r="F153" t="str">
        <f t="shared" si="24"/>
        <v>select_multiple q1</v>
      </c>
      <c r="G153" t="str">
        <f t="shared" si="25"/>
        <v>C22. boxtag-fill-F6CEEC-f6f6f6-0099FF-737373-ffffff</v>
      </c>
      <c r="H153" t="str">
        <f t="shared" si="26"/>
        <v>select_multiple q1</v>
      </c>
      <c r="J153" t="str">
        <f t="shared" si="7"/>
        <v>boxtag-fill-F6CEEC-f6f6f6-0099FF-737373-ffffff</v>
      </c>
      <c r="K153" s="32" t="s">
        <v>454</v>
      </c>
    </row>
    <row r="154" spans="1:11" x14ac:dyDescent="0.25">
      <c r="A154" t="s">
        <v>35</v>
      </c>
      <c r="B154" t="str">
        <f t="shared" si="22"/>
        <v>select_multiple_q1_c23</v>
      </c>
      <c r="C154" t="s">
        <v>573</v>
      </c>
      <c r="E154" t="str">
        <f t="shared" si="23"/>
        <v>C23. boxtag-search</v>
      </c>
      <c r="F154" t="str">
        <f t="shared" si="24"/>
        <v>select_multiple q1</v>
      </c>
      <c r="G154" t="str">
        <f t="shared" si="25"/>
        <v>C23. boxtag-search</v>
      </c>
      <c r="H154" t="str">
        <f t="shared" si="26"/>
        <v>select_multiple q1</v>
      </c>
      <c r="J154" t="str">
        <f t="shared" si="7"/>
        <v>boxtag-search</v>
      </c>
      <c r="K154" s="32" t="s">
        <v>388</v>
      </c>
    </row>
    <row r="155" spans="1:11" x14ac:dyDescent="0.25">
      <c r="A155" t="s">
        <v>35</v>
      </c>
      <c r="B155" t="str">
        <f t="shared" si="22"/>
        <v>select_multiple_q1_c24</v>
      </c>
      <c r="C155" t="s">
        <v>574</v>
      </c>
      <c r="E155" t="str">
        <f t="shared" si="23"/>
        <v>C24. boxtag-search-fill</v>
      </c>
      <c r="F155" t="str">
        <f t="shared" si="24"/>
        <v>select_multiple q1</v>
      </c>
      <c r="G155" t="str">
        <f t="shared" si="25"/>
        <v>C24. boxtag-search-fill</v>
      </c>
      <c r="H155" t="str">
        <f t="shared" si="26"/>
        <v>select_multiple q1</v>
      </c>
      <c r="J155" t="str">
        <f t="shared" si="7"/>
        <v>boxtag-search-fill</v>
      </c>
      <c r="K155" s="32" t="s">
        <v>389</v>
      </c>
    </row>
    <row r="156" spans="1:11" x14ac:dyDescent="0.25">
      <c r="A156" t="s">
        <v>35</v>
      </c>
      <c r="B156" t="str">
        <f t="shared" si="22"/>
        <v>select_multiple_q1_c25</v>
      </c>
      <c r="C156" t="s">
        <v>575</v>
      </c>
      <c r="E156" t="str">
        <f t="shared" si="23"/>
        <v>C25. 9B5CF4-D4E4FD-3D84EF-boxtag-search</v>
      </c>
      <c r="F156" t="str">
        <f t="shared" si="24"/>
        <v>select_multiple q1</v>
      </c>
      <c r="G156" t="str">
        <f t="shared" si="25"/>
        <v>C25. 9B5CF4-D4E4FD-3D84EF-boxtag-search</v>
      </c>
      <c r="H156" t="str">
        <f t="shared" si="26"/>
        <v>select_multiple q1</v>
      </c>
      <c r="J156" t="str">
        <f t="shared" si="7"/>
        <v>9B5CF4-D4E4FD-3D84EF-boxtag-search</v>
      </c>
      <c r="K156" s="32" t="s">
        <v>174</v>
      </c>
    </row>
    <row r="157" spans="1:11" x14ac:dyDescent="0.25">
      <c r="A157" t="s">
        <v>35</v>
      </c>
      <c r="B157" t="str">
        <f t="shared" si="22"/>
        <v>select_multiple_q1_c26</v>
      </c>
      <c r="C157" t="s">
        <v>576</v>
      </c>
      <c r="E157" t="str">
        <f t="shared" si="23"/>
        <v>C26. 9B5CF4-D4E4FD-3D84EF-boxtag-search-fill</v>
      </c>
      <c r="F157" t="str">
        <f t="shared" si="24"/>
        <v>select_multiple q1</v>
      </c>
      <c r="G157" t="str">
        <f t="shared" si="25"/>
        <v>C26. 9B5CF4-D4E4FD-3D84EF-boxtag-search-fill</v>
      </c>
      <c r="H157" t="str">
        <f t="shared" si="26"/>
        <v>select_multiple q1</v>
      </c>
      <c r="J157" t="str">
        <f t="shared" si="7"/>
        <v>9B5CF4-D4E4FD-3D84EF-boxtag-search-fill</v>
      </c>
      <c r="K157" s="32" t="s">
        <v>176</v>
      </c>
    </row>
    <row r="158" spans="1:11" x14ac:dyDescent="0.25">
      <c r="A158" t="s">
        <v>35</v>
      </c>
      <c r="B158" t="str">
        <f t="shared" si="22"/>
        <v>select_multiple_q1_c27</v>
      </c>
      <c r="C158" t="s">
        <v>577</v>
      </c>
      <c r="E158" t="str">
        <f t="shared" si="23"/>
        <v>C27. boxtag-search-F6CEEC-f6f6f6-0099FF-737373-EB4889</v>
      </c>
      <c r="F158" t="str">
        <f t="shared" si="24"/>
        <v>select_multiple q1</v>
      </c>
      <c r="G158" t="str">
        <f t="shared" si="25"/>
        <v>C27. boxtag-search-F6CEEC-f6f6f6-0099FF-737373-EB4889</v>
      </c>
      <c r="H158" t="str">
        <f t="shared" si="26"/>
        <v>select_multiple q1</v>
      </c>
      <c r="J158" t="str">
        <f t="shared" si="7"/>
        <v>boxtag-search-F6CEEC-f6f6f6-0099FF-737373-EB4889</v>
      </c>
      <c r="K158" s="32" t="s">
        <v>455</v>
      </c>
    </row>
    <row r="159" spans="1:11" x14ac:dyDescent="0.25">
      <c r="A159" t="s">
        <v>35</v>
      </c>
      <c r="B159" t="str">
        <f t="shared" si="22"/>
        <v>select_multiple_q1_c28</v>
      </c>
      <c r="C159" t="s">
        <v>578</v>
      </c>
      <c r="E159" t="str">
        <f t="shared" si="23"/>
        <v>C28. boxtag-search-fill-F6CEEC-f6f6f6-0099FF-737373-ffffff</v>
      </c>
      <c r="F159" t="str">
        <f t="shared" si="24"/>
        <v>select_multiple q1</v>
      </c>
      <c r="G159" t="str">
        <f t="shared" si="25"/>
        <v>C28. boxtag-search-fill-F6CEEC-f6f6f6-0099FF-737373-ffffff</v>
      </c>
      <c r="H159" t="str">
        <f t="shared" si="26"/>
        <v>select_multiple q1</v>
      </c>
      <c r="J159" t="str">
        <f t="shared" si="7"/>
        <v>boxtag-search-fill-F6CEEC-f6f6f6-0099FF-737373-ffffff</v>
      </c>
      <c r="K159" s="32" t="s">
        <v>456</v>
      </c>
    </row>
    <row r="160" spans="1:11" x14ac:dyDescent="0.25">
      <c r="A160" t="s">
        <v>35</v>
      </c>
      <c r="B160" t="str">
        <f t="shared" si="22"/>
        <v>select_multiple_q1_c29</v>
      </c>
      <c r="C160" t="s">
        <v>579</v>
      </c>
      <c r="E160" t="str">
        <f t="shared" si="23"/>
        <v>C29. boxtag-choices-noshow</v>
      </c>
      <c r="F160" t="str">
        <f t="shared" si="24"/>
        <v>select_multiple q1</v>
      </c>
      <c r="G160" t="str">
        <f t="shared" si="25"/>
        <v>C29. boxtag-choices-noshow</v>
      </c>
      <c r="H160" t="str">
        <f t="shared" si="26"/>
        <v>select_multiple q1</v>
      </c>
      <c r="J160" t="str">
        <f t="shared" si="7"/>
        <v>boxtag-choices-noshow</v>
      </c>
      <c r="K160" s="32" t="s">
        <v>390</v>
      </c>
    </row>
    <row r="161" spans="1:11" x14ac:dyDescent="0.25">
      <c r="A161" t="s">
        <v>35</v>
      </c>
      <c r="B161" t="str">
        <f t="shared" si="22"/>
        <v>select_multiple_q1_c30</v>
      </c>
      <c r="C161" t="s">
        <v>580</v>
      </c>
      <c r="E161" t="str">
        <f t="shared" si="23"/>
        <v>C30. boxtag-choices-noshow-fill</v>
      </c>
      <c r="F161" t="str">
        <f t="shared" si="24"/>
        <v>select_multiple q1</v>
      </c>
      <c r="G161" t="str">
        <f t="shared" si="25"/>
        <v>C30. boxtag-choices-noshow-fill</v>
      </c>
      <c r="H161" t="str">
        <f t="shared" si="26"/>
        <v>select_multiple q1</v>
      </c>
      <c r="J161" t="str">
        <f t="shared" ref="J161:J224" si="27">TRIM(CONCATENATE(K161," ",L161," ",M161))</f>
        <v>boxtag-choices-noshow-fill</v>
      </c>
      <c r="K161" s="32" t="s">
        <v>391</v>
      </c>
    </row>
    <row r="162" spans="1:11" x14ac:dyDescent="0.25">
      <c r="A162" t="s">
        <v>35</v>
      </c>
      <c r="B162" t="str">
        <f t="shared" si="22"/>
        <v>select_multiple_q1_c31</v>
      </c>
      <c r="C162" t="s">
        <v>581</v>
      </c>
      <c r="E162" t="str">
        <f t="shared" si="23"/>
        <v>C31. 9B5CF4-D4E4FD-3D84EF-boxtag-choices-noshow</v>
      </c>
      <c r="F162" t="str">
        <f t="shared" si="24"/>
        <v>select_multiple q1</v>
      </c>
      <c r="G162" t="str">
        <f t="shared" si="25"/>
        <v>C31. 9B5CF4-D4E4FD-3D84EF-boxtag-choices-noshow</v>
      </c>
      <c r="H162" t="str">
        <f t="shared" si="26"/>
        <v>select_multiple q1</v>
      </c>
      <c r="J162" t="str">
        <f t="shared" si="27"/>
        <v>9B5CF4-D4E4FD-3D84EF-boxtag-choices-noshow</v>
      </c>
      <c r="K162" s="32" t="s">
        <v>177</v>
      </c>
    </row>
    <row r="163" spans="1:11" x14ac:dyDescent="0.25">
      <c r="A163" t="s">
        <v>35</v>
      </c>
      <c r="B163" t="str">
        <f t="shared" si="22"/>
        <v>select_multiple_q1_c32</v>
      </c>
      <c r="C163" t="s">
        <v>582</v>
      </c>
      <c r="E163" t="str">
        <f t="shared" si="23"/>
        <v>C32. 9B5CF4-D4E4FD-3D84EF-boxtag-choices-noshow-fill</v>
      </c>
      <c r="F163" t="str">
        <f t="shared" si="24"/>
        <v>select_multiple q1</v>
      </c>
      <c r="G163" t="str">
        <f t="shared" si="25"/>
        <v>C32. 9B5CF4-D4E4FD-3D84EF-boxtag-choices-noshow-fill</v>
      </c>
      <c r="H163" t="str">
        <f t="shared" si="26"/>
        <v>select_multiple q1</v>
      </c>
      <c r="J163" t="str">
        <f t="shared" si="27"/>
        <v>9B5CF4-D4E4FD-3D84EF-boxtag-choices-noshow-fill</v>
      </c>
      <c r="K163" s="32" t="s">
        <v>178</v>
      </c>
    </row>
    <row r="164" spans="1:11" x14ac:dyDescent="0.25">
      <c r="A164" t="s">
        <v>35</v>
      </c>
      <c r="B164" t="str">
        <f t="shared" si="22"/>
        <v>select_multiple_q1_c33</v>
      </c>
      <c r="C164" t="s">
        <v>583</v>
      </c>
      <c r="E164" t="str">
        <f t="shared" si="23"/>
        <v>C33. boxtag-choices-noshow-F6CEEC-f6f6f6-0099FF-737373-EB4889</v>
      </c>
      <c r="F164" t="str">
        <f t="shared" si="24"/>
        <v>select_multiple q1</v>
      </c>
      <c r="G164" t="str">
        <f t="shared" si="25"/>
        <v>C33. boxtag-choices-noshow-F6CEEC-f6f6f6-0099FF-737373-EB4889</v>
      </c>
      <c r="H164" t="str">
        <f t="shared" si="26"/>
        <v>select_multiple q1</v>
      </c>
      <c r="J164" t="str">
        <f t="shared" si="27"/>
        <v>boxtag-choices-noshow-F6CEEC-f6f6f6-0099FF-737373-EB4889</v>
      </c>
      <c r="K164" s="32" t="s">
        <v>457</v>
      </c>
    </row>
    <row r="165" spans="1:11" x14ac:dyDescent="0.25">
      <c r="A165" t="s">
        <v>35</v>
      </c>
      <c r="B165" t="str">
        <f t="shared" si="22"/>
        <v>select_multiple_q1_c34</v>
      </c>
      <c r="C165" t="s">
        <v>584</v>
      </c>
      <c r="E165" t="str">
        <f t="shared" si="23"/>
        <v>C34. boxtag-choices-noshow-fill-F6CEEC-f6f6f6-0099FF-737373-ffffff</v>
      </c>
      <c r="F165" t="str">
        <f t="shared" si="24"/>
        <v>select_multiple q1</v>
      </c>
      <c r="G165" t="str">
        <f t="shared" si="25"/>
        <v>C34. boxtag-choices-noshow-fill-F6CEEC-f6f6f6-0099FF-737373-ffffff</v>
      </c>
      <c r="H165" t="str">
        <f t="shared" si="26"/>
        <v>select_multiple q1</v>
      </c>
      <c r="J165" t="str">
        <f t="shared" si="27"/>
        <v>boxtag-choices-noshow-fill-F6CEEC-f6f6f6-0099FF-737373-ffffff</v>
      </c>
      <c r="K165" s="32" t="s">
        <v>458</v>
      </c>
    </row>
    <row r="166" spans="1:11" x14ac:dyDescent="0.25">
      <c r="A166" t="s">
        <v>35</v>
      </c>
      <c r="B166" t="str">
        <f t="shared" si="22"/>
        <v>select_multiple_q1_c35</v>
      </c>
      <c r="C166" t="s">
        <v>585</v>
      </c>
      <c r="E166" t="str">
        <f t="shared" si="23"/>
        <v>C35. bf3eff-FF084A-084AFF-boxtag-choices-noshow-v2</v>
      </c>
      <c r="F166" t="str">
        <f t="shared" si="24"/>
        <v>select_multiple q1</v>
      </c>
      <c r="G166" t="str">
        <f t="shared" si="25"/>
        <v>C35. bf3eff-FF084A-084AFF-boxtag-choices-noshow-v2</v>
      </c>
      <c r="H166" t="str">
        <f t="shared" si="26"/>
        <v>select_multiple q1</v>
      </c>
      <c r="J166" t="str">
        <f t="shared" si="27"/>
        <v>bf3eff-FF084A-084AFF-boxtag-choices-noshow-v2</v>
      </c>
      <c r="K166" s="32" t="s">
        <v>242</v>
      </c>
    </row>
    <row r="167" spans="1:11" x14ac:dyDescent="0.25">
      <c r="A167" t="s">
        <v>35</v>
      </c>
      <c r="B167" t="str">
        <f t="shared" si="22"/>
        <v>select_multiple_q1_c36</v>
      </c>
      <c r="C167" t="s">
        <v>586</v>
      </c>
      <c r="E167" t="str">
        <f t="shared" si="23"/>
        <v>C36. bf3eff-FF084A-084AFF-boxtag-choices-noshow-v2-fill</v>
      </c>
      <c r="F167" t="str">
        <f t="shared" si="24"/>
        <v>select_multiple q1</v>
      </c>
      <c r="G167" t="str">
        <f t="shared" si="25"/>
        <v>C36. bf3eff-FF084A-084AFF-boxtag-choices-noshow-v2-fill</v>
      </c>
      <c r="H167" t="str">
        <f t="shared" si="26"/>
        <v>select_multiple q1</v>
      </c>
      <c r="J167" t="str">
        <f t="shared" si="27"/>
        <v>bf3eff-FF084A-084AFF-boxtag-choices-noshow-v2-fill</v>
      </c>
      <c r="K167" s="32" t="s">
        <v>247</v>
      </c>
    </row>
    <row r="168" spans="1:11" x14ac:dyDescent="0.25">
      <c r="A168" t="s">
        <v>35</v>
      </c>
      <c r="B168" t="str">
        <f t="shared" si="22"/>
        <v>select_multiple_q1_c37</v>
      </c>
      <c r="C168" t="s">
        <v>587</v>
      </c>
      <c r="E168" t="str">
        <f t="shared" si="23"/>
        <v>C37. boxtag-choices-noshow-v2-FBB0D4-009980-FF2E94-737373-FF2E94</v>
      </c>
      <c r="F168" t="str">
        <f t="shared" si="24"/>
        <v>select_multiple q1</v>
      </c>
      <c r="G168" t="str">
        <f t="shared" si="25"/>
        <v>C37. boxtag-choices-noshow-v2-FBB0D4-009980-FF2E94-737373-FF2E94</v>
      </c>
      <c r="H168" t="str">
        <f t="shared" si="26"/>
        <v>select_multiple q1</v>
      </c>
      <c r="J168" t="str">
        <f t="shared" si="27"/>
        <v>boxtag-choices-noshow-v2-FBB0D4-009980-FF2E94-737373-FF2E94</v>
      </c>
      <c r="K168" s="32" t="s">
        <v>243</v>
      </c>
    </row>
    <row r="169" spans="1:11" x14ac:dyDescent="0.25">
      <c r="A169" t="s">
        <v>35</v>
      </c>
      <c r="B169" t="str">
        <f t="shared" si="22"/>
        <v>select_multiple_q1_c38</v>
      </c>
      <c r="C169" t="s">
        <v>588</v>
      </c>
      <c r="E169" t="str">
        <f t="shared" si="23"/>
        <v>C38. boxtag-choices-noshow-v2-fill-ee1289-084AFF-FF084A-ee1289-ffffff</v>
      </c>
      <c r="F169" t="str">
        <f t="shared" si="24"/>
        <v>select_multiple q1</v>
      </c>
      <c r="G169" t="str">
        <f t="shared" si="25"/>
        <v>C38. boxtag-choices-noshow-v2-fill-ee1289-084AFF-FF084A-ee1289-ffffff</v>
      </c>
      <c r="H169" t="str">
        <f t="shared" si="26"/>
        <v>select_multiple q1</v>
      </c>
      <c r="J169" t="str">
        <f t="shared" si="27"/>
        <v>boxtag-choices-noshow-v2-fill-ee1289-084AFF-FF084A-ee1289-ffffff</v>
      </c>
      <c r="K169" s="32" t="s">
        <v>244</v>
      </c>
    </row>
    <row r="170" spans="1:11" x14ac:dyDescent="0.25">
      <c r="A170" t="s">
        <v>35</v>
      </c>
      <c r="B170" t="str">
        <f t="shared" si="22"/>
        <v>select_multiple_q1_c39</v>
      </c>
      <c r="C170" t="s">
        <v>589</v>
      </c>
      <c r="E170" t="str">
        <f t="shared" si="23"/>
        <v>C39. tagging</v>
      </c>
      <c r="F170" t="str">
        <f t="shared" si="24"/>
        <v>select_multiple q1</v>
      </c>
      <c r="G170" t="str">
        <f t="shared" si="25"/>
        <v>C39. tagging</v>
      </c>
      <c r="H170" t="str">
        <f t="shared" si="26"/>
        <v>select_multiple q1</v>
      </c>
      <c r="J170" t="str">
        <f t="shared" si="27"/>
        <v>tagging</v>
      </c>
      <c r="K170" s="32" t="s">
        <v>380</v>
      </c>
    </row>
    <row r="171" spans="1:11" x14ac:dyDescent="0.25">
      <c r="A171" t="s">
        <v>35</v>
      </c>
      <c r="B171" t="str">
        <f t="shared" si="22"/>
        <v>select_multiple_q1_c40</v>
      </c>
      <c r="C171" t="s">
        <v>590</v>
      </c>
      <c r="E171" t="str">
        <f t="shared" si="23"/>
        <v>C40. tagging-fill</v>
      </c>
      <c r="F171" t="str">
        <f t="shared" si="24"/>
        <v>select_multiple q1</v>
      </c>
      <c r="G171" t="str">
        <f t="shared" si="25"/>
        <v>C40. tagging-fill</v>
      </c>
      <c r="H171" t="str">
        <f t="shared" si="26"/>
        <v>select_multiple q1</v>
      </c>
      <c r="J171" t="str">
        <f t="shared" si="27"/>
        <v>tagging-fill</v>
      </c>
      <c r="K171" s="32" t="s">
        <v>381</v>
      </c>
    </row>
    <row r="172" spans="1:11" x14ac:dyDescent="0.25">
      <c r="A172" t="s">
        <v>35</v>
      </c>
      <c r="B172" t="str">
        <f t="shared" si="22"/>
        <v>select_multiple_q1_c41</v>
      </c>
      <c r="C172" t="s">
        <v>591</v>
      </c>
      <c r="E172" t="str">
        <f t="shared" si="23"/>
        <v>C41. 9B5CF4-D4E4FD-3D84EF-tagging</v>
      </c>
      <c r="F172" t="str">
        <f t="shared" si="24"/>
        <v>select_multiple q1</v>
      </c>
      <c r="G172" t="str">
        <f t="shared" si="25"/>
        <v>C41. 9B5CF4-D4E4FD-3D84EF-tagging</v>
      </c>
      <c r="H172" t="str">
        <f t="shared" si="26"/>
        <v>select_multiple q1</v>
      </c>
      <c r="J172" t="str">
        <f t="shared" si="27"/>
        <v>9B5CF4-D4E4FD-3D84EF-tagging</v>
      </c>
      <c r="K172" s="32" t="s">
        <v>167</v>
      </c>
    </row>
    <row r="173" spans="1:11" x14ac:dyDescent="0.25">
      <c r="A173" t="s">
        <v>35</v>
      </c>
      <c r="B173" t="str">
        <f t="shared" si="22"/>
        <v>select_multiple_q1_c42</v>
      </c>
      <c r="C173" t="s">
        <v>592</v>
      </c>
      <c r="E173" t="str">
        <f t="shared" si="23"/>
        <v>C42. 9B5CF4-D4E4FD-3D84EF-tagging-fill</v>
      </c>
      <c r="F173" t="str">
        <f t="shared" si="24"/>
        <v>select_multiple q1</v>
      </c>
      <c r="G173" t="str">
        <f t="shared" si="25"/>
        <v>C42. 9B5CF4-D4E4FD-3D84EF-tagging-fill</v>
      </c>
      <c r="H173" t="str">
        <f t="shared" si="26"/>
        <v>select_multiple q1</v>
      </c>
      <c r="J173" t="str">
        <f t="shared" si="27"/>
        <v>9B5CF4-D4E4FD-3D84EF-tagging-fill</v>
      </c>
      <c r="K173" s="32" t="s">
        <v>168</v>
      </c>
    </row>
    <row r="174" spans="1:11" x14ac:dyDescent="0.25">
      <c r="A174" t="s">
        <v>35</v>
      </c>
      <c r="B174" t="str">
        <f t="shared" si="22"/>
        <v>select_multiple_q1_c43</v>
      </c>
      <c r="C174" t="s">
        <v>593</v>
      </c>
      <c r="E174" t="str">
        <f t="shared" si="23"/>
        <v>C43. tagging-F6CEEC-f6f6f6-0099FF-737373-EB4889</v>
      </c>
      <c r="F174" t="str">
        <f t="shared" si="24"/>
        <v>select_multiple q1</v>
      </c>
      <c r="G174" t="str">
        <f t="shared" si="25"/>
        <v>C43. tagging-F6CEEC-f6f6f6-0099FF-737373-EB4889</v>
      </c>
      <c r="H174" t="str">
        <f t="shared" si="26"/>
        <v>select_multiple q1</v>
      </c>
      <c r="J174" t="str">
        <f t="shared" si="27"/>
        <v>tagging-F6CEEC-f6f6f6-0099FF-737373-EB4889</v>
      </c>
      <c r="K174" s="32" t="s">
        <v>459</v>
      </c>
    </row>
    <row r="175" spans="1:11" x14ac:dyDescent="0.25">
      <c r="A175" t="s">
        <v>35</v>
      </c>
      <c r="B175" t="str">
        <f t="shared" si="22"/>
        <v>select_multiple_q1_c44</v>
      </c>
      <c r="C175" t="s">
        <v>594</v>
      </c>
      <c r="E175" t="str">
        <f t="shared" si="23"/>
        <v>C44. tagging-fill-F6CEEC-f6f6f6-0099FF-737373-ffffff</v>
      </c>
      <c r="F175" t="str">
        <f t="shared" si="24"/>
        <v>select_multiple q1</v>
      </c>
      <c r="G175" t="str">
        <f t="shared" si="25"/>
        <v>C44. tagging-fill-F6CEEC-f6f6f6-0099FF-737373-ffffff</v>
      </c>
      <c r="H175" t="str">
        <f t="shared" si="26"/>
        <v>select_multiple q1</v>
      </c>
      <c r="J175" t="str">
        <f t="shared" si="27"/>
        <v>tagging-fill-F6CEEC-f6f6f6-0099FF-737373-ffffff</v>
      </c>
      <c r="K175" s="32" t="s">
        <v>460</v>
      </c>
    </row>
    <row r="176" spans="1:11" x14ac:dyDescent="0.25">
      <c r="A176" t="s">
        <v>35</v>
      </c>
      <c r="B176" t="str">
        <f t="shared" si="22"/>
        <v>select_multiple_q1_c45</v>
      </c>
      <c r="C176" t="s">
        <v>595</v>
      </c>
      <c r="E176" t="str">
        <f t="shared" si="23"/>
        <v>C45. tagging-search</v>
      </c>
      <c r="F176" t="str">
        <f t="shared" si="24"/>
        <v>select_multiple q1</v>
      </c>
      <c r="G176" t="str">
        <f t="shared" si="25"/>
        <v>C45. tagging-search</v>
      </c>
      <c r="H176" t="str">
        <f t="shared" si="26"/>
        <v>select_multiple q1</v>
      </c>
      <c r="J176" t="str">
        <f t="shared" si="27"/>
        <v>tagging-search</v>
      </c>
      <c r="K176" s="32" t="s">
        <v>382</v>
      </c>
    </row>
    <row r="177" spans="1:11" x14ac:dyDescent="0.25">
      <c r="A177" t="s">
        <v>35</v>
      </c>
      <c r="B177" t="str">
        <f t="shared" si="22"/>
        <v>select_multiple_q1_c46</v>
      </c>
      <c r="C177" t="s">
        <v>596</v>
      </c>
      <c r="E177" t="str">
        <f t="shared" si="23"/>
        <v>C46. tagging-search-fill</v>
      </c>
      <c r="F177" t="str">
        <f t="shared" si="24"/>
        <v>select_multiple q1</v>
      </c>
      <c r="G177" t="str">
        <f t="shared" si="25"/>
        <v>C46. tagging-search-fill</v>
      </c>
      <c r="H177" t="str">
        <f t="shared" si="26"/>
        <v>select_multiple q1</v>
      </c>
      <c r="J177" t="str">
        <f t="shared" si="27"/>
        <v>tagging-search-fill</v>
      </c>
      <c r="K177" s="32" t="s">
        <v>383</v>
      </c>
    </row>
    <row r="178" spans="1:11" x14ac:dyDescent="0.25">
      <c r="A178" t="s">
        <v>35</v>
      </c>
      <c r="B178" t="str">
        <f t="shared" si="22"/>
        <v>select_multiple_q1_c47</v>
      </c>
      <c r="C178" t="s">
        <v>597</v>
      </c>
      <c r="E178" t="str">
        <f t="shared" si="23"/>
        <v>C47. 9B5CF4-D4E4FD-3D84EF-tagging-search</v>
      </c>
      <c r="F178" t="str">
        <f t="shared" si="24"/>
        <v>select_multiple q1</v>
      </c>
      <c r="G178" t="str">
        <f t="shared" si="25"/>
        <v>C47. 9B5CF4-D4E4FD-3D84EF-tagging-search</v>
      </c>
      <c r="H178" t="str">
        <f t="shared" si="26"/>
        <v>select_multiple q1</v>
      </c>
      <c r="J178" t="str">
        <f t="shared" si="27"/>
        <v>9B5CF4-D4E4FD-3D84EF-tagging-search</v>
      </c>
      <c r="K178" s="32" t="s">
        <v>169</v>
      </c>
    </row>
    <row r="179" spans="1:11" x14ac:dyDescent="0.25">
      <c r="A179" t="s">
        <v>35</v>
      </c>
      <c r="B179" t="str">
        <f t="shared" si="22"/>
        <v>select_multiple_q1_c48</v>
      </c>
      <c r="C179" t="s">
        <v>598</v>
      </c>
      <c r="E179" t="str">
        <f t="shared" si="23"/>
        <v>C48. 9B5CF4-D4E4FD-3D84EF-tagging-search-fill</v>
      </c>
      <c r="F179" t="str">
        <f t="shared" si="24"/>
        <v>select_multiple q1</v>
      </c>
      <c r="G179" t="str">
        <f t="shared" si="25"/>
        <v>C48. 9B5CF4-D4E4FD-3D84EF-tagging-search-fill</v>
      </c>
      <c r="H179" t="str">
        <f t="shared" si="26"/>
        <v>select_multiple q1</v>
      </c>
      <c r="J179" t="str">
        <f t="shared" si="27"/>
        <v>9B5CF4-D4E4FD-3D84EF-tagging-search-fill</v>
      </c>
      <c r="K179" s="32" t="s">
        <v>170</v>
      </c>
    </row>
    <row r="180" spans="1:11" x14ac:dyDescent="0.25">
      <c r="A180" t="s">
        <v>35</v>
      </c>
      <c r="B180" t="str">
        <f t="shared" si="22"/>
        <v>select_multiple_q1_c49</v>
      </c>
      <c r="C180" t="s">
        <v>599</v>
      </c>
      <c r="E180" t="str">
        <f t="shared" si="23"/>
        <v>C49. tagging-search-F6CEEC-f6f6f6-0099FF-737373-EB4889</v>
      </c>
      <c r="F180" t="str">
        <f t="shared" si="24"/>
        <v>select_multiple q1</v>
      </c>
      <c r="G180" t="str">
        <f t="shared" si="25"/>
        <v>C49. tagging-search-F6CEEC-f6f6f6-0099FF-737373-EB4889</v>
      </c>
      <c r="H180" t="str">
        <f t="shared" si="26"/>
        <v>select_multiple q1</v>
      </c>
      <c r="J180" t="str">
        <f t="shared" si="27"/>
        <v>tagging-search-F6CEEC-f6f6f6-0099FF-737373-EB4889</v>
      </c>
      <c r="K180" s="32" t="s">
        <v>461</v>
      </c>
    </row>
    <row r="181" spans="1:11" x14ac:dyDescent="0.25">
      <c r="A181" t="s">
        <v>35</v>
      </c>
      <c r="B181" t="str">
        <f t="shared" si="22"/>
        <v>select_multiple_q1_c50</v>
      </c>
      <c r="C181" t="s">
        <v>600</v>
      </c>
      <c r="E181" t="str">
        <f t="shared" si="23"/>
        <v>C50. tagging-search-fill-F6CEEC-f6f6f6-0099FF-737373-ffffff</v>
      </c>
      <c r="F181" t="str">
        <f t="shared" si="24"/>
        <v>select_multiple q1</v>
      </c>
      <c r="G181" t="str">
        <f t="shared" si="25"/>
        <v>C50. tagging-search-fill-F6CEEC-f6f6f6-0099FF-737373-ffffff</v>
      </c>
      <c r="H181" t="str">
        <f t="shared" si="26"/>
        <v>select_multiple q1</v>
      </c>
      <c r="J181" t="str">
        <f t="shared" si="27"/>
        <v>tagging-search-fill-F6CEEC-f6f6f6-0099FF-737373-ffffff</v>
      </c>
      <c r="K181" s="32" t="s">
        <v>462</v>
      </c>
    </row>
    <row r="182" spans="1:11" x14ac:dyDescent="0.25">
      <c r="A182" t="s">
        <v>35</v>
      </c>
      <c r="B182" t="str">
        <f t="shared" si="22"/>
        <v>select_multiple_q1_c51</v>
      </c>
      <c r="C182" t="s">
        <v>601</v>
      </c>
      <c r="E182" t="str">
        <f t="shared" si="23"/>
        <v>C51. tagging-choices-noshow</v>
      </c>
      <c r="F182" t="str">
        <f t="shared" si="24"/>
        <v>select_multiple q1</v>
      </c>
      <c r="G182" t="str">
        <f t="shared" si="25"/>
        <v>C51. tagging-choices-noshow</v>
      </c>
      <c r="H182" t="str">
        <f t="shared" si="26"/>
        <v>select_multiple q1</v>
      </c>
      <c r="J182" t="str">
        <f t="shared" si="27"/>
        <v>tagging-choices-noshow</v>
      </c>
      <c r="K182" s="32" t="s">
        <v>384</v>
      </c>
    </row>
    <row r="183" spans="1:11" x14ac:dyDescent="0.25">
      <c r="A183" t="s">
        <v>35</v>
      </c>
      <c r="B183" t="str">
        <f t="shared" si="22"/>
        <v>select_multiple_q1_c52</v>
      </c>
      <c r="C183" t="s">
        <v>602</v>
      </c>
      <c r="E183" t="str">
        <f t="shared" si="23"/>
        <v>C52. tagging-choices-noshow-fill</v>
      </c>
      <c r="F183" t="str">
        <f t="shared" si="24"/>
        <v>select_multiple q1</v>
      </c>
      <c r="G183" t="str">
        <f t="shared" si="25"/>
        <v>C52. tagging-choices-noshow-fill</v>
      </c>
      <c r="H183" t="str">
        <f t="shared" si="26"/>
        <v>select_multiple q1</v>
      </c>
      <c r="J183" t="str">
        <f t="shared" si="27"/>
        <v>tagging-choices-noshow-fill</v>
      </c>
      <c r="K183" s="32" t="s">
        <v>385</v>
      </c>
    </row>
    <row r="184" spans="1:11" x14ac:dyDescent="0.25">
      <c r="A184" t="s">
        <v>35</v>
      </c>
      <c r="B184" t="str">
        <f t="shared" si="22"/>
        <v>select_multiple_q1_c53</v>
      </c>
      <c r="C184" t="s">
        <v>603</v>
      </c>
      <c r="E184" t="str">
        <f t="shared" si="23"/>
        <v>C53. 9B5CF4-D4E4FD-3D84EF-tagging-choices-noshow</v>
      </c>
      <c r="F184" t="str">
        <f t="shared" si="24"/>
        <v>select_multiple q1</v>
      </c>
      <c r="G184" t="str">
        <f t="shared" si="25"/>
        <v>C53. 9B5CF4-D4E4FD-3D84EF-tagging-choices-noshow</v>
      </c>
      <c r="H184" t="str">
        <f t="shared" si="26"/>
        <v>select_multiple q1</v>
      </c>
      <c r="J184" t="str">
        <f t="shared" si="27"/>
        <v>9B5CF4-D4E4FD-3D84EF-tagging-choices-noshow</v>
      </c>
      <c r="K184" s="32" t="s">
        <v>171</v>
      </c>
    </row>
    <row r="185" spans="1:11" x14ac:dyDescent="0.25">
      <c r="A185" t="s">
        <v>35</v>
      </c>
      <c r="B185" t="str">
        <f t="shared" si="22"/>
        <v>select_multiple_q1_c54</v>
      </c>
      <c r="C185" t="s">
        <v>604</v>
      </c>
      <c r="E185" t="str">
        <f t="shared" si="23"/>
        <v>C54. 9B5CF4-D4E4FD-3D84EF-tagging-choices-noshow-fill</v>
      </c>
      <c r="F185" t="str">
        <f t="shared" si="24"/>
        <v>select_multiple q1</v>
      </c>
      <c r="G185" t="str">
        <f t="shared" si="25"/>
        <v>C54. 9B5CF4-D4E4FD-3D84EF-tagging-choices-noshow-fill</v>
      </c>
      <c r="H185" t="str">
        <f t="shared" si="26"/>
        <v>select_multiple q1</v>
      </c>
      <c r="J185" t="str">
        <f t="shared" si="27"/>
        <v>9B5CF4-D4E4FD-3D84EF-tagging-choices-noshow-fill</v>
      </c>
      <c r="K185" s="32" t="s">
        <v>172</v>
      </c>
    </row>
    <row r="186" spans="1:11" x14ac:dyDescent="0.25">
      <c r="A186" t="s">
        <v>35</v>
      </c>
      <c r="B186" t="str">
        <f t="shared" si="22"/>
        <v>select_multiple_q1_c55</v>
      </c>
      <c r="C186" t="s">
        <v>605</v>
      </c>
      <c r="E186" t="str">
        <f t="shared" si="23"/>
        <v>C55. tagging-choices-noshow-F6CEEC-f6f6f6-0099FF-737373-EB4889</v>
      </c>
      <c r="F186" t="str">
        <f t="shared" si="24"/>
        <v>select_multiple q1</v>
      </c>
      <c r="G186" t="str">
        <f t="shared" si="25"/>
        <v>C55. tagging-choices-noshow-F6CEEC-f6f6f6-0099FF-737373-EB4889</v>
      </c>
      <c r="H186" t="str">
        <f t="shared" si="26"/>
        <v>select_multiple q1</v>
      </c>
      <c r="J186" t="str">
        <f t="shared" si="27"/>
        <v>tagging-choices-noshow-F6CEEC-f6f6f6-0099FF-737373-EB4889</v>
      </c>
      <c r="K186" s="32" t="s">
        <v>463</v>
      </c>
    </row>
    <row r="187" spans="1:11" x14ac:dyDescent="0.25">
      <c r="A187" t="s">
        <v>35</v>
      </c>
      <c r="B187" t="str">
        <f t="shared" si="22"/>
        <v>select_multiple_q1_c56</v>
      </c>
      <c r="C187" t="s">
        <v>606</v>
      </c>
      <c r="E187" t="str">
        <f t="shared" si="23"/>
        <v>C56. tagging-choices-noshow-fill-F6CEEC-f6f6f6-0099FF-737373-ffffff inputs{qrscan, stt}</v>
      </c>
      <c r="F187" t="str">
        <f t="shared" si="24"/>
        <v>select_multiple q1</v>
      </c>
      <c r="G187" t="str">
        <f t="shared" si="25"/>
        <v>C56. tagging-choices-noshow-fill-F6CEEC-f6f6f6-0099FF-737373-ffffff inputs{qrscan, stt}</v>
      </c>
      <c r="H187" t="str">
        <f t="shared" si="26"/>
        <v>select_multiple q1</v>
      </c>
      <c r="J187" t="str">
        <f t="shared" si="27"/>
        <v>tagging-choices-noshow-fill-F6CEEC-f6f6f6-0099FF-737373-ffffff inputs{qrscan, stt}</v>
      </c>
      <c r="K187" s="32" t="s">
        <v>1762</v>
      </c>
    </row>
    <row r="188" spans="1:11" x14ac:dyDescent="0.25">
      <c r="A188" t="s">
        <v>35</v>
      </c>
      <c r="B188" t="str">
        <f t="shared" si="22"/>
        <v>select_multiple_q1_c57</v>
      </c>
      <c r="C188" t="s">
        <v>607</v>
      </c>
      <c r="E188" t="str">
        <f t="shared" si="23"/>
        <v>C57. FBB0D4-009980-FF2E94-tagging-choices-noshow-v2 inputs{stt, qrscan}</v>
      </c>
      <c r="F188" t="str">
        <f t="shared" si="24"/>
        <v>select_multiple q1</v>
      </c>
      <c r="G188" t="str">
        <f t="shared" si="25"/>
        <v>C57. FBB0D4-009980-FF2E94-tagging-choices-noshow-v2 inputs{stt, qrscan}</v>
      </c>
      <c r="H188" t="str">
        <f t="shared" si="26"/>
        <v>select_multiple q1</v>
      </c>
      <c r="J188" t="str">
        <f t="shared" si="27"/>
        <v>FBB0D4-009980-FF2E94-tagging-choices-noshow-v2 inputs{stt, qrscan}</v>
      </c>
      <c r="K188" s="32" t="s">
        <v>1763</v>
      </c>
    </row>
    <row r="189" spans="1:11" x14ac:dyDescent="0.25">
      <c r="A189" t="s">
        <v>35</v>
      </c>
      <c r="B189" t="str">
        <f t="shared" si="22"/>
        <v>select_multiple_q1_c58</v>
      </c>
      <c r="C189" t="s">
        <v>608</v>
      </c>
      <c r="E189" t="str">
        <f t="shared" si="23"/>
        <v>C58. bf3eff-FF084A-084AFF-tagging-choices-noshow-v2-fill</v>
      </c>
      <c r="F189" t="str">
        <f t="shared" si="24"/>
        <v>select_multiple q1</v>
      </c>
      <c r="G189" t="str">
        <f t="shared" si="25"/>
        <v>C58. bf3eff-FF084A-084AFF-tagging-choices-noshow-v2-fill</v>
      </c>
      <c r="H189" t="str">
        <f t="shared" si="26"/>
        <v>select_multiple q1</v>
      </c>
      <c r="J189" t="str">
        <f t="shared" si="27"/>
        <v>bf3eff-FF084A-084AFF-tagging-choices-noshow-v2-fill</v>
      </c>
      <c r="K189" s="32" t="s">
        <v>245</v>
      </c>
    </row>
    <row r="190" spans="1:11" x14ac:dyDescent="0.25">
      <c r="A190" t="s">
        <v>35</v>
      </c>
      <c r="B190" t="str">
        <f t="shared" si="22"/>
        <v>select_multiple_q1_c59</v>
      </c>
      <c r="C190" t="s">
        <v>609</v>
      </c>
      <c r="E190" t="str">
        <f t="shared" si="23"/>
        <v>C59. tagging-choices-noshow-v2-ee1289-084AFF-FF084A-ee1289-bf3eff</v>
      </c>
      <c r="F190" t="str">
        <f t="shared" si="24"/>
        <v>select_multiple q1</v>
      </c>
      <c r="G190" t="str">
        <f t="shared" si="25"/>
        <v>C59. tagging-choices-noshow-v2-ee1289-084AFF-FF084A-ee1289-bf3eff</v>
      </c>
      <c r="H190" t="str">
        <f t="shared" si="26"/>
        <v>select_multiple q1</v>
      </c>
      <c r="J190" t="str">
        <f t="shared" si="27"/>
        <v>tagging-choices-noshow-v2-ee1289-084AFF-FF084A-ee1289-bf3eff</v>
      </c>
      <c r="K190" s="32" t="s">
        <v>241</v>
      </c>
    </row>
    <row r="191" spans="1:11" x14ac:dyDescent="0.25">
      <c r="A191" t="s">
        <v>35</v>
      </c>
      <c r="B191" t="str">
        <f t="shared" si="22"/>
        <v>select_multiple_q1_c60</v>
      </c>
      <c r="C191" t="s">
        <v>610</v>
      </c>
      <c r="E191" t="str">
        <f t="shared" si="23"/>
        <v>C60. tagging-choices-noshow-v2-fill-ee1289-084AFF-FF084A-ee1289-ffffff</v>
      </c>
      <c r="F191" t="str">
        <f t="shared" si="24"/>
        <v>select_multiple q1</v>
      </c>
      <c r="G191" t="str">
        <f t="shared" si="25"/>
        <v>C60. tagging-choices-noshow-v2-fill-ee1289-084AFF-FF084A-ee1289-ffffff</v>
      </c>
      <c r="H191" t="str">
        <f t="shared" si="26"/>
        <v>select_multiple q1</v>
      </c>
      <c r="J191" t="str">
        <f t="shared" si="27"/>
        <v>tagging-choices-noshow-v2-fill-ee1289-084AFF-FF084A-ee1289-ffffff</v>
      </c>
      <c r="K191" s="32" t="s">
        <v>246</v>
      </c>
    </row>
    <row r="192" spans="1:11" x14ac:dyDescent="0.25">
      <c r="A192" t="s">
        <v>1742</v>
      </c>
      <c r="B192" t="str">
        <f t="shared" si="22"/>
        <v>select_multiple_province_c61</v>
      </c>
      <c r="C192" t="s">
        <v>1278</v>
      </c>
      <c r="E192" t="str">
        <f t="shared" si="23"/>
        <v>C61. tagging-choices-noshow-v2 search(concat(${family_path},'/province.db::externalData'))</v>
      </c>
      <c r="F192" t="str">
        <f t="shared" si="24"/>
        <v>select_multiple province</v>
      </c>
      <c r="G192" t="str">
        <f t="shared" si="25"/>
        <v>C61. tagging-choices-noshow-v2 search(concat(${family_path},'/province.db::externalData'))</v>
      </c>
      <c r="H192" t="str">
        <f t="shared" si="26"/>
        <v>select_multiple province</v>
      </c>
      <c r="J192" t="s">
        <v>1730</v>
      </c>
      <c r="K192" s="32" t="s">
        <v>241</v>
      </c>
    </row>
    <row r="193" spans="1:11" x14ac:dyDescent="0.25">
      <c r="A193" t="s">
        <v>1742</v>
      </c>
      <c r="B193" t="str">
        <f t="shared" si="22"/>
        <v>select_multiple_province_c62</v>
      </c>
      <c r="C193" t="s">
        <v>1353</v>
      </c>
      <c r="E193" t="str">
        <f t="shared" si="23"/>
        <v>C62. tagging-choices-noshow-v2 search('rawquery', concat(${family_path},'/province.db::externalData'), 'select DISTINCT tinh_id, tinh_name from externalData where marked_as_deleted != "1" ORDER BY tinh_name ASC')</v>
      </c>
      <c r="F193" t="str">
        <f t="shared" si="24"/>
        <v>select_multiple province</v>
      </c>
      <c r="G193" t="str">
        <f t="shared" si="25"/>
        <v>C62. tagging-choices-noshow-v2 search('rawquery', concat(${family_path},'/province.db::externalData'), 'select DISTINCT tinh_id, tinh_name from externalData where marked_as_deleted != "1" ORDER BY tinh_name ASC')</v>
      </c>
      <c r="H193" t="str">
        <f t="shared" si="26"/>
        <v>select_multiple province</v>
      </c>
      <c r="J193" t="s">
        <v>1731</v>
      </c>
      <c r="K193" s="32" t="s">
        <v>246</v>
      </c>
    </row>
    <row r="194" spans="1:11" x14ac:dyDescent="0.25">
      <c r="A194" t="s">
        <v>1743</v>
      </c>
      <c r="B194" t="str">
        <f t="shared" si="22"/>
        <v>select_multiple_sl_c63</v>
      </c>
      <c r="C194" t="s">
        <v>1354</v>
      </c>
      <c r="E194" t="str">
        <f t="shared" si="23"/>
        <v>C63. tagging-choices-noshow-v2 search-api('POST',concat('https://es.rta.vn/c872_vn_admin3/_search'),'{"size": 1000,"collapse":{"field":"tinh_id.raw"},"query":{"bool":{"must":[/*{"query_string":{"query":"%__input__%","fields":["tinh_name"],"allow_leading_wildcard":"true","default_operator":"AND"}}*/]}},"_source":{"excludes":[]},"sort":[{"added_date":{"order":"desc"}}]}','tinh_id','tinh_name','$.hits.hits.*._source','/file/path/sl2')</v>
      </c>
      <c r="F194" t="str">
        <f t="shared" si="24"/>
        <v>select_multiple sl</v>
      </c>
      <c r="G194" t="str">
        <f t="shared" si="25"/>
        <v>C63. tagging-choices-noshow-v2 search-api('POST',concat('https://es.rta.vn/c872_vn_admin3/_search'),'{"size": 1000,"collapse":{"field":"tinh_id.raw"},"query":{"bool":{"must":[/*{"query_string":{"query":"%__input__%","fields":["tinh_name"],"allow_leading_wildcard":"true","default_operator":"AND"}}*/]}},"_source":{"excludes":[]},"sort":[{"added_date":{"order":"desc"}}]}','tinh_id','tinh_name','$.hits.hits.*._source','/file/path/sl2')</v>
      </c>
      <c r="H194" t="str">
        <f t="shared" si="26"/>
        <v>select_multiple sl</v>
      </c>
      <c r="J194" t="s">
        <v>1732</v>
      </c>
      <c r="K194" s="32" t="s">
        <v>246</v>
      </c>
    </row>
    <row r="195" spans="1:11" x14ac:dyDescent="0.25">
      <c r="A195" t="s">
        <v>35</v>
      </c>
      <c r="B195" t="str">
        <f t="shared" si="22"/>
        <v>select_multiple_q1_c64</v>
      </c>
      <c r="C195" t="s">
        <v>1377</v>
      </c>
      <c r="E195" t="str">
        <f t="shared" si="23"/>
        <v>C64. duolingo-style1</v>
      </c>
      <c r="F195" t="str">
        <f t="shared" si="24"/>
        <v>select_multiple q1</v>
      </c>
      <c r="G195" t="str">
        <f t="shared" si="25"/>
        <v>C64. duolingo-style1</v>
      </c>
      <c r="H195" t="str">
        <f t="shared" si="26"/>
        <v>select_multiple q1</v>
      </c>
      <c r="J195" t="str">
        <f t="shared" si="27"/>
        <v>duolingo-style1</v>
      </c>
      <c r="K195" s="32" t="s">
        <v>437</v>
      </c>
    </row>
    <row r="196" spans="1:11" x14ac:dyDescent="0.25">
      <c r="A196" t="s">
        <v>35</v>
      </c>
      <c r="B196" t="str">
        <f t="shared" ref="B196:B199" si="28">CONCATENATE(SUBSTITUTE(A196," ","_"),"_",C196)</f>
        <v>select_multiple_q1_c65</v>
      </c>
      <c r="C196" t="s">
        <v>1378</v>
      </c>
      <c r="E196" t="str">
        <f t="shared" ref="E196:E199" si="29">CONCATENATE(PROPER(C196),". ",J196)</f>
        <v>C65. search-select</v>
      </c>
      <c r="F196" t="str">
        <f t="shared" ref="F196:F199" si="30">A196</f>
        <v>select_multiple q1</v>
      </c>
      <c r="G196" t="str">
        <f t="shared" ref="G196:G199" si="31">CONCATENATE(PROPER(C196),". ",J196)</f>
        <v>C65. search-select</v>
      </c>
      <c r="H196" t="str">
        <f t="shared" ref="H196:H199" si="32">A196</f>
        <v>select_multiple q1</v>
      </c>
      <c r="J196" t="str">
        <f t="shared" si="27"/>
        <v>search-select</v>
      </c>
      <c r="K196" s="32" t="s">
        <v>1350</v>
      </c>
    </row>
    <row r="197" spans="1:11" x14ac:dyDescent="0.25">
      <c r="A197" t="s">
        <v>35</v>
      </c>
      <c r="B197" t="str">
        <f t="shared" si="28"/>
        <v>select_multiple_q1_c66</v>
      </c>
      <c r="C197" t="s">
        <v>1746</v>
      </c>
      <c r="E197" t="str">
        <f t="shared" si="29"/>
        <v>C66. autocomplete</v>
      </c>
      <c r="F197" t="str">
        <f t="shared" si="30"/>
        <v>select_multiple q1</v>
      </c>
      <c r="G197" t="str">
        <f t="shared" si="31"/>
        <v>C66. autocomplete</v>
      </c>
      <c r="H197" t="str">
        <f t="shared" si="32"/>
        <v>select_multiple q1</v>
      </c>
      <c r="J197" t="str">
        <f t="shared" si="27"/>
        <v>autocomplete</v>
      </c>
      <c r="K197" s="32" t="s">
        <v>1351</v>
      </c>
    </row>
    <row r="198" spans="1:11" x14ac:dyDescent="0.25">
      <c r="A198" t="s">
        <v>1320</v>
      </c>
      <c r="B198" t="str">
        <f t="shared" si="28"/>
        <v>select_multiple_q4_c67</v>
      </c>
      <c r="C198" t="s">
        <v>1747</v>
      </c>
      <c r="E198" t="str">
        <f t="shared" si="29"/>
        <v>C67. cover-flow('200','square')</v>
      </c>
      <c r="F198" t="str">
        <f t="shared" si="30"/>
        <v>select_multiple q4</v>
      </c>
      <c r="G198" t="str">
        <f t="shared" si="31"/>
        <v>C67. cover-flow('200','square')</v>
      </c>
      <c r="H198" t="str">
        <f t="shared" si="32"/>
        <v>select_multiple q4</v>
      </c>
      <c r="J198" t="str">
        <f t="shared" si="27"/>
        <v>cover-flow('200','square')</v>
      </c>
      <c r="K198" s="32" t="s">
        <v>1381</v>
      </c>
    </row>
    <row r="199" spans="1:11" x14ac:dyDescent="0.25">
      <c r="A199" t="s">
        <v>1320</v>
      </c>
      <c r="B199" t="str">
        <f t="shared" si="28"/>
        <v>select_multiple_q4_c68</v>
      </c>
      <c r="C199" t="s">
        <v>1748</v>
      </c>
      <c r="E199" t="str">
        <f t="shared" si="29"/>
        <v>C68. cover-flow('150','rectangle')</v>
      </c>
      <c r="F199" t="str">
        <f t="shared" si="30"/>
        <v>select_multiple q4</v>
      </c>
      <c r="G199" t="str">
        <f t="shared" si="31"/>
        <v>C68. cover-flow('150','rectangle')</v>
      </c>
      <c r="H199" t="str">
        <f t="shared" si="32"/>
        <v>select_multiple q4</v>
      </c>
      <c r="J199" t="str">
        <f t="shared" si="27"/>
        <v>cover-flow('150','rectangle')</v>
      </c>
      <c r="K199" s="32" t="s">
        <v>1382</v>
      </c>
    </row>
    <row r="200" spans="1:11" x14ac:dyDescent="0.25">
      <c r="A200" t="s">
        <v>39</v>
      </c>
      <c r="E200" t="str">
        <f t="shared" ref="E200:E213" si="33">CONCATENATE(PROPER(C200),". ",D200)</f>
        <v xml:space="preserve">. </v>
      </c>
      <c r="J200" t="str">
        <f t="shared" si="27"/>
        <v/>
      </c>
    </row>
    <row r="201" spans="1:11" x14ac:dyDescent="0.25">
      <c r="A201" t="s">
        <v>38</v>
      </c>
      <c r="B201" t="str">
        <f>CONCATENATE("bg_field_",C201)</f>
        <v>bg_field_ca</v>
      </c>
      <c r="C201" t="s">
        <v>611</v>
      </c>
      <c r="D201" t="s">
        <v>1317</v>
      </c>
      <c r="E201" t="str">
        <f t="shared" si="33"/>
        <v>Ca. SELECT_ONE media</v>
      </c>
      <c r="G201" t="str">
        <f>CONCATENATE(PROPER(C201),". ",D201)</f>
        <v>Ca. SELECT_ONE media</v>
      </c>
      <c r="J201" t="str">
        <f t="shared" si="27"/>
        <v>field-list</v>
      </c>
      <c r="K201" t="s">
        <v>40</v>
      </c>
    </row>
    <row r="202" spans="1:11" x14ac:dyDescent="0.25">
      <c r="A202" t="s">
        <v>1318</v>
      </c>
      <c r="B202" t="str">
        <f>CONCATENATE(SUBSTITUTE(A202," ","_"),"_",C202)</f>
        <v>select_multiple_q2_ca1</v>
      </c>
      <c r="C202" t="s">
        <v>612</v>
      </c>
      <c r="D202" t="s">
        <v>1310</v>
      </c>
      <c r="E202" t="str">
        <f t="shared" si="33"/>
        <v>Ca1. Audio media</v>
      </c>
      <c r="G202" t="str">
        <f>CONCATENATE(PROPER(C202),". ",D202)</f>
        <v>Ca1. Audio media</v>
      </c>
      <c r="J202" t="str">
        <f t="shared" si="27"/>
        <v/>
      </c>
    </row>
    <row r="203" spans="1:11" x14ac:dyDescent="0.25">
      <c r="A203" t="s">
        <v>1319</v>
      </c>
      <c r="B203" t="str">
        <f>CONCATENATE(SUBSTITUTE(A203," ","_"),"_",C203)</f>
        <v>select_multiple_q3_ca2</v>
      </c>
      <c r="C203" t="s">
        <v>613</v>
      </c>
      <c r="D203" t="s">
        <v>1311</v>
      </c>
      <c r="E203" t="str">
        <f t="shared" si="33"/>
        <v>Ca2. Video media</v>
      </c>
      <c r="G203" t="str">
        <f t="shared" ref="G203:G204" si="34">CONCATENATE(PROPER(C203),". ",D203)</f>
        <v>Ca2. Video media</v>
      </c>
      <c r="J203" t="str">
        <f t="shared" si="27"/>
        <v/>
      </c>
    </row>
    <row r="204" spans="1:11" x14ac:dyDescent="0.25">
      <c r="A204" t="s">
        <v>1320</v>
      </c>
      <c r="B204" t="str">
        <f>CONCATENATE(SUBSTITUTE(A204," ","_"),"_",C204)</f>
        <v>select_multiple_q4_ca3</v>
      </c>
      <c r="C204" t="s">
        <v>1313</v>
      </c>
      <c r="D204" t="s">
        <v>1312</v>
      </c>
      <c r="E204" t="str">
        <f t="shared" si="33"/>
        <v>Ca3. Image media</v>
      </c>
      <c r="G204" t="str">
        <f t="shared" si="34"/>
        <v>Ca3. Image media</v>
      </c>
      <c r="J204" t="str">
        <f t="shared" si="27"/>
        <v/>
      </c>
    </row>
    <row r="205" spans="1:11" x14ac:dyDescent="0.25">
      <c r="A205" t="s">
        <v>39</v>
      </c>
      <c r="E205" t="str">
        <f t="shared" si="33"/>
        <v xml:space="preserve">. </v>
      </c>
      <c r="J205" t="str">
        <f t="shared" si="27"/>
        <v/>
      </c>
    </row>
    <row r="206" spans="1:11" x14ac:dyDescent="0.25">
      <c r="A206" t="s">
        <v>38</v>
      </c>
      <c r="B206" t="str">
        <f>CONCATENATE("bg_field_",C206)</f>
        <v>bg_field_cb</v>
      </c>
      <c r="C206" t="s">
        <v>1314</v>
      </c>
      <c r="D206" t="s">
        <v>1306</v>
      </c>
      <c r="E206" t="str">
        <f t="shared" si="33"/>
        <v>Cb. SELECT_MULTIPLE table-list</v>
      </c>
      <c r="G206" t="str">
        <f>CONCATENATE(PROPER(C206),". ",D206)</f>
        <v>Cb. SELECT_MULTIPLE table-list</v>
      </c>
      <c r="J206" t="str">
        <f t="shared" si="27"/>
        <v>table-list</v>
      </c>
      <c r="K206" s="32" t="s">
        <v>156</v>
      </c>
    </row>
    <row r="207" spans="1:11" x14ac:dyDescent="0.25">
      <c r="A207" t="s">
        <v>35</v>
      </c>
      <c r="B207" t="str">
        <f>CONCATENATE(SUBSTITUTE(A207," ","_"),"_",C207)</f>
        <v>select_multiple_q1_cb1</v>
      </c>
      <c r="C207" t="s">
        <v>1315</v>
      </c>
      <c r="D207" t="s">
        <v>35</v>
      </c>
      <c r="E207" t="str">
        <f t="shared" si="33"/>
        <v>Cb1. select_multiple q1</v>
      </c>
      <c r="F207" t="str">
        <f t="shared" ref="F207:F208" si="35">A207</f>
        <v>select_multiple q1</v>
      </c>
      <c r="G207" t="str">
        <f t="shared" ref="G207:G208" si="36">CONCATENATE(PROPER(C207),". ",D207)</f>
        <v>Cb1. select_multiple q1</v>
      </c>
      <c r="H207" t="str">
        <f t="shared" ref="H207:H208" si="37">A207</f>
        <v>select_multiple q1</v>
      </c>
      <c r="J207" t="str">
        <f t="shared" si="27"/>
        <v/>
      </c>
    </row>
    <row r="208" spans="1:11" x14ac:dyDescent="0.25">
      <c r="A208" t="s">
        <v>35</v>
      </c>
      <c r="B208" t="str">
        <f>CONCATENATE(SUBSTITUTE(A208," ","_"),"_",C208)</f>
        <v>select_multiple_q1_cb2</v>
      </c>
      <c r="C208" t="s">
        <v>1316</v>
      </c>
      <c r="D208" t="s">
        <v>35</v>
      </c>
      <c r="E208" t="str">
        <f t="shared" si="33"/>
        <v>Cb2. select_multiple q1</v>
      </c>
      <c r="F208" t="str">
        <f t="shared" si="35"/>
        <v>select_multiple q1</v>
      </c>
      <c r="G208" t="str">
        <f t="shared" si="36"/>
        <v>Cb2. select_multiple q1</v>
      </c>
      <c r="H208" t="str">
        <f t="shared" si="37"/>
        <v>select_multiple q1</v>
      </c>
      <c r="J208" t="str">
        <f t="shared" si="27"/>
        <v/>
      </c>
    </row>
    <row r="209" spans="1:21" x14ac:dyDescent="0.25">
      <c r="A209" t="s">
        <v>39</v>
      </c>
      <c r="E209" t="str">
        <f t="shared" si="33"/>
        <v xml:space="preserve">. </v>
      </c>
      <c r="J209" t="str">
        <f t="shared" si="27"/>
        <v/>
      </c>
    </row>
    <row r="210" spans="1:21" x14ac:dyDescent="0.25">
      <c r="A210" t="s">
        <v>39</v>
      </c>
      <c r="E210" t="str">
        <f t="shared" si="33"/>
        <v xml:space="preserve">. </v>
      </c>
      <c r="J210" t="str">
        <f t="shared" si="27"/>
        <v/>
      </c>
    </row>
    <row r="211" spans="1:21" x14ac:dyDescent="0.25">
      <c r="A211" t="s">
        <v>38</v>
      </c>
      <c r="B211" t="str">
        <f>CONCATENATE("bg_section_",C211)</f>
        <v>bg_section_d</v>
      </c>
      <c r="C211" t="s">
        <v>614</v>
      </c>
      <c r="D211" t="s">
        <v>1001</v>
      </c>
      <c r="E211" t="str">
        <f t="shared" si="33"/>
        <v>D. INTEGER appearance</v>
      </c>
      <c r="G211" t="str">
        <f>CONCATENATE(PROPER(C211),". ",D211)</f>
        <v>D. INTEGER appearance</v>
      </c>
      <c r="J211" t="str">
        <f t="shared" si="27"/>
        <v>section</v>
      </c>
      <c r="K211" t="s">
        <v>43</v>
      </c>
      <c r="R211" t="s">
        <v>193</v>
      </c>
    </row>
    <row r="212" spans="1:21" x14ac:dyDescent="0.25">
      <c r="A212" t="s">
        <v>38</v>
      </c>
      <c r="B212" t="str">
        <f>CONCATENATE("bg_field_",C212)</f>
        <v>bg_field_d</v>
      </c>
      <c r="C212" t="s">
        <v>614</v>
      </c>
      <c r="D212" t="s">
        <v>1001</v>
      </c>
      <c r="E212" t="str">
        <f t="shared" si="33"/>
        <v>D. INTEGER appearance</v>
      </c>
      <c r="G212" t="str">
        <f>CONCATENATE(PROPER(C212),". ",D212)</f>
        <v>D. INTEGER appearance</v>
      </c>
      <c r="J212" t="str">
        <f t="shared" si="27"/>
        <v>field-list</v>
      </c>
      <c r="K212" t="s">
        <v>40</v>
      </c>
    </row>
    <row r="213" spans="1:21" x14ac:dyDescent="0.25">
      <c r="A213" t="s">
        <v>37</v>
      </c>
      <c r="B213" t="str">
        <f>CONCATENATE(SUBSTITUTE(A213," ","_"),"_",C213)</f>
        <v>note_d</v>
      </c>
      <c r="C213" t="s">
        <v>614</v>
      </c>
      <c r="D213" t="s">
        <v>103</v>
      </c>
      <c r="E213" t="str">
        <f t="shared" si="33"/>
        <v>D. INTEGER</v>
      </c>
      <c r="F213" t="s">
        <v>1000</v>
      </c>
      <c r="G213" t="s">
        <v>103</v>
      </c>
      <c r="H213" t="s">
        <v>1000</v>
      </c>
      <c r="J213" t="str">
        <f t="shared" si="27"/>
        <v/>
      </c>
    </row>
    <row r="214" spans="1:21" x14ac:dyDescent="0.25">
      <c r="A214" t="s">
        <v>23</v>
      </c>
      <c r="B214" t="str">
        <f t="shared" ref="B214:B240" si="38">CONCATENATE(SUBSTITUTE(A214," ","_"),"_",C214)</f>
        <v>integer_d1</v>
      </c>
      <c r="C214" t="s">
        <v>615</v>
      </c>
      <c r="E214" t="str">
        <f t="shared" ref="E214:E240" si="39">CONCATENATE(PROPER(C214),". ",J214)</f>
        <v>D1. thousandsep</v>
      </c>
      <c r="F214" t="str">
        <f t="shared" ref="F214:F240" si="40">A214</f>
        <v>integer</v>
      </c>
      <c r="G214" t="str">
        <f t="shared" ref="G214:G240" si="41">CONCATENATE(PROPER(C214),". ",J214)</f>
        <v>D1. thousandsep</v>
      </c>
      <c r="H214" t="str">
        <f t="shared" ref="H214:H240" si="42">A214</f>
        <v>integer</v>
      </c>
      <c r="J214" t="str">
        <f t="shared" si="27"/>
        <v>thousandsep</v>
      </c>
      <c r="K214" s="32" t="s">
        <v>47</v>
      </c>
    </row>
    <row r="215" spans="1:21" x14ac:dyDescent="0.25">
      <c r="A215" t="s">
        <v>23</v>
      </c>
      <c r="B215" t="str">
        <f t="shared" si="38"/>
        <v>integer_d2</v>
      </c>
      <c r="C215" t="s">
        <v>616</v>
      </c>
      <c r="E215" t="str">
        <f t="shared" si="39"/>
        <v>D2. digisep(3,"-")</v>
      </c>
      <c r="F215" t="str">
        <f t="shared" si="40"/>
        <v>integer</v>
      </c>
      <c r="G215" t="str">
        <f t="shared" si="41"/>
        <v>D2. digisep(3,"-")</v>
      </c>
      <c r="H215" t="str">
        <f t="shared" si="42"/>
        <v>integer</v>
      </c>
      <c r="J215" t="str">
        <f t="shared" si="27"/>
        <v>digisep(3,"-")</v>
      </c>
      <c r="K215" s="32" t="s">
        <v>183</v>
      </c>
    </row>
    <row r="216" spans="1:21" x14ac:dyDescent="0.25">
      <c r="A216" t="s">
        <v>23</v>
      </c>
      <c r="B216" t="str">
        <f t="shared" si="38"/>
        <v>integer_d3</v>
      </c>
      <c r="C216" t="s">
        <v>617</v>
      </c>
      <c r="E216" t="str">
        <f t="shared" si="39"/>
        <v>D3. embed</v>
      </c>
      <c r="F216" t="str">
        <f t="shared" si="40"/>
        <v>integer</v>
      </c>
      <c r="G216" t="str">
        <f t="shared" si="41"/>
        <v>D3. embed</v>
      </c>
      <c r="H216" t="str">
        <f t="shared" si="42"/>
        <v>integer</v>
      </c>
      <c r="J216" t="str">
        <f t="shared" si="27"/>
        <v>embed</v>
      </c>
      <c r="K216" s="32" t="s">
        <v>48</v>
      </c>
    </row>
    <row r="217" spans="1:21" x14ac:dyDescent="0.25">
      <c r="A217" t="s">
        <v>23</v>
      </c>
      <c r="B217" t="str">
        <f t="shared" si="38"/>
        <v>integer_d4</v>
      </c>
      <c r="C217" t="s">
        <v>618</v>
      </c>
      <c r="E217" t="str">
        <f t="shared" si="39"/>
        <v>D4. text-nolabel</v>
      </c>
      <c r="F217" t="str">
        <f t="shared" si="40"/>
        <v>integer</v>
      </c>
      <c r="G217" t="str">
        <f t="shared" si="41"/>
        <v>D4. text-nolabel</v>
      </c>
      <c r="H217" t="str">
        <f t="shared" si="42"/>
        <v>integer</v>
      </c>
      <c r="J217" t="str">
        <f t="shared" si="27"/>
        <v>text-nolabel</v>
      </c>
      <c r="K217" s="32" t="s">
        <v>44</v>
      </c>
    </row>
    <row r="218" spans="1:21" x14ac:dyDescent="0.25">
      <c r="A218" t="s">
        <v>23</v>
      </c>
      <c r="B218" t="str">
        <f t="shared" si="38"/>
        <v>integer_d5</v>
      </c>
      <c r="C218" t="s">
        <v>619</v>
      </c>
      <c r="E218" t="str">
        <f t="shared" si="39"/>
        <v>D5. align_answer = center</v>
      </c>
      <c r="F218" t="str">
        <f t="shared" si="40"/>
        <v>integer</v>
      </c>
      <c r="G218" t="str">
        <f t="shared" si="41"/>
        <v>D5. align_answer = center</v>
      </c>
      <c r="H218" t="str">
        <f t="shared" si="42"/>
        <v>integer</v>
      </c>
      <c r="J218" t="str">
        <f t="shared" si="27"/>
        <v>align_answer = center</v>
      </c>
      <c r="K218" s="32" t="s">
        <v>105</v>
      </c>
    </row>
    <row r="219" spans="1:21" x14ac:dyDescent="0.25">
      <c r="A219" t="s">
        <v>23</v>
      </c>
      <c r="B219" t="str">
        <f t="shared" si="38"/>
        <v>integer_d6</v>
      </c>
      <c r="C219" t="s">
        <v>620</v>
      </c>
      <c r="E219" t="str">
        <f t="shared" si="39"/>
        <v>D6. text-nolabel align_answer = center</v>
      </c>
      <c r="F219" t="str">
        <f t="shared" si="40"/>
        <v>integer</v>
      </c>
      <c r="G219" t="str">
        <f t="shared" si="41"/>
        <v>D6. text-nolabel align_answer = center</v>
      </c>
      <c r="H219" t="str">
        <f t="shared" si="42"/>
        <v>integer</v>
      </c>
      <c r="J219" t="str">
        <f t="shared" si="27"/>
        <v>text-nolabel align_answer = center</v>
      </c>
      <c r="K219" s="32" t="s">
        <v>106</v>
      </c>
    </row>
    <row r="220" spans="1:21" x14ac:dyDescent="0.25">
      <c r="A220" t="s">
        <v>23</v>
      </c>
      <c r="B220" t="str">
        <f t="shared" si="38"/>
        <v>integer_d7</v>
      </c>
      <c r="C220" t="s">
        <v>621</v>
      </c>
      <c r="E220" t="str">
        <f t="shared" si="39"/>
        <v>D7. embed align_answer = center</v>
      </c>
      <c r="F220" t="str">
        <f t="shared" si="40"/>
        <v>integer</v>
      </c>
      <c r="G220" t="str">
        <f t="shared" si="41"/>
        <v>D7. embed align_answer = center</v>
      </c>
      <c r="H220" t="str">
        <f t="shared" si="42"/>
        <v>integer</v>
      </c>
      <c r="J220" t="str">
        <f t="shared" si="27"/>
        <v>embed align_answer = center</v>
      </c>
      <c r="K220" s="32" t="s">
        <v>108</v>
      </c>
    </row>
    <row r="221" spans="1:21" x14ac:dyDescent="0.25">
      <c r="A221" t="s">
        <v>23</v>
      </c>
      <c r="B221" t="str">
        <f t="shared" si="38"/>
        <v>integer_d8</v>
      </c>
      <c r="C221" t="s">
        <v>622</v>
      </c>
      <c r="E221" t="str">
        <f t="shared" si="39"/>
        <v>D8. embed text-nolabel</v>
      </c>
      <c r="F221" t="str">
        <f t="shared" si="40"/>
        <v>integer</v>
      </c>
      <c r="G221" t="str">
        <f t="shared" si="41"/>
        <v>D8. embed text-nolabel</v>
      </c>
      <c r="H221" t="str">
        <f t="shared" si="42"/>
        <v>integer</v>
      </c>
      <c r="J221" t="str">
        <f t="shared" si="27"/>
        <v>embed text-nolabel</v>
      </c>
      <c r="K221" s="32" t="s">
        <v>52</v>
      </c>
    </row>
    <row r="222" spans="1:21" x14ac:dyDescent="0.25">
      <c r="A222" t="s">
        <v>23</v>
      </c>
      <c r="B222" t="str">
        <f t="shared" si="38"/>
        <v>integer_d9</v>
      </c>
      <c r="C222" t="s">
        <v>623</v>
      </c>
      <c r="E222" t="str">
        <f t="shared" si="39"/>
        <v>D9. embed text-nolabel align_answer = center</v>
      </c>
      <c r="F222" t="str">
        <f t="shared" si="40"/>
        <v>integer</v>
      </c>
      <c r="G222" t="str">
        <f t="shared" si="41"/>
        <v>D9. embed text-nolabel align_answer = center</v>
      </c>
      <c r="H222" t="str">
        <f t="shared" si="42"/>
        <v>integer</v>
      </c>
      <c r="J222" t="str">
        <f t="shared" si="27"/>
        <v>embed text-nolabel align_answer = center</v>
      </c>
      <c r="K222" s="32" t="s">
        <v>107</v>
      </c>
    </row>
    <row r="223" spans="1:21" s="42" customFormat="1" x14ac:dyDescent="0.25">
      <c r="A223" s="42" t="s">
        <v>23</v>
      </c>
      <c r="B223" s="42" t="str">
        <f t="shared" si="38"/>
        <v>integer_d10</v>
      </c>
      <c r="C223" s="42" t="s">
        <v>624</v>
      </c>
      <c r="E223" t="str">
        <f t="shared" si="39"/>
        <v>D10. selection_one_hide::na</v>
      </c>
      <c r="F223" s="42" t="str">
        <f t="shared" si="40"/>
        <v>integer</v>
      </c>
      <c r="G223" t="str">
        <f t="shared" si="41"/>
        <v>D10. selection_one_hide::na</v>
      </c>
      <c r="H223" s="42" t="str">
        <f t="shared" si="42"/>
        <v>integer</v>
      </c>
      <c r="J223" s="42" t="str">
        <f t="shared" si="27"/>
        <v>selection_one_hide::na</v>
      </c>
      <c r="K223" s="43" t="s">
        <v>49</v>
      </c>
      <c r="R223" s="42" t="s">
        <v>1355</v>
      </c>
      <c r="U223" s="42" t="s">
        <v>1768</v>
      </c>
    </row>
    <row r="224" spans="1:21" s="42" customFormat="1" x14ac:dyDescent="0.25">
      <c r="A224" s="42" t="s">
        <v>23</v>
      </c>
      <c r="B224" s="42" t="str">
        <f t="shared" si="38"/>
        <v>integer_d11</v>
      </c>
      <c r="C224" s="42" t="s">
        <v>625</v>
      </c>
      <c r="E224" t="str">
        <f t="shared" si="39"/>
        <v>D11. selection_one_show::na</v>
      </c>
      <c r="F224" s="42" t="str">
        <f t="shared" si="40"/>
        <v>integer</v>
      </c>
      <c r="G224" t="str">
        <f t="shared" si="41"/>
        <v>D11. selection_one_show::na</v>
      </c>
      <c r="H224" s="42" t="str">
        <f t="shared" si="42"/>
        <v>integer</v>
      </c>
      <c r="J224" s="42" t="str">
        <f t="shared" si="27"/>
        <v>selection_one_show::na</v>
      </c>
      <c r="K224" s="43" t="s">
        <v>50</v>
      </c>
      <c r="R224" s="42" t="s">
        <v>1355</v>
      </c>
      <c r="U224" s="42" t="s">
        <v>1768</v>
      </c>
    </row>
    <row r="225" spans="1:21" x14ac:dyDescent="0.25">
      <c r="A225" t="s">
        <v>23</v>
      </c>
      <c r="B225" t="str">
        <f t="shared" si="38"/>
        <v>integer_d12</v>
      </c>
      <c r="C225" t="s">
        <v>626</v>
      </c>
      <c r="E225" t="str">
        <f t="shared" si="39"/>
        <v>D12. selection_one_hide search-autocomplete-noedit(concat(${family_path},'/contact_all.db::externalData'),'[contact_name]','contact_id')</v>
      </c>
      <c r="F225" t="str">
        <f t="shared" si="40"/>
        <v>integer</v>
      </c>
      <c r="G225" t="str">
        <f t="shared" si="41"/>
        <v>D12. selection_one_hide search-autocomplete-noedit(concat(${family_path},'/contact_all.db::externalData'),'[contact_name]','contact_id')</v>
      </c>
      <c r="H225" t="str">
        <f t="shared" si="42"/>
        <v>integer</v>
      </c>
      <c r="J225" t="str">
        <f t="shared" ref="J225:J288" si="43">TRIM(CONCATENATE(K225," ",L225," ",M225))</f>
        <v>selection_one_hide search-autocomplete-noedit(concat(${family_path},'/contact_all.db::externalData'),'[contact_name]','contact_id')</v>
      </c>
      <c r="K225" s="32" t="s">
        <v>419</v>
      </c>
      <c r="U225" t="s">
        <v>1768</v>
      </c>
    </row>
    <row r="226" spans="1:21" x14ac:dyDescent="0.25">
      <c r="A226" t="s">
        <v>23</v>
      </c>
      <c r="B226" t="str">
        <f t="shared" si="38"/>
        <v>integer_d13</v>
      </c>
      <c r="C226" t="s">
        <v>627</v>
      </c>
      <c r="E226" t="str">
        <f t="shared" si="39"/>
        <v>D13. selection_one_show search-autocomplete-noedit(concat(${family_path},'/contact_all.db::externalData'),'[contact_name]','contact_id')</v>
      </c>
      <c r="F226" t="str">
        <f t="shared" si="40"/>
        <v>integer</v>
      </c>
      <c r="G226" t="str">
        <f t="shared" si="41"/>
        <v>D13. selection_one_show search-autocomplete-noedit(concat(${family_path},'/contact_all.db::externalData'),'[contact_name]','contact_id')</v>
      </c>
      <c r="H226" t="str">
        <f t="shared" si="42"/>
        <v>integer</v>
      </c>
      <c r="J226" t="str">
        <f t="shared" si="43"/>
        <v>selection_one_show search-autocomplete-noedit(concat(${family_path},'/contact_all.db::externalData'),'[contact_name]','contact_id')</v>
      </c>
      <c r="K226" s="32" t="s">
        <v>420</v>
      </c>
      <c r="U226" t="s">
        <v>1768</v>
      </c>
    </row>
    <row r="227" spans="1:21" x14ac:dyDescent="0.25">
      <c r="A227" t="s">
        <v>23</v>
      </c>
      <c r="B227" t="str">
        <f t="shared" si="38"/>
        <v>integer_d14</v>
      </c>
      <c r="C227" t="s">
        <v>628</v>
      </c>
      <c r="E227" t="str">
        <f t="shared" si="39"/>
        <v>D14. textpopup</v>
      </c>
      <c r="F227" t="str">
        <f t="shared" si="40"/>
        <v>integer</v>
      </c>
      <c r="G227" t="str">
        <f t="shared" si="41"/>
        <v>D14. textpopup</v>
      </c>
      <c r="H227" t="str">
        <f t="shared" si="42"/>
        <v>integer</v>
      </c>
      <c r="J227" t="str">
        <f t="shared" si="43"/>
        <v>textpopup</v>
      </c>
      <c r="K227" s="32" t="s">
        <v>51</v>
      </c>
    </row>
    <row r="228" spans="1:21" x14ac:dyDescent="0.25">
      <c r="A228" t="s">
        <v>23</v>
      </c>
      <c r="B228" t="str">
        <f t="shared" si="38"/>
        <v>integer_d15</v>
      </c>
      <c r="C228" t="s">
        <v>629</v>
      </c>
      <c r="E228" t="str">
        <f t="shared" si="39"/>
        <v>D15. textpopup thousandsep</v>
      </c>
      <c r="F228" t="str">
        <f t="shared" si="40"/>
        <v>integer</v>
      </c>
      <c r="G228" t="str">
        <f t="shared" si="41"/>
        <v>D15. textpopup thousandsep</v>
      </c>
      <c r="H228" t="str">
        <f t="shared" si="42"/>
        <v>integer</v>
      </c>
      <c r="J228" t="str">
        <f t="shared" si="43"/>
        <v>textpopup thousandsep</v>
      </c>
      <c r="K228" s="32" t="s">
        <v>248</v>
      </c>
    </row>
    <row r="229" spans="1:21" x14ac:dyDescent="0.25">
      <c r="A229" t="s">
        <v>23</v>
      </c>
      <c r="B229" t="str">
        <f t="shared" si="38"/>
        <v>integer_d16</v>
      </c>
      <c r="C229" t="s">
        <v>630</v>
      </c>
      <c r="E229" t="str">
        <f t="shared" si="39"/>
        <v>D16. textpopup digisep(3,"-")</v>
      </c>
      <c r="F229" t="str">
        <f t="shared" si="40"/>
        <v>integer</v>
      </c>
      <c r="G229" t="str">
        <f t="shared" si="41"/>
        <v>D16. textpopup digisep(3,"-")</v>
      </c>
      <c r="H229" t="str">
        <f t="shared" si="42"/>
        <v>integer</v>
      </c>
      <c r="J229" t="str">
        <f t="shared" si="43"/>
        <v>textpopup digisep(3,"-")</v>
      </c>
      <c r="K229" s="32" t="s">
        <v>1181</v>
      </c>
    </row>
    <row r="230" spans="1:21" x14ac:dyDescent="0.25">
      <c r="A230" t="s">
        <v>23</v>
      </c>
      <c r="B230" t="str">
        <f t="shared" si="38"/>
        <v>integer_d17</v>
      </c>
      <c r="C230" t="s">
        <v>631</v>
      </c>
      <c r="E230" t="str">
        <f t="shared" si="39"/>
        <v>D17. charcount</v>
      </c>
      <c r="F230" t="str">
        <f t="shared" si="40"/>
        <v>integer</v>
      </c>
      <c r="G230" t="str">
        <f t="shared" si="41"/>
        <v>D17. charcount</v>
      </c>
      <c r="H230" t="str">
        <f t="shared" si="42"/>
        <v>integer</v>
      </c>
      <c r="J230" t="str">
        <f t="shared" si="43"/>
        <v>charcount</v>
      </c>
      <c r="K230" s="32" t="s">
        <v>249</v>
      </c>
    </row>
    <row r="231" spans="1:21" x14ac:dyDescent="0.25">
      <c r="A231" t="s">
        <v>23</v>
      </c>
      <c r="B231" t="str">
        <f t="shared" si="38"/>
        <v>integer_d18</v>
      </c>
      <c r="C231" t="s">
        <v>632</v>
      </c>
      <c r="E231" t="str">
        <f t="shared" si="39"/>
        <v>D18. horizontal(60)</v>
      </c>
      <c r="F231" t="str">
        <f t="shared" si="40"/>
        <v>integer</v>
      </c>
      <c r="G231" t="str">
        <f t="shared" si="41"/>
        <v>D18. horizontal(60)</v>
      </c>
      <c r="H231" t="str">
        <f t="shared" si="42"/>
        <v>integer</v>
      </c>
      <c r="J231" t="str">
        <f t="shared" si="43"/>
        <v>horizontal(60)</v>
      </c>
      <c r="K231" s="32" t="s">
        <v>1343</v>
      </c>
    </row>
    <row r="232" spans="1:21" x14ac:dyDescent="0.25">
      <c r="A232" t="s">
        <v>23</v>
      </c>
      <c r="B232" t="str">
        <f t="shared" si="38"/>
        <v>integer_d19</v>
      </c>
      <c r="C232" t="s">
        <v>633</v>
      </c>
      <c r="E232" t="str">
        <f t="shared" si="39"/>
        <v>D19. horizontal(40) embed</v>
      </c>
      <c r="F232" t="str">
        <f t="shared" si="40"/>
        <v>integer</v>
      </c>
      <c r="G232" t="str">
        <f t="shared" si="41"/>
        <v>D19. horizontal(40) embed</v>
      </c>
      <c r="H232" t="str">
        <f t="shared" si="42"/>
        <v>integer</v>
      </c>
      <c r="J232" t="str">
        <f t="shared" si="43"/>
        <v>horizontal(40) embed</v>
      </c>
      <c r="K232" s="32" t="s">
        <v>1344</v>
      </c>
    </row>
    <row r="233" spans="1:21" x14ac:dyDescent="0.25">
      <c r="A233" t="s">
        <v>23</v>
      </c>
      <c r="B233" t="str">
        <f t="shared" si="38"/>
        <v>integer_d20</v>
      </c>
      <c r="C233" t="s">
        <v>1039</v>
      </c>
      <c r="E233" t="str">
        <f t="shared" si="39"/>
        <v>D20. floating_hint</v>
      </c>
      <c r="F233" t="str">
        <f t="shared" si="40"/>
        <v>integer</v>
      </c>
      <c r="G233" t="str">
        <f t="shared" si="41"/>
        <v>D20. floating_hint</v>
      </c>
      <c r="H233" t="str">
        <f t="shared" si="42"/>
        <v>integer</v>
      </c>
      <c r="J233" t="str">
        <f t="shared" si="43"/>
        <v>floating_hint</v>
      </c>
      <c r="K233" s="32" t="s">
        <v>475</v>
      </c>
    </row>
    <row r="234" spans="1:21" x14ac:dyDescent="0.25">
      <c r="A234" t="s">
        <v>23</v>
      </c>
      <c r="B234" t="str">
        <f t="shared" si="38"/>
        <v>integer_d21</v>
      </c>
      <c r="C234" t="s">
        <v>1273</v>
      </c>
      <c r="E234" t="str">
        <f t="shared" si="39"/>
        <v>D21. calculator-0099FF</v>
      </c>
      <c r="F234" t="str">
        <f t="shared" si="40"/>
        <v>integer</v>
      </c>
      <c r="G234" t="str">
        <f t="shared" si="41"/>
        <v>D21. calculator-0099FF</v>
      </c>
      <c r="H234" t="str">
        <f t="shared" si="42"/>
        <v>integer</v>
      </c>
      <c r="J234" t="str">
        <f t="shared" si="43"/>
        <v>calculator-0099FF</v>
      </c>
      <c r="K234" s="32" t="s">
        <v>1080</v>
      </c>
    </row>
    <row r="235" spans="1:21" x14ac:dyDescent="0.25">
      <c r="A235" t="s">
        <v>23</v>
      </c>
      <c r="B235" t="str">
        <f t="shared" si="38"/>
        <v>integer_d22</v>
      </c>
      <c r="C235" t="s">
        <v>1274</v>
      </c>
      <c r="E235" t="str">
        <f t="shared" si="39"/>
        <v>D22. toc-hide</v>
      </c>
      <c r="F235" t="str">
        <f t="shared" si="40"/>
        <v>integer</v>
      </c>
      <c r="G235" t="str">
        <f t="shared" si="41"/>
        <v>D22. toc-hide</v>
      </c>
      <c r="H235" t="str">
        <f t="shared" si="42"/>
        <v>integer</v>
      </c>
      <c r="J235" t="str">
        <f t="shared" si="43"/>
        <v>toc-hide</v>
      </c>
      <c r="K235" s="32" t="s">
        <v>184</v>
      </c>
    </row>
    <row r="236" spans="1:21" x14ac:dyDescent="0.25">
      <c r="A236" t="s">
        <v>23</v>
      </c>
      <c r="B236" t="str">
        <f t="shared" si="38"/>
        <v>integer_d23</v>
      </c>
      <c r="C236" t="s">
        <v>1275</v>
      </c>
      <c r="E236" t="str">
        <f t="shared" si="39"/>
        <v>D23. invisible</v>
      </c>
      <c r="F236" t="str">
        <f t="shared" si="40"/>
        <v>integer</v>
      </c>
      <c r="G236" t="str">
        <f t="shared" si="41"/>
        <v>D23. invisible</v>
      </c>
      <c r="H236" t="str">
        <f t="shared" si="42"/>
        <v>integer</v>
      </c>
      <c r="J236" t="str">
        <f t="shared" si="43"/>
        <v>invisible</v>
      </c>
      <c r="K236" s="32" t="s">
        <v>45</v>
      </c>
      <c r="U236" t="s">
        <v>1768</v>
      </c>
    </row>
    <row r="237" spans="1:21" x14ac:dyDescent="0.25">
      <c r="A237" t="s">
        <v>23</v>
      </c>
      <c r="B237" t="str">
        <f t="shared" si="38"/>
        <v>integer_d24</v>
      </c>
      <c r="C237" t="s">
        <v>1276</v>
      </c>
      <c r="E237" t="str">
        <f t="shared" si="39"/>
        <v>D24. number-hspinner</v>
      </c>
      <c r="F237" t="str">
        <f t="shared" si="40"/>
        <v>integer</v>
      </c>
      <c r="G237" t="str">
        <f t="shared" si="41"/>
        <v>D24. number-hspinner</v>
      </c>
      <c r="H237" t="str">
        <f t="shared" si="42"/>
        <v>integer</v>
      </c>
      <c r="I237">
        <v>1</v>
      </c>
      <c r="J237" t="str">
        <f t="shared" si="43"/>
        <v>number-hspinner</v>
      </c>
      <c r="K237" s="32" t="s">
        <v>157</v>
      </c>
    </row>
    <row r="238" spans="1:21" x14ac:dyDescent="0.25">
      <c r="A238" t="s">
        <v>23</v>
      </c>
      <c r="B238" t="str">
        <f t="shared" si="38"/>
        <v>integer_d25</v>
      </c>
      <c r="C238" t="s">
        <v>1277</v>
      </c>
      <c r="E238" t="str">
        <f t="shared" si="39"/>
        <v>D25. number-hspinner('left-small-FF9800-ffffff-square', 'right-small-009688-000000-square','1')</v>
      </c>
      <c r="F238" t="str">
        <f t="shared" si="40"/>
        <v>integer</v>
      </c>
      <c r="G238" t="str">
        <f t="shared" si="41"/>
        <v>D25. number-hspinner('left-small-FF9800-ffffff-square', 'right-small-009688-000000-square','1')</v>
      </c>
      <c r="H238" t="str">
        <f t="shared" si="42"/>
        <v>integer</v>
      </c>
      <c r="I238">
        <v>1</v>
      </c>
      <c r="J238" t="str">
        <f t="shared" si="43"/>
        <v>number-hspinner('left-small-FF9800-ffffff-square', 'right-small-009688-000000-square','1')</v>
      </c>
      <c r="K238" s="32" t="s">
        <v>1333</v>
      </c>
    </row>
    <row r="239" spans="1:21" x14ac:dyDescent="0.25">
      <c r="A239" t="s">
        <v>23</v>
      </c>
      <c r="B239" t="str">
        <f t="shared" si="38"/>
        <v>integer_d26</v>
      </c>
      <c r="C239" t="s">
        <v>1336</v>
      </c>
      <c r="E239" t="str">
        <f t="shared" si="39"/>
        <v>D26. number-hspinner('left-normal-FF9800-ffffff-circle', 'right-normal-009688-000000-circle','123')</v>
      </c>
      <c r="F239" t="str">
        <f t="shared" si="40"/>
        <v>integer</v>
      </c>
      <c r="G239" t="str">
        <f t="shared" si="41"/>
        <v>D26. number-hspinner('left-normal-FF9800-ffffff-circle', 'right-normal-009688-000000-circle','123')</v>
      </c>
      <c r="H239" t="str">
        <f t="shared" si="42"/>
        <v>integer</v>
      </c>
      <c r="I239">
        <v>223</v>
      </c>
      <c r="J239" t="str">
        <f t="shared" si="43"/>
        <v>number-hspinner('left-normal-FF9800-ffffff-circle', 'right-normal-009688-000000-circle','123')</v>
      </c>
      <c r="K239" s="32" t="s">
        <v>1339</v>
      </c>
    </row>
    <row r="240" spans="1:21" x14ac:dyDescent="0.25">
      <c r="A240" t="s">
        <v>23</v>
      </c>
      <c r="B240" t="str">
        <f t="shared" si="38"/>
        <v>integer_d27</v>
      </c>
      <c r="C240" t="s">
        <v>1337</v>
      </c>
      <c r="E240" t="str">
        <f t="shared" si="39"/>
        <v>D27. number-hspinner('left-big-FF9800-ffffff-square', 'right-big-009688-000000-square','1000')</v>
      </c>
      <c r="F240" t="str">
        <f t="shared" si="40"/>
        <v>integer</v>
      </c>
      <c r="G240" t="str">
        <f t="shared" si="41"/>
        <v>D27. number-hspinner('left-big-FF9800-ffffff-square', 'right-big-009688-000000-square','1000')</v>
      </c>
      <c r="H240" t="str">
        <f t="shared" si="42"/>
        <v>integer</v>
      </c>
      <c r="I240">
        <v>5000</v>
      </c>
      <c r="J240" t="str">
        <f t="shared" si="43"/>
        <v>number-hspinner('left-big-FF9800-ffffff-square', 'right-big-009688-000000-square','1000')</v>
      </c>
      <c r="K240" s="32" t="s">
        <v>1340</v>
      </c>
    </row>
    <row r="241" spans="1:21" x14ac:dyDescent="0.25">
      <c r="A241" t="s">
        <v>39</v>
      </c>
      <c r="E241" t="str">
        <f>CONCATENATE(PROPER(C241),". ",D241)</f>
        <v xml:space="preserve">. </v>
      </c>
      <c r="J241" t="str">
        <f t="shared" si="43"/>
        <v/>
      </c>
    </row>
    <row r="242" spans="1:21" x14ac:dyDescent="0.25">
      <c r="A242" t="s">
        <v>39</v>
      </c>
      <c r="E242" t="str">
        <f>CONCATENATE(PROPER(C242),". ",D242)</f>
        <v xml:space="preserve">. </v>
      </c>
      <c r="J242" t="str">
        <f t="shared" si="43"/>
        <v/>
      </c>
    </row>
    <row r="243" spans="1:21" x14ac:dyDescent="0.25">
      <c r="A243" t="s">
        <v>38</v>
      </c>
      <c r="B243" t="str">
        <f>CONCATENATE("bg_section_",C243)</f>
        <v>bg_section_e</v>
      </c>
      <c r="C243" t="s">
        <v>634</v>
      </c>
      <c r="D243" t="s">
        <v>1002</v>
      </c>
      <c r="E243" t="str">
        <f>CONCATENATE(PROPER(C243),". ",D243)</f>
        <v>E. DECIMAL appearance</v>
      </c>
      <c r="G243" t="str">
        <f>CONCATENATE(PROPER(C243),". ",D243)</f>
        <v>E. DECIMAL appearance</v>
      </c>
      <c r="J243" t="str">
        <f t="shared" si="43"/>
        <v>section</v>
      </c>
      <c r="K243" t="s">
        <v>43</v>
      </c>
      <c r="R243" t="s">
        <v>194</v>
      </c>
    </row>
    <row r="244" spans="1:21" x14ac:dyDescent="0.25">
      <c r="A244" t="s">
        <v>38</v>
      </c>
      <c r="B244" t="str">
        <f>CONCATENATE("bg_field_",C244)</f>
        <v>bg_field_e</v>
      </c>
      <c r="C244" t="s">
        <v>634</v>
      </c>
      <c r="D244" t="s">
        <v>1002</v>
      </c>
      <c r="E244" t="str">
        <f>CONCATENATE(PROPER(C244),". ",D244)</f>
        <v>E. DECIMAL appearance</v>
      </c>
      <c r="G244" t="str">
        <f>CONCATENATE(PROPER(C244),". ",D244)</f>
        <v>E. DECIMAL appearance</v>
      </c>
      <c r="J244" t="str">
        <f t="shared" si="43"/>
        <v>field-list</v>
      </c>
      <c r="K244" t="s">
        <v>40</v>
      </c>
    </row>
    <row r="245" spans="1:21" x14ac:dyDescent="0.25">
      <c r="A245" t="s">
        <v>37</v>
      </c>
      <c r="B245" t="str">
        <f>CONCATENATE(SUBSTITUTE(A245," ","_"),"_",C245)</f>
        <v>note_e</v>
      </c>
      <c r="C245" t="s">
        <v>634</v>
      </c>
      <c r="D245" t="s">
        <v>60</v>
      </c>
      <c r="E245" t="str">
        <f>CONCATENATE(PROPER(C245),". ",D245)</f>
        <v>E. DECIMAL</v>
      </c>
      <c r="F245" t="s">
        <v>1000</v>
      </c>
      <c r="G245" t="str">
        <f>CONCATENATE(PROPER(C245),". ",D245)</f>
        <v>E. DECIMAL</v>
      </c>
      <c r="H245" t="s">
        <v>1000</v>
      </c>
      <c r="J245" t="str">
        <f t="shared" si="43"/>
        <v/>
      </c>
    </row>
    <row r="246" spans="1:21" x14ac:dyDescent="0.25">
      <c r="A246" t="s">
        <v>24</v>
      </c>
      <c r="B246" t="str">
        <f t="shared" ref="B246:B272" si="44">CONCATENATE(SUBSTITUTE(A246," ","_"),"_",C246)</f>
        <v>decimal_e1</v>
      </c>
      <c r="C246" t="s">
        <v>635</v>
      </c>
      <c r="E246" t="str">
        <f t="shared" ref="E246:E272" si="45">CONCATENATE(PROPER(C246),". ",J246)</f>
        <v>E1. thousandsep</v>
      </c>
      <c r="F246" t="str">
        <f t="shared" ref="F246:F272" si="46">A246</f>
        <v>decimal</v>
      </c>
      <c r="G246" t="str">
        <f t="shared" ref="G246:G272" si="47">CONCATENATE(PROPER(C246),". ",J246)</f>
        <v>E1. thousandsep</v>
      </c>
      <c r="H246" t="str">
        <f t="shared" ref="H246:H272" si="48">A246</f>
        <v>decimal</v>
      </c>
      <c r="J246" t="str">
        <f t="shared" si="43"/>
        <v>thousandsep</v>
      </c>
      <c r="K246" s="32" t="s">
        <v>47</v>
      </c>
    </row>
    <row r="247" spans="1:21" x14ac:dyDescent="0.25">
      <c r="A247" t="s">
        <v>24</v>
      </c>
      <c r="B247" t="str">
        <f t="shared" si="44"/>
        <v>decimal_e2</v>
      </c>
      <c r="C247" t="s">
        <v>636</v>
      </c>
      <c r="E247" t="str">
        <f t="shared" si="45"/>
        <v>E2. digisep(3,"-")</v>
      </c>
      <c r="F247" t="str">
        <f t="shared" si="46"/>
        <v>decimal</v>
      </c>
      <c r="G247" t="str">
        <f t="shared" si="47"/>
        <v>E2. digisep(3,"-")</v>
      </c>
      <c r="H247" t="str">
        <f t="shared" si="48"/>
        <v>decimal</v>
      </c>
      <c r="J247" t="str">
        <f t="shared" si="43"/>
        <v>digisep(3,"-")</v>
      </c>
      <c r="K247" s="32" t="s">
        <v>183</v>
      </c>
    </row>
    <row r="248" spans="1:21" x14ac:dyDescent="0.25">
      <c r="A248" t="s">
        <v>24</v>
      </c>
      <c r="B248" t="str">
        <f t="shared" si="44"/>
        <v>decimal_e3</v>
      </c>
      <c r="C248" t="s">
        <v>637</v>
      </c>
      <c r="E248" t="str">
        <f t="shared" si="45"/>
        <v>E3. embed</v>
      </c>
      <c r="F248" t="str">
        <f t="shared" si="46"/>
        <v>decimal</v>
      </c>
      <c r="G248" t="str">
        <f t="shared" si="47"/>
        <v>E3. embed</v>
      </c>
      <c r="H248" t="str">
        <f t="shared" si="48"/>
        <v>decimal</v>
      </c>
      <c r="J248" t="str">
        <f t="shared" si="43"/>
        <v>embed</v>
      </c>
      <c r="K248" s="32" t="s">
        <v>48</v>
      </c>
    </row>
    <row r="249" spans="1:21" x14ac:dyDescent="0.25">
      <c r="A249" t="s">
        <v>24</v>
      </c>
      <c r="B249" t="str">
        <f t="shared" si="44"/>
        <v>decimal_e4</v>
      </c>
      <c r="C249" t="s">
        <v>638</v>
      </c>
      <c r="E249" t="str">
        <f t="shared" si="45"/>
        <v>E4. text-nolabel</v>
      </c>
      <c r="F249" t="str">
        <f t="shared" si="46"/>
        <v>decimal</v>
      </c>
      <c r="G249" t="str">
        <f t="shared" si="47"/>
        <v>E4. text-nolabel</v>
      </c>
      <c r="H249" t="str">
        <f t="shared" si="48"/>
        <v>decimal</v>
      </c>
      <c r="J249" t="str">
        <f t="shared" si="43"/>
        <v>text-nolabel</v>
      </c>
      <c r="K249" s="32" t="s">
        <v>44</v>
      </c>
    </row>
    <row r="250" spans="1:21" x14ac:dyDescent="0.25">
      <c r="A250" t="s">
        <v>24</v>
      </c>
      <c r="B250" t="str">
        <f t="shared" si="44"/>
        <v>decimal_e5</v>
      </c>
      <c r="C250" t="s">
        <v>639</v>
      </c>
      <c r="E250" t="str">
        <f t="shared" si="45"/>
        <v>E5. align_answer = center</v>
      </c>
      <c r="F250" t="str">
        <f t="shared" si="46"/>
        <v>decimal</v>
      </c>
      <c r="G250" t="str">
        <f t="shared" si="47"/>
        <v>E5. align_answer = center</v>
      </c>
      <c r="H250" t="str">
        <f t="shared" si="48"/>
        <v>decimal</v>
      </c>
      <c r="J250" t="str">
        <f t="shared" si="43"/>
        <v>align_answer = center</v>
      </c>
      <c r="K250" s="32" t="s">
        <v>105</v>
      </c>
    </row>
    <row r="251" spans="1:21" x14ac:dyDescent="0.25">
      <c r="A251" t="s">
        <v>24</v>
      </c>
      <c r="B251" t="str">
        <f t="shared" si="44"/>
        <v>decimal_e6</v>
      </c>
      <c r="C251" t="s">
        <v>640</v>
      </c>
      <c r="E251" t="str">
        <f t="shared" si="45"/>
        <v>E6. text-nolabel align_answer = center</v>
      </c>
      <c r="F251" t="str">
        <f t="shared" si="46"/>
        <v>decimal</v>
      </c>
      <c r="G251" t="str">
        <f t="shared" si="47"/>
        <v>E6. text-nolabel align_answer = center</v>
      </c>
      <c r="H251" t="str">
        <f t="shared" si="48"/>
        <v>decimal</v>
      </c>
      <c r="J251" t="str">
        <f t="shared" si="43"/>
        <v>text-nolabel align_answer = center</v>
      </c>
      <c r="K251" s="32" t="s">
        <v>106</v>
      </c>
    </row>
    <row r="252" spans="1:21" x14ac:dyDescent="0.25">
      <c r="A252" t="s">
        <v>24</v>
      </c>
      <c r="B252" t="str">
        <f t="shared" si="44"/>
        <v>decimal_e7</v>
      </c>
      <c r="C252" t="s">
        <v>641</v>
      </c>
      <c r="E252" t="str">
        <f t="shared" si="45"/>
        <v>E7. embed align_answer = center</v>
      </c>
      <c r="F252" t="str">
        <f t="shared" si="46"/>
        <v>decimal</v>
      </c>
      <c r="G252" t="str">
        <f t="shared" si="47"/>
        <v>E7. embed align_answer = center</v>
      </c>
      <c r="H252" t="str">
        <f t="shared" si="48"/>
        <v>decimal</v>
      </c>
      <c r="J252" t="str">
        <f t="shared" si="43"/>
        <v>embed align_answer = center</v>
      </c>
      <c r="K252" s="32" t="s">
        <v>108</v>
      </c>
    </row>
    <row r="253" spans="1:21" x14ac:dyDescent="0.25">
      <c r="A253" t="s">
        <v>24</v>
      </c>
      <c r="B253" t="str">
        <f t="shared" si="44"/>
        <v>decimal_e8</v>
      </c>
      <c r="C253" t="s">
        <v>642</v>
      </c>
      <c r="E253" t="str">
        <f t="shared" si="45"/>
        <v>E8. embed text-nolabel</v>
      </c>
      <c r="F253" t="str">
        <f t="shared" si="46"/>
        <v>decimal</v>
      </c>
      <c r="G253" t="str">
        <f t="shared" si="47"/>
        <v>E8. embed text-nolabel</v>
      </c>
      <c r="H253" t="str">
        <f t="shared" si="48"/>
        <v>decimal</v>
      </c>
      <c r="J253" t="str">
        <f t="shared" si="43"/>
        <v>embed text-nolabel</v>
      </c>
      <c r="K253" s="32" t="s">
        <v>52</v>
      </c>
    </row>
    <row r="254" spans="1:21" x14ac:dyDescent="0.25">
      <c r="A254" t="s">
        <v>24</v>
      </c>
      <c r="B254" t="str">
        <f t="shared" si="44"/>
        <v>decimal_e9</v>
      </c>
      <c r="C254" t="s">
        <v>643</v>
      </c>
      <c r="E254" t="str">
        <f t="shared" si="45"/>
        <v>E9. embed text-nolabel align_answer = center</v>
      </c>
      <c r="F254" t="str">
        <f t="shared" si="46"/>
        <v>decimal</v>
      </c>
      <c r="G254" t="str">
        <f t="shared" si="47"/>
        <v>E9. embed text-nolabel align_answer = center</v>
      </c>
      <c r="H254" t="str">
        <f t="shared" si="48"/>
        <v>decimal</v>
      </c>
      <c r="J254" t="str">
        <f t="shared" si="43"/>
        <v>embed text-nolabel align_answer = center</v>
      </c>
      <c r="K254" s="32" t="s">
        <v>107</v>
      </c>
    </row>
    <row r="255" spans="1:21" s="42" customFormat="1" x14ac:dyDescent="0.25">
      <c r="A255" s="42" t="s">
        <v>24</v>
      </c>
      <c r="B255" s="42" t="str">
        <f t="shared" si="44"/>
        <v>decimal_e10</v>
      </c>
      <c r="C255" s="42" t="s">
        <v>644</v>
      </c>
      <c r="E255" s="42" t="str">
        <f t="shared" si="45"/>
        <v>E10. selection_one_hide::na</v>
      </c>
      <c r="F255" s="42" t="str">
        <f t="shared" si="46"/>
        <v>decimal</v>
      </c>
      <c r="G255" s="42" t="str">
        <f t="shared" si="47"/>
        <v>E10. selection_one_hide::na</v>
      </c>
      <c r="H255" s="42" t="str">
        <f t="shared" si="48"/>
        <v>decimal</v>
      </c>
      <c r="J255" s="42" t="str">
        <f t="shared" si="43"/>
        <v>selection_one_hide::na</v>
      </c>
      <c r="K255" s="43" t="s">
        <v>49</v>
      </c>
      <c r="R255" s="42" t="s">
        <v>1355</v>
      </c>
      <c r="U255" s="42" t="s">
        <v>1768</v>
      </c>
    </row>
    <row r="256" spans="1:21" s="42" customFormat="1" x14ac:dyDescent="0.25">
      <c r="A256" s="42" t="s">
        <v>24</v>
      </c>
      <c r="B256" s="42" t="str">
        <f t="shared" si="44"/>
        <v>decimal_e11</v>
      </c>
      <c r="C256" s="42" t="s">
        <v>645</v>
      </c>
      <c r="E256" s="42" t="str">
        <f t="shared" si="45"/>
        <v>E11. selection_one_show::na</v>
      </c>
      <c r="F256" s="42" t="str">
        <f t="shared" si="46"/>
        <v>decimal</v>
      </c>
      <c r="G256" s="42" t="str">
        <f t="shared" si="47"/>
        <v>E11. selection_one_show::na</v>
      </c>
      <c r="H256" s="42" t="str">
        <f t="shared" si="48"/>
        <v>decimal</v>
      </c>
      <c r="J256" s="42" t="str">
        <f t="shared" si="43"/>
        <v>selection_one_show::na</v>
      </c>
      <c r="K256" s="43" t="s">
        <v>50</v>
      </c>
      <c r="R256" s="42" t="s">
        <v>1355</v>
      </c>
      <c r="U256" s="42" t="s">
        <v>1768</v>
      </c>
    </row>
    <row r="257" spans="1:21" x14ac:dyDescent="0.25">
      <c r="A257" t="s">
        <v>24</v>
      </c>
      <c r="B257" t="str">
        <f t="shared" si="44"/>
        <v>decimal_e12</v>
      </c>
      <c r="C257" t="s">
        <v>646</v>
      </c>
      <c r="E257" t="str">
        <f t="shared" si="45"/>
        <v>E12. selection_one_hide search-autocomplete-noedit(concat(${family_path},'/contact_all.db::externalData'),'[contact_name]','contact_id')</v>
      </c>
      <c r="F257" t="str">
        <f t="shared" si="46"/>
        <v>decimal</v>
      </c>
      <c r="G257" t="str">
        <f t="shared" si="47"/>
        <v>E12. selection_one_hide search-autocomplete-noedit(concat(${family_path},'/contact_all.db::externalData'),'[contact_name]','contact_id')</v>
      </c>
      <c r="H257" t="str">
        <f t="shared" si="48"/>
        <v>decimal</v>
      </c>
      <c r="J257" t="str">
        <f t="shared" si="43"/>
        <v>selection_one_hide search-autocomplete-noedit(concat(${family_path},'/contact_all.db::externalData'),'[contact_name]','contact_id')</v>
      </c>
      <c r="K257" s="32" t="s">
        <v>419</v>
      </c>
      <c r="U257" t="s">
        <v>1768</v>
      </c>
    </row>
    <row r="258" spans="1:21" x14ac:dyDescent="0.25">
      <c r="A258" t="s">
        <v>24</v>
      </c>
      <c r="B258" t="str">
        <f t="shared" si="44"/>
        <v>decimal_e13</v>
      </c>
      <c r="C258" t="s">
        <v>647</v>
      </c>
      <c r="E258" t="str">
        <f t="shared" si="45"/>
        <v>E13. selection_one_show search-autocomplete-noedit(concat(${family_path},'/contact_all.db::externalData'),'[contact_name]','contact_id')</v>
      </c>
      <c r="F258" t="str">
        <f t="shared" si="46"/>
        <v>decimal</v>
      </c>
      <c r="G258" t="str">
        <f t="shared" si="47"/>
        <v>E13. selection_one_show search-autocomplete-noedit(concat(${family_path},'/contact_all.db::externalData'),'[contact_name]','contact_id')</v>
      </c>
      <c r="H258" t="str">
        <f t="shared" si="48"/>
        <v>decimal</v>
      </c>
      <c r="J258" t="str">
        <f t="shared" si="43"/>
        <v>selection_one_show search-autocomplete-noedit(concat(${family_path},'/contact_all.db::externalData'),'[contact_name]','contact_id')</v>
      </c>
      <c r="K258" s="32" t="s">
        <v>420</v>
      </c>
      <c r="U258" t="s">
        <v>1768</v>
      </c>
    </row>
    <row r="259" spans="1:21" x14ac:dyDescent="0.25">
      <c r="A259" t="s">
        <v>24</v>
      </c>
      <c r="B259" t="str">
        <f t="shared" si="44"/>
        <v>decimal_e14</v>
      </c>
      <c r="C259" t="s">
        <v>648</v>
      </c>
      <c r="E259" t="str">
        <f t="shared" si="45"/>
        <v>E14. textpopup</v>
      </c>
      <c r="F259" t="str">
        <f t="shared" si="46"/>
        <v>decimal</v>
      </c>
      <c r="G259" t="str">
        <f t="shared" si="47"/>
        <v>E14. textpopup</v>
      </c>
      <c r="H259" t="str">
        <f t="shared" si="48"/>
        <v>decimal</v>
      </c>
      <c r="J259" t="str">
        <f t="shared" si="43"/>
        <v>textpopup</v>
      </c>
      <c r="K259" s="32" t="s">
        <v>51</v>
      </c>
    </row>
    <row r="260" spans="1:21" x14ac:dyDescent="0.25">
      <c r="A260" t="s">
        <v>24</v>
      </c>
      <c r="B260" t="str">
        <f t="shared" si="44"/>
        <v>decimal_e15</v>
      </c>
      <c r="C260" t="s">
        <v>649</v>
      </c>
      <c r="E260" t="str">
        <f t="shared" si="45"/>
        <v>E15. textpopup thousandsep</v>
      </c>
      <c r="F260" t="str">
        <f t="shared" si="46"/>
        <v>decimal</v>
      </c>
      <c r="G260" t="str">
        <f t="shared" si="47"/>
        <v>E15. textpopup thousandsep</v>
      </c>
      <c r="H260" t="str">
        <f t="shared" si="48"/>
        <v>decimal</v>
      </c>
      <c r="J260" t="str">
        <f t="shared" si="43"/>
        <v>textpopup thousandsep</v>
      </c>
      <c r="K260" s="32" t="s">
        <v>248</v>
      </c>
    </row>
    <row r="261" spans="1:21" x14ac:dyDescent="0.25">
      <c r="A261" t="s">
        <v>24</v>
      </c>
      <c r="B261" t="str">
        <f t="shared" si="44"/>
        <v>decimal_e16</v>
      </c>
      <c r="C261" t="s">
        <v>650</v>
      </c>
      <c r="E261" t="str">
        <f t="shared" si="45"/>
        <v>E16. textpopup digisep(3,"-")</v>
      </c>
      <c r="F261" t="str">
        <f t="shared" si="46"/>
        <v>decimal</v>
      </c>
      <c r="G261" t="str">
        <f t="shared" si="47"/>
        <v>E16. textpopup digisep(3,"-")</v>
      </c>
      <c r="H261" t="str">
        <f t="shared" si="48"/>
        <v>decimal</v>
      </c>
      <c r="J261" t="str">
        <f t="shared" si="43"/>
        <v>textpopup digisep(3,"-")</v>
      </c>
      <c r="K261" s="32" t="s">
        <v>1181</v>
      </c>
    </row>
    <row r="262" spans="1:21" x14ac:dyDescent="0.25">
      <c r="A262" t="s">
        <v>24</v>
      </c>
      <c r="B262" t="str">
        <f t="shared" si="44"/>
        <v>decimal_e17</v>
      </c>
      <c r="C262" t="s">
        <v>651</v>
      </c>
      <c r="E262" t="str">
        <f t="shared" si="45"/>
        <v>E17. charcount</v>
      </c>
      <c r="F262" t="str">
        <f t="shared" si="46"/>
        <v>decimal</v>
      </c>
      <c r="G262" t="str">
        <f t="shared" si="47"/>
        <v>E17. charcount</v>
      </c>
      <c r="H262" t="str">
        <f t="shared" si="48"/>
        <v>decimal</v>
      </c>
      <c r="J262" t="str">
        <f t="shared" si="43"/>
        <v>charcount</v>
      </c>
      <c r="K262" s="32" t="s">
        <v>249</v>
      </c>
    </row>
    <row r="263" spans="1:21" x14ac:dyDescent="0.25">
      <c r="A263" t="s">
        <v>24</v>
      </c>
      <c r="B263" t="str">
        <f t="shared" si="44"/>
        <v>decimal_e18</v>
      </c>
      <c r="C263" t="s">
        <v>652</v>
      </c>
      <c r="E263" t="str">
        <f t="shared" si="45"/>
        <v>E18. horizontal(60)</v>
      </c>
      <c r="F263" t="str">
        <f t="shared" si="46"/>
        <v>decimal</v>
      </c>
      <c r="G263" t="str">
        <f t="shared" si="47"/>
        <v>E18. horizontal(60)</v>
      </c>
      <c r="H263" t="str">
        <f t="shared" si="48"/>
        <v>decimal</v>
      </c>
      <c r="J263" t="str">
        <f t="shared" si="43"/>
        <v>horizontal(60)</v>
      </c>
      <c r="K263" s="32" t="s">
        <v>1343</v>
      </c>
    </row>
    <row r="264" spans="1:21" x14ac:dyDescent="0.25">
      <c r="A264" t="s">
        <v>24</v>
      </c>
      <c r="B264" t="str">
        <f t="shared" si="44"/>
        <v>decimal_e19</v>
      </c>
      <c r="C264" t="s">
        <v>653</v>
      </c>
      <c r="E264" t="str">
        <f t="shared" si="45"/>
        <v>E19. horizontal(40) embed</v>
      </c>
      <c r="F264" t="str">
        <f t="shared" si="46"/>
        <v>decimal</v>
      </c>
      <c r="G264" t="str">
        <f t="shared" si="47"/>
        <v>E19. horizontal(40) embed</v>
      </c>
      <c r="H264" t="str">
        <f t="shared" si="48"/>
        <v>decimal</v>
      </c>
      <c r="J264" t="str">
        <f t="shared" si="43"/>
        <v>horizontal(40) embed</v>
      </c>
      <c r="K264" s="32" t="s">
        <v>1344</v>
      </c>
    </row>
    <row r="265" spans="1:21" x14ac:dyDescent="0.25">
      <c r="A265" t="s">
        <v>24</v>
      </c>
      <c r="B265" t="str">
        <f t="shared" si="44"/>
        <v>decimal_e20</v>
      </c>
      <c r="C265" t="s">
        <v>1040</v>
      </c>
      <c r="E265" t="str">
        <f t="shared" si="45"/>
        <v>E20. floating_hint</v>
      </c>
      <c r="F265" t="str">
        <f t="shared" si="46"/>
        <v>decimal</v>
      </c>
      <c r="G265" t="str">
        <f t="shared" si="47"/>
        <v>E20. floating_hint</v>
      </c>
      <c r="H265" t="str">
        <f t="shared" si="48"/>
        <v>decimal</v>
      </c>
      <c r="J265" t="str">
        <f t="shared" si="43"/>
        <v>floating_hint</v>
      </c>
      <c r="K265" s="32" t="s">
        <v>475</v>
      </c>
    </row>
    <row r="266" spans="1:21" x14ac:dyDescent="0.25">
      <c r="A266" t="s">
        <v>24</v>
      </c>
      <c r="B266" t="str">
        <f t="shared" si="44"/>
        <v>decimal_e21</v>
      </c>
      <c r="C266" t="s">
        <v>1180</v>
      </c>
      <c r="E266" t="str">
        <f t="shared" si="45"/>
        <v>E21. calculator-0099FF</v>
      </c>
      <c r="F266" t="str">
        <f t="shared" si="46"/>
        <v>decimal</v>
      </c>
      <c r="G266" t="str">
        <f t="shared" si="47"/>
        <v>E21. calculator-0099FF</v>
      </c>
      <c r="H266" t="str">
        <f t="shared" si="48"/>
        <v>decimal</v>
      </c>
      <c r="J266" t="str">
        <f t="shared" si="43"/>
        <v>calculator-0099FF</v>
      </c>
      <c r="K266" s="32" t="s">
        <v>1080</v>
      </c>
    </row>
    <row r="267" spans="1:21" x14ac:dyDescent="0.25">
      <c r="A267" t="s">
        <v>24</v>
      </c>
      <c r="B267" t="str">
        <f t="shared" si="44"/>
        <v>decimal_e22</v>
      </c>
      <c r="C267" t="s">
        <v>1182</v>
      </c>
      <c r="E267" t="str">
        <f t="shared" si="45"/>
        <v>E22. toc-hide</v>
      </c>
      <c r="F267" t="str">
        <f t="shared" si="46"/>
        <v>decimal</v>
      </c>
      <c r="G267" t="str">
        <f t="shared" si="47"/>
        <v>E22. toc-hide</v>
      </c>
      <c r="H267" t="str">
        <f t="shared" si="48"/>
        <v>decimal</v>
      </c>
      <c r="J267" t="str">
        <f t="shared" si="43"/>
        <v>toc-hide</v>
      </c>
      <c r="K267" s="32" t="s">
        <v>184</v>
      </c>
    </row>
    <row r="268" spans="1:21" x14ac:dyDescent="0.25">
      <c r="A268" t="s">
        <v>24</v>
      </c>
      <c r="B268" t="str">
        <f t="shared" si="44"/>
        <v>decimal_e23</v>
      </c>
      <c r="C268" t="s">
        <v>1183</v>
      </c>
      <c r="E268" t="str">
        <f t="shared" si="45"/>
        <v>E23. invisible</v>
      </c>
      <c r="F268" t="str">
        <f t="shared" si="46"/>
        <v>decimal</v>
      </c>
      <c r="G268" t="str">
        <f t="shared" si="47"/>
        <v>E23. invisible</v>
      </c>
      <c r="H268" t="str">
        <f t="shared" si="48"/>
        <v>decimal</v>
      </c>
      <c r="J268" t="str">
        <f t="shared" si="43"/>
        <v>invisible</v>
      </c>
      <c r="K268" s="32" t="s">
        <v>45</v>
      </c>
      <c r="U268" t="s">
        <v>1768</v>
      </c>
    </row>
    <row r="269" spans="1:21" x14ac:dyDescent="0.25">
      <c r="A269" t="s">
        <v>24</v>
      </c>
      <c r="B269" t="str">
        <f t="shared" si="44"/>
        <v>decimal_e24</v>
      </c>
      <c r="C269" t="s">
        <v>1331</v>
      </c>
      <c r="E269" t="str">
        <f t="shared" si="45"/>
        <v>E24. number-hspinner</v>
      </c>
      <c r="F269" t="str">
        <f t="shared" si="46"/>
        <v>decimal</v>
      </c>
      <c r="G269" t="str">
        <f t="shared" si="47"/>
        <v>E24. number-hspinner</v>
      </c>
      <c r="H269" t="str">
        <f t="shared" si="48"/>
        <v>decimal</v>
      </c>
      <c r="I269">
        <v>1</v>
      </c>
      <c r="J269" t="str">
        <f t="shared" si="43"/>
        <v>number-hspinner</v>
      </c>
      <c r="K269" s="32" t="s">
        <v>157</v>
      </c>
    </row>
    <row r="270" spans="1:21" x14ac:dyDescent="0.25">
      <c r="A270" t="s">
        <v>24</v>
      </c>
      <c r="B270" t="str">
        <f t="shared" si="44"/>
        <v>decimal_e25</v>
      </c>
      <c r="C270" t="s">
        <v>1332</v>
      </c>
      <c r="E270" t="str">
        <f t="shared" si="45"/>
        <v>E25. number-hspinner('left-small-FF9800-ffffff-square', 'right-small-009688-000000-square','0.5')</v>
      </c>
      <c r="F270" t="str">
        <f t="shared" si="46"/>
        <v>decimal</v>
      </c>
      <c r="G270" t="str">
        <f t="shared" si="47"/>
        <v>E25. number-hspinner('left-small-FF9800-ffffff-square', 'right-small-009688-000000-square','0.5')</v>
      </c>
      <c r="H270" t="str">
        <f t="shared" si="48"/>
        <v>decimal</v>
      </c>
      <c r="I270">
        <v>0</v>
      </c>
      <c r="J270" t="str">
        <f t="shared" si="43"/>
        <v>number-hspinner('left-small-FF9800-ffffff-square', 'right-small-009688-000000-square','0.5')</v>
      </c>
      <c r="K270" s="32" t="s">
        <v>1338</v>
      </c>
    </row>
    <row r="271" spans="1:21" x14ac:dyDescent="0.25">
      <c r="A271" t="s">
        <v>24</v>
      </c>
      <c r="B271" t="str">
        <f t="shared" si="44"/>
        <v>decimal_e26</v>
      </c>
      <c r="C271" t="s">
        <v>1334</v>
      </c>
      <c r="E271" t="str">
        <f t="shared" si="45"/>
        <v>E26. number-hspinner('left-normal-FF9800-ffffff-circle', 'right-normal-009688-000000-circle','25.5')</v>
      </c>
      <c r="F271" t="str">
        <f t="shared" si="46"/>
        <v>decimal</v>
      </c>
      <c r="G271" t="str">
        <f t="shared" si="47"/>
        <v>E26. number-hspinner('left-normal-FF9800-ffffff-circle', 'right-normal-009688-000000-circle','25.5')</v>
      </c>
      <c r="H271" t="str">
        <f t="shared" si="48"/>
        <v>decimal</v>
      </c>
      <c r="I271">
        <v>100</v>
      </c>
      <c r="J271" t="str">
        <f t="shared" si="43"/>
        <v>number-hspinner('left-normal-FF9800-ffffff-circle', 'right-normal-009688-000000-circle','25.5')</v>
      </c>
      <c r="K271" s="32" t="s">
        <v>1341</v>
      </c>
    </row>
    <row r="272" spans="1:21" x14ac:dyDescent="0.25">
      <c r="A272" t="s">
        <v>24</v>
      </c>
      <c r="B272" t="str">
        <f t="shared" si="44"/>
        <v>decimal_e27</v>
      </c>
      <c r="C272" t="s">
        <v>1335</v>
      </c>
      <c r="E272" t="str">
        <f t="shared" si="45"/>
        <v>E27. number-hspinner('left-big-FF9800-ffffff-square', 'right-big-009688-000000-square','250.55')</v>
      </c>
      <c r="F272" t="str">
        <f t="shared" si="46"/>
        <v>decimal</v>
      </c>
      <c r="G272" t="str">
        <f t="shared" si="47"/>
        <v>E27. number-hspinner('left-big-FF9800-ffffff-square', 'right-big-009688-000000-square','250.55')</v>
      </c>
      <c r="H272" t="str">
        <f t="shared" si="48"/>
        <v>decimal</v>
      </c>
      <c r="I272">
        <v>1255</v>
      </c>
      <c r="J272" t="str">
        <f t="shared" si="43"/>
        <v>number-hspinner('left-big-FF9800-ffffff-square', 'right-big-009688-000000-square','250.55')</v>
      </c>
      <c r="K272" s="32" t="s">
        <v>1342</v>
      </c>
    </row>
    <row r="273" spans="1:18" x14ac:dyDescent="0.25">
      <c r="A273" t="s">
        <v>39</v>
      </c>
      <c r="E273" t="str">
        <f>CONCATENATE(PROPER(C273),". ",D273)</f>
        <v xml:space="preserve">. </v>
      </c>
      <c r="J273" t="str">
        <f t="shared" si="43"/>
        <v/>
      </c>
      <c r="K273"/>
    </row>
    <row r="274" spans="1:18" x14ac:dyDescent="0.25">
      <c r="A274" t="s">
        <v>39</v>
      </c>
      <c r="E274" t="str">
        <f>CONCATENATE(PROPER(C274),". ",D274)</f>
        <v xml:space="preserve">. </v>
      </c>
      <c r="J274" t="str">
        <f t="shared" si="43"/>
        <v/>
      </c>
    </row>
    <row r="275" spans="1:18" x14ac:dyDescent="0.25">
      <c r="A275" t="s">
        <v>38</v>
      </c>
      <c r="B275" t="str">
        <f>CONCATENATE("bg_section_",C275)</f>
        <v>bg_section_f</v>
      </c>
      <c r="C275" t="s">
        <v>654</v>
      </c>
      <c r="D275" t="s">
        <v>1003</v>
      </c>
      <c r="E275" t="str">
        <f>CONCATENATE(PROPER(C275),". ",D275)</f>
        <v>F. BARCODE appearance</v>
      </c>
      <c r="G275" t="str">
        <f>CONCATENATE(PROPER(C275),". ",D275)</f>
        <v>F. BARCODE appearance</v>
      </c>
      <c r="J275" t="str">
        <f t="shared" si="43"/>
        <v>section</v>
      </c>
      <c r="K275" s="32" t="s">
        <v>43</v>
      </c>
      <c r="R275" t="s">
        <v>195</v>
      </c>
    </row>
    <row r="276" spans="1:18" x14ac:dyDescent="0.25">
      <c r="A276" t="s">
        <v>38</v>
      </c>
      <c r="B276" t="str">
        <f>CONCATENATE("bg_field_",C276)</f>
        <v>bg_field_f</v>
      </c>
      <c r="C276" t="s">
        <v>654</v>
      </c>
      <c r="D276" t="s">
        <v>1003</v>
      </c>
      <c r="E276" t="str">
        <f>CONCATENATE(PROPER(C276),". ",D276)</f>
        <v>F. BARCODE appearance</v>
      </c>
      <c r="G276" t="str">
        <f>CONCATENATE(PROPER(C276),". ",D276)</f>
        <v>F. BARCODE appearance</v>
      </c>
      <c r="J276" t="str">
        <f t="shared" si="43"/>
        <v>field-list</v>
      </c>
      <c r="K276" s="32" t="s">
        <v>40</v>
      </c>
    </row>
    <row r="277" spans="1:18" x14ac:dyDescent="0.25">
      <c r="A277" t="s">
        <v>37</v>
      </c>
      <c r="B277" t="str">
        <f>CONCATENATE(SUBSTITUTE(A277," ","_"),"_",C277)</f>
        <v>note_f</v>
      </c>
      <c r="C277" t="s">
        <v>654</v>
      </c>
      <c r="D277" t="s">
        <v>61</v>
      </c>
      <c r="E277" t="str">
        <f>CONCATENATE(PROPER(C277),". ",D277)</f>
        <v>F. BARCODE</v>
      </c>
      <c r="F277" t="s">
        <v>1000</v>
      </c>
      <c r="G277" t="str">
        <f>CONCATENATE(PROPER(C277),". ",D277)</f>
        <v>F. BARCODE</v>
      </c>
      <c r="H277" t="s">
        <v>1000</v>
      </c>
      <c r="J277" t="str">
        <f t="shared" si="43"/>
        <v/>
      </c>
    </row>
    <row r="278" spans="1:18" x14ac:dyDescent="0.25">
      <c r="A278" t="s">
        <v>36</v>
      </c>
      <c r="B278" t="str">
        <f t="shared" ref="B278:B315" si="49">CONCATENATE(SUBSTITUTE(A278," ","_"),"_",C278)</f>
        <v>barcode_f1</v>
      </c>
      <c r="C278" t="s">
        <v>655</v>
      </c>
      <c r="E278" t="str">
        <f t="shared" ref="E278:E345" si="50">CONCATENATE(PROPER(C278),". ",J278)</f>
        <v>F1. hideres</v>
      </c>
      <c r="F278" t="str">
        <f t="shared" ref="F278:F341" si="51">A278</f>
        <v>barcode</v>
      </c>
      <c r="G278" t="str">
        <f t="shared" ref="G278:G341" si="52">CONCATENATE(PROPER(C278),". ",J278)</f>
        <v>F1. hideres</v>
      </c>
      <c r="H278" t="str">
        <f t="shared" ref="H278:H341" si="53">A278</f>
        <v>barcode</v>
      </c>
      <c r="J278" t="str">
        <f t="shared" si="43"/>
        <v>hideres</v>
      </c>
      <c r="K278" s="32" t="s">
        <v>252</v>
      </c>
    </row>
    <row r="279" spans="1:18" x14ac:dyDescent="0.25">
      <c r="A279" t="s">
        <v>36</v>
      </c>
      <c r="B279" t="str">
        <f t="shared" si="49"/>
        <v>barcode_f2</v>
      </c>
      <c r="C279" t="s">
        <v>656</v>
      </c>
      <c r="E279" t="str">
        <f t="shared" si="50"/>
        <v>F2. inline</v>
      </c>
      <c r="F279" t="str">
        <f t="shared" si="51"/>
        <v>barcode</v>
      </c>
      <c r="G279" t="str">
        <f t="shared" si="52"/>
        <v>F2. inline</v>
      </c>
      <c r="H279" t="str">
        <f t="shared" si="53"/>
        <v>barcode</v>
      </c>
      <c r="J279" t="str">
        <f t="shared" si="43"/>
        <v>inline</v>
      </c>
      <c r="K279" s="32" t="s">
        <v>253</v>
      </c>
    </row>
    <row r="280" spans="1:18" x14ac:dyDescent="0.25">
      <c r="A280" t="s">
        <v>36</v>
      </c>
      <c r="B280" t="str">
        <f t="shared" si="49"/>
        <v>barcode_f3</v>
      </c>
      <c r="C280" t="s">
        <v>657</v>
      </c>
      <c r="E280" t="str">
        <f t="shared" si="50"/>
        <v>F3. inline hideres</v>
      </c>
      <c r="F280" t="str">
        <f t="shared" si="51"/>
        <v>barcode</v>
      </c>
      <c r="G280" t="str">
        <f t="shared" si="52"/>
        <v>F3. inline hideres</v>
      </c>
      <c r="H280" t="str">
        <f t="shared" si="53"/>
        <v>barcode</v>
      </c>
      <c r="J280" t="str">
        <f t="shared" si="43"/>
        <v>inline hideres</v>
      </c>
      <c r="K280" s="32" t="s">
        <v>254</v>
      </c>
    </row>
    <row r="281" spans="1:18" x14ac:dyDescent="0.25">
      <c r="A281" t="s">
        <v>36</v>
      </c>
      <c r="B281" t="str">
        <f t="shared" si="49"/>
        <v>barcode_f4</v>
      </c>
      <c r="C281" t="s">
        <v>658</v>
      </c>
      <c r="E281" t="str">
        <f t="shared" si="50"/>
        <v>F4. floating</v>
      </c>
      <c r="F281" t="str">
        <f t="shared" si="51"/>
        <v>barcode</v>
      </c>
      <c r="G281" t="str">
        <f t="shared" si="52"/>
        <v>F4. floating</v>
      </c>
      <c r="H281" t="str">
        <f t="shared" si="53"/>
        <v>barcode</v>
      </c>
      <c r="J281" t="str">
        <f t="shared" si="43"/>
        <v>floating</v>
      </c>
      <c r="K281" s="32" t="s">
        <v>255</v>
      </c>
    </row>
    <row r="282" spans="1:18" x14ac:dyDescent="0.25">
      <c r="A282" t="s">
        <v>36</v>
      </c>
      <c r="B282" t="str">
        <f t="shared" si="49"/>
        <v>barcode_f5</v>
      </c>
      <c r="C282" t="s">
        <v>659</v>
      </c>
      <c r="E282" t="str">
        <f t="shared" si="50"/>
        <v>F5. floating hideres</v>
      </c>
      <c r="F282" t="str">
        <f t="shared" si="51"/>
        <v>barcode</v>
      </c>
      <c r="G282" t="str">
        <f t="shared" si="52"/>
        <v>F5. floating hideres</v>
      </c>
      <c r="H282" t="str">
        <f t="shared" si="53"/>
        <v>barcode</v>
      </c>
      <c r="J282" t="str">
        <f t="shared" si="43"/>
        <v>floating hideres</v>
      </c>
      <c r="K282" s="32" t="s">
        <v>256</v>
      </c>
    </row>
    <row r="283" spans="1:18" x14ac:dyDescent="0.25">
      <c r="A283" t="s">
        <v>36</v>
      </c>
      <c r="B283" t="str">
        <f t="shared" si="49"/>
        <v>barcode_f6</v>
      </c>
      <c r="C283" t="s">
        <v>660</v>
      </c>
      <c r="E283" t="str">
        <f t="shared" si="50"/>
        <v>F6. inline &lt;#0099FF/&gt;</v>
      </c>
      <c r="F283" t="str">
        <f t="shared" si="51"/>
        <v>barcode</v>
      </c>
      <c r="G283" t="str">
        <f t="shared" si="52"/>
        <v>F6. inline &lt;#0099FF/&gt;</v>
      </c>
      <c r="H283" t="str">
        <f t="shared" si="53"/>
        <v>barcode</v>
      </c>
      <c r="J283" t="str">
        <f t="shared" si="43"/>
        <v>inline &lt;#0099FF/&gt;</v>
      </c>
      <c r="K283" s="32" t="s">
        <v>253</v>
      </c>
      <c r="L283" t="s">
        <v>1083</v>
      </c>
    </row>
    <row r="284" spans="1:18" x14ac:dyDescent="0.25">
      <c r="A284" t="s">
        <v>36</v>
      </c>
      <c r="B284" t="str">
        <f t="shared" si="49"/>
        <v>barcode_f7</v>
      </c>
      <c r="C284" t="s">
        <v>661</v>
      </c>
      <c r="E284" t="str">
        <f t="shared" si="50"/>
        <v>F7. inline hideres &lt;#0099FF/&gt;</v>
      </c>
      <c r="F284" t="str">
        <f t="shared" si="51"/>
        <v>barcode</v>
      </c>
      <c r="G284" t="str">
        <f t="shared" si="52"/>
        <v>F7. inline hideres &lt;#0099FF/&gt;</v>
      </c>
      <c r="H284" t="str">
        <f t="shared" si="53"/>
        <v>barcode</v>
      </c>
      <c r="J284" t="str">
        <f t="shared" si="43"/>
        <v>inline hideres &lt;#0099FF/&gt;</v>
      </c>
      <c r="K284" s="32" t="s">
        <v>1141</v>
      </c>
      <c r="L284" t="s">
        <v>1083</v>
      </c>
    </row>
    <row r="285" spans="1:18" x14ac:dyDescent="0.25">
      <c r="A285" t="s">
        <v>36</v>
      </c>
      <c r="B285" t="str">
        <f t="shared" si="49"/>
        <v>barcode_f8</v>
      </c>
      <c r="C285" t="s">
        <v>662</v>
      </c>
      <c r="E285" t="str">
        <f t="shared" si="50"/>
        <v>F8. floating &lt;#0099FF/&gt;</v>
      </c>
      <c r="F285" t="str">
        <f t="shared" si="51"/>
        <v>barcode</v>
      </c>
      <c r="G285" t="str">
        <f t="shared" si="52"/>
        <v>F8. floating &lt;#0099FF/&gt;</v>
      </c>
      <c r="H285" t="str">
        <f t="shared" si="53"/>
        <v>barcode</v>
      </c>
      <c r="J285" t="str">
        <f t="shared" si="43"/>
        <v>floating &lt;#0099FF/&gt;</v>
      </c>
      <c r="K285" s="32" t="s">
        <v>1142</v>
      </c>
      <c r="L285" t="s">
        <v>1083</v>
      </c>
    </row>
    <row r="286" spans="1:18" x14ac:dyDescent="0.25">
      <c r="A286" t="s">
        <v>36</v>
      </c>
      <c r="B286" t="str">
        <f t="shared" si="49"/>
        <v>barcode_f9</v>
      </c>
      <c r="C286" t="s">
        <v>663</v>
      </c>
      <c r="E286" t="str">
        <f t="shared" si="50"/>
        <v>F9. floating hideres &lt;#0099FF/&gt;</v>
      </c>
      <c r="F286" t="str">
        <f t="shared" si="51"/>
        <v>barcode</v>
      </c>
      <c r="G286" t="str">
        <f t="shared" si="52"/>
        <v>F9. floating hideres &lt;#0099FF/&gt;</v>
      </c>
      <c r="H286" t="str">
        <f t="shared" si="53"/>
        <v>barcode</v>
      </c>
      <c r="J286" t="str">
        <f t="shared" si="43"/>
        <v>floating hideres &lt;#0099FF/&gt;</v>
      </c>
      <c r="K286" s="32" t="s">
        <v>1143</v>
      </c>
      <c r="L286" t="s">
        <v>1083</v>
      </c>
    </row>
    <row r="287" spans="1:18" x14ac:dyDescent="0.25">
      <c r="A287" t="s">
        <v>36</v>
      </c>
      <c r="B287" t="str">
        <f t="shared" si="49"/>
        <v>barcode_f10</v>
      </c>
      <c r="C287" t="s">
        <v>664</v>
      </c>
      <c r="E287" t="str">
        <f t="shared" si="50"/>
        <v>F10. auto-close(5)</v>
      </c>
      <c r="F287" t="str">
        <f t="shared" si="51"/>
        <v>barcode</v>
      </c>
      <c r="G287" t="str">
        <f t="shared" si="52"/>
        <v>F10. auto-close(5)</v>
      </c>
      <c r="H287" t="str">
        <f t="shared" si="53"/>
        <v>barcode</v>
      </c>
      <c r="J287" t="str">
        <f t="shared" si="43"/>
        <v>auto-close(5)</v>
      </c>
      <c r="K287" s="32" t="s">
        <v>276</v>
      </c>
    </row>
    <row r="288" spans="1:18" x14ac:dyDescent="0.25">
      <c r="A288" t="s">
        <v>36</v>
      </c>
      <c r="B288" t="str">
        <f t="shared" si="49"/>
        <v>barcode_f11</v>
      </c>
      <c r="C288" t="s">
        <v>665</v>
      </c>
      <c r="E288" t="str">
        <f t="shared" si="50"/>
        <v>F11. auto-close(5) hideres</v>
      </c>
      <c r="F288" t="str">
        <f t="shared" si="51"/>
        <v>barcode</v>
      </c>
      <c r="G288" t="str">
        <f t="shared" si="52"/>
        <v>F11. auto-close(5) hideres</v>
      </c>
      <c r="H288" t="str">
        <f t="shared" si="53"/>
        <v>barcode</v>
      </c>
      <c r="J288" t="str">
        <f t="shared" si="43"/>
        <v>auto-close(5) hideres</v>
      </c>
      <c r="K288" s="32" t="s">
        <v>277</v>
      </c>
    </row>
    <row r="289" spans="1:12" x14ac:dyDescent="0.25">
      <c r="A289" t="s">
        <v>36</v>
      </c>
      <c r="B289" t="str">
        <f t="shared" si="49"/>
        <v>barcode_f12</v>
      </c>
      <c r="C289" t="s">
        <v>666</v>
      </c>
      <c r="E289" t="str">
        <f t="shared" si="50"/>
        <v>F12. inline auto-close(5)</v>
      </c>
      <c r="F289" t="str">
        <f t="shared" si="51"/>
        <v>barcode</v>
      </c>
      <c r="G289" t="str">
        <f t="shared" si="52"/>
        <v>F12. inline auto-close(5)</v>
      </c>
      <c r="H289" t="str">
        <f t="shared" si="53"/>
        <v>barcode</v>
      </c>
      <c r="J289" t="str">
        <f t="shared" ref="J289:J349" si="54">TRIM(CONCATENATE(K289," ",L289," ",M289))</f>
        <v>inline auto-close(5)</v>
      </c>
      <c r="K289" s="32" t="s">
        <v>261</v>
      </c>
    </row>
    <row r="290" spans="1:12" x14ac:dyDescent="0.25">
      <c r="A290" t="s">
        <v>36</v>
      </c>
      <c r="B290" t="str">
        <f t="shared" si="49"/>
        <v>barcode_f13</v>
      </c>
      <c r="C290" t="s">
        <v>667</v>
      </c>
      <c r="E290" t="str">
        <f t="shared" si="50"/>
        <v>F13. inline auto-close(5) hideres</v>
      </c>
      <c r="F290" t="str">
        <f t="shared" si="51"/>
        <v>barcode</v>
      </c>
      <c r="G290" t="str">
        <f t="shared" si="52"/>
        <v>F13. inline auto-close(5) hideres</v>
      </c>
      <c r="H290" t="str">
        <f t="shared" si="53"/>
        <v>barcode</v>
      </c>
      <c r="J290" t="str">
        <f t="shared" si="54"/>
        <v>inline auto-close(5) hideres</v>
      </c>
      <c r="K290" s="32" t="s">
        <v>262</v>
      </c>
    </row>
    <row r="291" spans="1:12" x14ac:dyDescent="0.25">
      <c r="A291" t="s">
        <v>36</v>
      </c>
      <c r="B291" t="str">
        <f t="shared" si="49"/>
        <v>barcode_f14</v>
      </c>
      <c r="C291" t="s">
        <v>668</v>
      </c>
      <c r="E291" t="str">
        <f t="shared" si="50"/>
        <v>F14. floating auto-close(5)</v>
      </c>
      <c r="F291" t="str">
        <f t="shared" si="51"/>
        <v>barcode</v>
      </c>
      <c r="G291" t="str">
        <f t="shared" si="52"/>
        <v>F14. floating auto-close(5)</v>
      </c>
      <c r="H291" t="str">
        <f t="shared" si="53"/>
        <v>barcode</v>
      </c>
      <c r="J291" t="str">
        <f t="shared" si="54"/>
        <v>floating auto-close(5)</v>
      </c>
      <c r="K291" s="32" t="s">
        <v>257</v>
      </c>
    </row>
    <row r="292" spans="1:12" x14ac:dyDescent="0.25">
      <c r="A292" t="s">
        <v>36</v>
      </c>
      <c r="B292" t="str">
        <f t="shared" si="49"/>
        <v>barcode_f15</v>
      </c>
      <c r="C292" t="s">
        <v>669</v>
      </c>
      <c r="E292" t="str">
        <f t="shared" si="50"/>
        <v>F15. floating auto-close(10) hideres</v>
      </c>
      <c r="F292" t="str">
        <f t="shared" si="51"/>
        <v>barcode</v>
      </c>
      <c r="G292" t="str">
        <f t="shared" si="52"/>
        <v>F15. floating auto-close(10) hideres</v>
      </c>
      <c r="H292" t="str">
        <f t="shared" si="53"/>
        <v>barcode</v>
      </c>
      <c r="J292" t="str">
        <f t="shared" si="54"/>
        <v>floating auto-close(10) hideres</v>
      </c>
      <c r="K292" s="32" t="s">
        <v>258</v>
      </c>
    </row>
    <row r="293" spans="1:12" x14ac:dyDescent="0.25">
      <c r="A293" t="s">
        <v>36</v>
      </c>
      <c r="B293" t="str">
        <f t="shared" si="49"/>
        <v>barcode_f16</v>
      </c>
      <c r="C293" t="s">
        <v>670</v>
      </c>
      <c r="E293" t="str">
        <f t="shared" si="50"/>
        <v>F16. inline auto-close(5) &lt;#0099FF/&gt;</v>
      </c>
      <c r="F293" t="str">
        <f t="shared" si="51"/>
        <v>barcode</v>
      </c>
      <c r="G293" t="str">
        <f t="shared" si="52"/>
        <v>F16. inline auto-close(5) &lt;#0099FF/&gt;</v>
      </c>
      <c r="H293" t="str">
        <f t="shared" si="53"/>
        <v>barcode</v>
      </c>
      <c r="J293" t="str">
        <f t="shared" si="54"/>
        <v>inline auto-close(5) &lt;#0099FF/&gt;</v>
      </c>
      <c r="K293" s="32" t="s">
        <v>1144</v>
      </c>
      <c r="L293" t="s">
        <v>1083</v>
      </c>
    </row>
    <row r="294" spans="1:12" x14ac:dyDescent="0.25">
      <c r="A294" t="s">
        <v>36</v>
      </c>
      <c r="B294" t="str">
        <f t="shared" si="49"/>
        <v>barcode_f17</v>
      </c>
      <c r="C294" t="s">
        <v>671</v>
      </c>
      <c r="E294" t="str">
        <f t="shared" si="50"/>
        <v>F17. inline auto-close(5) hideres &lt;#0099FF/&gt;</v>
      </c>
      <c r="F294" t="str">
        <f t="shared" si="51"/>
        <v>barcode</v>
      </c>
      <c r="G294" t="str">
        <f t="shared" si="52"/>
        <v>F17. inline auto-close(5) hideres &lt;#0099FF/&gt;</v>
      </c>
      <c r="H294" t="str">
        <f t="shared" si="53"/>
        <v>barcode</v>
      </c>
      <c r="J294" t="str">
        <f t="shared" si="54"/>
        <v>inline auto-close(5) hideres &lt;#0099FF/&gt;</v>
      </c>
      <c r="K294" s="32" t="s">
        <v>262</v>
      </c>
      <c r="L294" t="s">
        <v>1083</v>
      </c>
    </row>
    <row r="295" spans="1:12" x14ac:dyDescent="0.25">
      <c r="A295" t="s">
        <v>36</v>
      </c>
      <c r="B295" t="str">
        <f t="shared" si="49"/>
        <v>barcode_f18</v>
      </c>
      <c r="C295" t="s">
        <v>672</v>
      </c>
      <c r="E295" t="str">
        <f t="shared" si="50"/>
        <v>F18. floating auto-close(5) &lt;#0099FF/&gt;</v>
      </c>
      <c r="F295" t="str">
        <f t="shared" si="51"/>
        <v>barcode</v>
      </c>
      <c r="G295" t="str">
        <f t="shared" si="52"/>
        <v>F18. floating auto-close(5) &lt;#0099FF/&gt;</v>
      </c>
      <c r="H295" t="str">
        <f t="shared" si="53"/>
        <v>barcode</v>
      </c>
      <c r="J295" t="str">
        <f t="shared" si="54"/>
        <v>floating auto-close(5) &lt;#0099FF/&gt;</v>
      </c>
      <c r="K295" s="32" t="s">
        <v>1145</v>
      </c>
      <c r="L295" t="s">
        <v>1083</v>
      </c>
    </row>
    <row r="296" spans="1:12" x14ac:dyDescent="0.25">
      <c r="A296" t="s">
        <v>36</v>
      </c>
      <c r="B296" t="str">
        <f t="shared" si="49"/>
        <v>barcode_f19</v>
      </c>
      <c r="C296" t="s">
        <v>673</v>
      </c>
      <c r="E296" t="str">
        <f t="shared" si="50"/>
        <v>F19. floating auto-close(5) hideres &lt;#0099FF/&gt;</v>
      </c>
      <c r="F296" t="str">
        <f t="shared" si="51"/>
        <v>barcode</v>
      </c>
      <c r="G296" t="str">
        <f t="shared" si="52"/>
        <v>F19. floating auto-close(5) hideres &lt;#0099FF/&gt;</v>
      </c>
      <c r="H296" t="str">
        <f t="shared" si="53"/>
        <v>barcode</v>
      </c>
      <c r="J296" t="str">
        <f t="shared" si="54"/>
        <v>floating auto-close(5) hideres &lt;#0099FF/&gt;</v>
      </c>
      <c r="K296" s="32" t="s">
        <v>1146</v>
      </c>
      <c r="L296" t="s">
        <v>1083</v>
      </c>
    </row>
    <row r="297" spans="1:12" x14ac:dyDescent="0.25">
      <c r="A297" t="s">
        <v>36</v>
      </c>
      <c r="B297" t="str">
        <f t="shared" si="49"/>
        <v>barcode_f20</v>
      </c>
      <c r="C297" t="s">
        <v>674</v>
      </c>
      <c r="E297" t="str">
        <f t="shared" si="50"/>
        <v>F20. floating float-pos(top)</v>
      </c>
      <c r="F297" t="str">
        <f t="shared" si="51"/>
        <v>barcode</v>
      </c>
      <c r="G297" t="str">
        <f t="shared" si="52"/>
        <v>F20. floating float-pos(top)</v>
      </c>
      <c r="H297" t="str">
        <f t="shared" si="53"/>
        <v>barcode</v>
      </c>
      <c r="J297" t="str">
        <f t="shared" si="54"/>
        <v>floating float-pos(top)</v>
      </c>
      <c r="K297" s="32" t="s">
        <v>263</v>
      </c>
    </row>
    <row r="298" spans="1:12" x14ac:dyDescent="0.25">
      <c r="A298" t="s">
        <v>36</v>
      </c>
      <c r="B298" t="str">
        <f t="shared" si="49"/>
        <v>barcode_f21</v>
      </c>
      <c r="C298" t="s">
        <v>675</v>
      </c>
      <c r="E298" t="str">
        <f t="shared" si="50"/>
        <v>F21. floating float-pos(bottom)</v>
      </c>
      <c r="F298" t="str">
        <f t="shared" si="51"/>
        <v>barcode</v>
      </c>
      <c r="G298" t="str">
        <f t="shared" si="52"/>
        <v>F21. floating float-pos(bottom)</v>
      </c>
      <c r="H298" t="str">
        <f t="shared" si="53"/>
        <v>barcode</v>
      </c>
      <c r="J298" t="str">
        <f t="shared" si="54"/>
        <v>floating float-pos(bottom)</v>
      </c>
      <c r="K298" s="32" t="s">
        <v>264</v>
      </c>
    </row>
    <row r="299" spans="1:12" x14ac:dyDescent="0.25">
      <c r="A299" t="s">
        <v>36</v>
      </c>
      <c r="B299" t="str">
        <f t="shared" si="49"/>
        <v>barcode_f22</v>
      </c>
      <c r="C299" t="s">
        <v>676</v>
      </c>
      <c r="E299" t="str">
        <f t="shared" si="50"/>
        <v>F22. floating float-pos(left)</v>
      </c>
      <c r="F299" t="str">
        <f t="shared" si="51"/>
        <v>barcode</v>
      </c>
      <c r="G299" t="str">
        <f t="shared" si="52"/>
        <v>F22. floating float-pos(left)</v>
      </c>
      <c r="H299" t="str">
        <f t="shared" si="53"/>
        <v>barcode</v>
      </c>
      <c r="J299" t="str">
        <f t="shared" si="54"/>
        <v>floating float-pos(left)</v>
      </c>
      <c r="K299" s="32" t="s">
        <v>265</v>
      </c>
    </row>
    <row r="300" spans="1:12" x14ac:dyDescent="0.25">
      <c r="A300" t="s">
        <v>36</v>
      </c>
      <c r="B300" t="str">
        <f t="shared" si="49"/>
        <v>barcode_f23</v>
      </c>
      <c r="C300" t="s">
        <v>677</v>
      </c>
      <c r="E300" t="str">
        <f t="shared" si="50"/>
        <v>F23. floating float-pos(right)</v>
      </c>
      <c r="F300" t="str">
        <f t="shared" si="51"/>
        <v>barcode</v>
      </c>
      <c r="G300" t="str">
        <f t="shared" si="52"/>
        <v>F23. floating float-pos(right)</v>
      </c>
      <c r="H300" t="str">
        <f t="shared" si="53"/>
        <v>barcode</v>
      </c>
      <c r="J300" t="str">
        <f t="shared" si="54"/>
        <v>floating float-pos(right)</v>
      </c>
      <c r="K300" s="32" t="s">
        <v>266</v>
      </c>
    </row>
    <row r="301" spans="1:12" x14ac:dyDescent="0.25">
      <c r="A301" t="s">
        <v>36</v>
      </c>
      <c r="B301" t="str">
        <f t="shared" si="49"/>
        <v>barcode_f24</v>
      </c>
      <c r="C301" t="s">
        <v>678</v>
      </c>
      <c r="E301" t="str">
        <f t="shared" si="50"/>
        <v>F24. floating float-pos(center)</v>
      </c>
      <c r="F301" t="str">
        <f t="shared" si="51"/>
        <v>barcode</v>
      </c>
      <c r="G301" t="str">
        <f t="shared" si="52"/>
        <v>F24. floating float-pos(center)</v>
      </c>
      <c r="H301" t="str">
        <f t="shared" si="53"/>
        <v>barcode</v>
      </c>
      <c r="J301" t="str">
        <f t="shared" si="54"/>
        <v>floating float-pos(center)</v>
      </c>
      <c r="K301" s="32" t="s">
        <v>267</v>
      </c>
    </row>
    <row r="302" spans="1:12" x14ac:dyDescent="0.25">
      <c r="A302" t="s">
        <v>36</v>
      </c>
      <c r="B302" t="str">
        <f t="shared" si="49"/>
        <v>barcode_f25</v>
      </c>
      <c r="C302" t="s">
        <v>679</v>
      </c>
      <c r="E302" t="str">
        <f t="shared" si="50"/>
        <v>F25. floating float-pos(top | left)</v>
      </c>
      <c r="F302" t="str">
        <f t="shared" si="51"/>
        <v>barcode</v>
      </c>
      <c r="G302" t="str">
        <f t="shared" si="52"/>
        <v>F25. floating float-pos(top | left)</v>
      </c>
      <c r="H302" t="str">
        <f t="shared" si="53"/>
        <v>barcode</v>
      </c>
      <c r="J302" t="str">
        <f t="shared" si="54"/>
        <v>floating float-pos(top | left)</v>
      </c>
      <c r="K302" s="32" t="s">
        <v>268</v>
      </c>
    </row>
    <row r="303" spans="1:12" x14ac:dyDescent="0.25">
      <c r="A303" t="s">
        <v>36</v>
      </c>
      <c r="B303" t="str">
        <f t="shared" si="49"/>
        <v>barcode_f26</v>
      </c>
      <c r="C303" t="s">
        <v>680</v>
      </c>
      <c r="E303" t="str">
        <f t="shared" si="50"/>
        <v>F26. floating float-pos(top | right)</v>
      </c>
      <c r="F303" t="str">
        <f t="shared" si="51"/>
        <v>barcode</v>
      </c>
      <c r="G303" t="str">
        <f t="shared" si="52"/>
        <v>F26. floating float-pos(top | right)</v>
      </c>
      <c r="H303" t="str">
        <f t="shared" si="53"/>
        <v>barcode</v>
      </c>
      <c r="J303" t="str">
        <f t="shared" si="54"/>
        <v>floating float-pos(top | right)</v>
      </c>
      <c r="K303" s="32" t="s">
        <v>269</v>
      </c>
    </row>
    <row r="304" spans="1:12" x14ac:dyDescent="0.25">
      <c r="A304" t="s">
        <v>36</v>
      </c>
      <c r="B304" t="str">
        <f t="shared" si="49"/>
        <v>barcode_f27</v>
      </c>
      <c r="C304" t="s">
        <v>681</v>
      </c>
      <c r="E304" t="str">
        <f t="shared" si="50"/>
        <v>F27. floating float-pos(bottom | left)</v>
      </c>
      <c r="F304" t="str">
        <f t="shared" si="51"/>
        <v>barcode</v>
      </c>
      <c r="G304" t="str">
        <f t="shared" si="52"/>
        <v>F27. floating float-pos(bottom | left)</v>
      </c>
      <c r="H304" t="str">
        <f t="shared" si="53"/>
        <v>barcode</v>
      </c>
      <c r="J304" t="str">
        <f t="shared" si="54"/>
        <v>floating float-pos(bottom | left)</v>
      </c>
      <c r="K304" s="32" t="s">
        <v>270</v>
      </c>
    </row>
    <row r="305" spans="1:11" x14ac:dyDescent="0.25">
      <c r="A305" t="s">
        <v>36</v>
      </c>
      <c r="B305" t="str">
        <f t="shared" si="49"/>
        <v>barcode_f28</v>
      </c>
      <c r="C305" t="s">
        <v>682</v>
      </c>
      <c r="E305" t="str">
        <f t="shared" si="50"/>
        <v>F28. floating float-pos(bottom | right)</v>
      </c>
      <c r="F305" t="str">
        <f t="shared" si="51"/>
        <v>barcode</v>
      </c>
      <c r="G305" t="str">
        <f t="shared" si="52"/>
        <v>F28. floating float-pos(bottom | right)</v>
      </c>
      <c r="H305" t="str">
        <f t="shared" si="53"/>
        <v>barcode</v>
      </c>
      <c r="J305" t="str">
        <f t="shared" si="54"/>
        <v>floating float-pos(bottom | right)</v>
      </c>
      <c r="K305" s="32" t="s">
        <v>271</v>
      </c>
    </row>
    <row r="306" spans="1:11" x14ac:dyDescent="0.25">
      <c r="A306" t="s">
        <v>36</v>
      </c>
      <c r="B306" t="str">
        <f t="shared" si="49"/>
        <v>barcode_f29</v>
      </c>
      <c r="C306" t="s">
        <v>683</v>
      </c>
      <c r="E306" t="str">
        <f t="shared" si="50"/>
        <v>F29. floating float-pos(top | center_horizontal)</v>
      </c>
      <c r="F306" t="str">
        <f t="shared" si="51"/>
        <v>barcode</v>
      </c>
      <c r="G306" t="str">
        <f t="shared" si="52"/>
        <v>F29. floating float-pos(top | center_horizontal)</v>
      </c>
      <c r="H306" t="str">
        <f t="shared" si="53"/>
        <v>barcode</v>
      </c>
      <c r="J306" t="str">
        <f t="shared" si="54"/>
        <v>floating float-pos(top | center_horizontal)</v>
      </c>
      <c r="K306" s="32" t="s">
        <v>272</v>
      </c>
    </row>
    <row r="307" spans="1:11" x14ac:dyDescent="0.25">
      <c r="A307" t="s">
        <v>36</v>
      </c>
      <c r="B307" t="str">
        <f t="shared" si="49"/>
        <v>barcode_f30</v>
      </c>
      <c r="C307" t="s">
        <v>684</v>
      </c>
      <c r="E307" t="str">
        <f t="shared" si="50"/>
        <v>F30. floating float-pos(bottom | center_horizontal)</v>
      </c>
      <c r="F307" t="str">
        <f t="shared" si="51"/>
        <v>barcode</v>
      </c>
      <c r="G307" t="str">
        <f t="shared" si="52"/>
        <v>F30. floating float-pos(bottom | center_horizontal)</v>
      </c>
      <c r="H307" t="str">
        <f t="shared" si="53"/>
        <v>barcode</v>
      </c>
      <c r="J307" t="str">
        <f t="shared" si="54"/>
        <v>floating float-pos(bottom | center_horizontal)</v>
      </c>
      <c r="K307" s="32" t="s">
        <v>273</v>
      </c>
    </row>
    <row r="308" spans="1:11" x14ac:dyDescent="0.25">
      <c r="A308" t="s">
        <v>36</v>
      </c>
      <c r="B308" t="str">
        <f t="shared" si="49"/>
        <v>barcode_f31</v>
      </c>
      <c r="C308" t="s">
        <v>685</v>
      </c>
      <c r="E308" t="str">
        <f t="shared" si="50"/>
        <v>F31. floating float-pos(right | center_vertical)</v>
      </c>
      <c r="F308" t="str">
        <f t="shared" si="51"/>
        <v>barcode</v>
      </c>
      <c r="G308" t="str">
        <f t="shared" si="52"/>
        <v>F31. floating float-pos(right | center_vertical)</v>
      </c>
      <c r="H308" t="str">
        <f t="shared" si="53"/>
        <v>barcode</v>
      </c>
      <c r="J308" t="str">
        <f t="shared" si="54"/>
        <v>floating float-pos(right | center_vertical)</v>
      </c>
      <c r="K308" s="32" t="s">
        <v>274</v>
      </c>
    </row>
    <row r="309" spans="1:11" x14ac:dyDescent="0.25">
      <c r="A309" t="s">
        <v>36</v>
      </c>
      <c r="B309" t="str">
        <f t="shared" si="49"/>
        <v>barcode_f32</v>
      </c>
      <c r="C309" t="s">
        <v>686</v>
      </c>
      <c r="E309" t="str">
        <f t="shared" si="50"/>
        <v>F32. floating float-pos(left | center_vertical)</v>
      </c>
      <c r="F309" t="str">
        <f t="shared" si="51"/>
        <v>barcode</v>
      </c>
      <c r="G309" t="str">
        <f t="shared" si="52"/>
        <v>F32. floating float-pos(left | center_vertical)</v>
      </c>
      <c r="H309" t="str">
        <f t="shared" si="53"/>
        <v>barcode</v>
      </c>
      <c r="J309" t="str">
        <f t="shared" si="54"/>
        <v>floating float-pos(left | center_vertical)</v>
      </c>
      <c r="K309" s="32" t="s">
        <v>275</v>
      </c>
    </row>
    <row r="310" spans="1:11" x14ac:dyDescent="0.25">
      <c r="A310" t="s">
        <v>36</v>
      </c>
      <c r="B310" t="str">
        <f>CONCATENATE(SUBSTITUTE(A310," ","_"),"_",C310)</f>
        <v>barcode_f33</v>
      </c>
      <c r="C310" t="s">
        <v>1136</v>
      </c>
      <c r="E310" t="str">
        <f t="shared" si="50"/>
        <v>F33. back-camera</v>
      </c>
      <c r="F310" t="str">
        <f t="shared" si="51"/>
        <v>barcode</v>
      </c>
      <c r="G310" t="str">
        <f t="shared" si="52"/>
        <v>F33. back-camera</v>
      </c>
      <c r="H310" t="str">
        <f t="shared" si="53"/>
        <v>barcode</v>
      </c>
      <c r="J310" t="str">
        <f>TRIM(CONCATENATE(K310," ",L310," ",M310))</f>
        <v>back-camera</v>
      </c>
      <c r="K310" s="32" t="s">
        <v>1134</v>
      </c>
    </row>
    <row r="311" spans="1:11" x14ac:dyDescent="0.25">
      <c r="A311" t="s">
        <v>36</v>
      </c>
      <c r="B311" t="str">
        <f>CONCATENATE(SUBSTITUTE(A311," ","_"),"_",C311)</f>
        <v>barcode_f34</v>
      </c>
      <c r="C311" t="s">
        <v>1137</v>
      </c>
      <c r="E311" t="str">
        <f t="shared" si="50"/>
        <v>F34. front-camera</v>
      </c>
      <c r="F311" t="str">
        <f t="shared" si="51"/>
        <v>barcode</v>
      </c>
      <c r="G311" t="str">
        <f t="shared" si="52"/>
        <v>F34. front-camera</v>
      </c>
      <c r="H311" t="str">
        <f t="shared" si="53"/>
        <v>barcode</v>
      </c>
      <c r="J311" t="str">
        <f>TRIM(CONCATENATE(K311," ",L311," ",M311))</f>
        <v>front-camera</v>
      </c>
      <c r="K311" s="32" t="s">
        <v>1135</v>
      </c>
    </row>
    <row r="312" spans="1:11" x14ac:dyDescent="0.25">
      <c r="A312" t="s">
        <v>36</v>
      </c>
      <c r="B312" t="str">
        <f t="shared" si="49"/>
        <v>barcode_f35</v>
      </c>
      <c r="C312" t="s">
        <v>1139</v>
      </c>
      <c r="E312" t="str">
        <f t="shared" si="50"/>
        <v>F35. qr-text</v>
      </c>
      <c r="F312" t="str">
        <f t="shared" si="51"/>
        <v>barcode</v>
      </c>
      <c r="G312" t="str">
        <f t="shared" si="52"/>
        <v>F35. qr-text</v>
      </c>
      <c r="H312" t="str">
        <f t="shared" si="53"/>
        <v>barcode</v>
      </c>
      <c r="J312" t="str">
        <f t="shared" si="54"/>
        <v>qr-text</v>
      </c>
      <c r="K312" s="32" t="s">
        <v>1386</v>
      </c>
    </row>
    <row r="313" spans="1:11" x14ac:dyDescent="0.25">
      <c r="A313" t="s">
        <v>36</v>
      </c>
      <c r="B313" t="str">
        <f t="shared" si="49"/>
        <v>barcode_f36</v>
      </c>
      <c r="C313" t="s">
        <v>1392</v>
      </c>
      <c r="E313" t="str">
        <f t="shared" si="50"/>
        <v>F36. qr-text &lt;#0099FF/&gt;</v>
      </c>
      <c r="F313" t="str">
        <f t="shared" si="51"/>
        <v>barcode</v>
      </c>
      <c r="G313" t="str">
        <f t="shared" si="52"/>
        <v>F36. qr-text &lt;#0099FF/&gt;</v>
      </c>
      <c r="H313" t="str">
        <f t="shared" si="53"/>
        <v>barcode</v>
      </c>
      <c r="J313" t="str">
        <f t="shared" si="54"/>
        <v>qr-text &lt;#0099FF/&gt;</v>
      </c>
      <c r="K313" s="32" t="s">
        <v>1387</v>
      </c>
    </row>
    <row r="314" spans="1:11" x14ac:dyDescent="0.25">
      <c r="A314" t="s">
        <v>36</v>
      </c>
      <c r="B314" t="str">
        <f t="shared" si="49"/>
        <v>barcode_f37</v>
      </c>
      <c r="C314" t="s">
        <v>1393</v>
      </c>
      <c r="E314" t="str">
        <f t="shared" si="50"/>
        <v>F37. qr-icon</v>
      </c>
      <c r="F314" t="str">
        <f t="shared" si="51"/>
        <v>barcode</v>
      </c>
      <c r="G314" t="str">
        <f t="shared" si="52"/>
        <v>F37. qr-icon</v>
      </c>
      <c r="H314" t="str">
        <f t="shared" si="53"/>
        <v>barcode</v>
      </c>
      <c r="J314" t="str">
        <f t="shared" si="54"/>
        <v>qr-icon</v>
      </c>
      <c r="K314" s="32" t="s">
        <v>1388</v>
      </c>
    </row>
    <row r="315" spans="1:11" x14ac:dyDescent="0.25">
      <c r="A315" t="s">
        <v>36</v>
      </c>
      <c r="B315" t="str">
        <f t="shared" si="49"/>
        <v>barcode_f38</v>
      </c>
      <c r="C315" t="s">
        <v>1394</v>
      </c>
      <c r="E315" t="str">
        <f t="shared" si="50"/>
        <v>F38. qr-icon &lt;#0099FF/&gt;</v>
      </c>
      <c r="F315" t="str">
        <f t="shared" si="51"/>
        <v>barcode</v>
      </c>
      <c r="G315" t="str">
        <f t="shared" si="52"/>
        <v>F38. qr-icon &lt;#0099FF/&gt;</v>
      </c>
      <c r="H315" t="str">
        <f t="shared" si="53"/>
        <v>barcode</v>
      </c>
      <c r="J315" t="str">
        <f t="shared" si="54"/>
        <v>qr-icon &lt;#0099FF/&gt;</v>
      </c>
      <c r="K315" s="32" t="s">
        <v>1389</v>
      </c>
    </row>
    <row r="316" spans="1:11" x14ac:dyDescent="0.25">
      <c r="A316" t="s">
        <v>36</v>
      </c>
      <c r="B316" t="str">
        <f>CONCATENATE(SUBSTITUTE(A316," ","_"),"_",C316)</f>
        <v>barcode_f39</v>
      </c>
      <c r="C316" t="s">
        <v>1395</v>
      </c>
      <c r="E316" t="str">
        <f t="shared" si="50"/>
        <v>F39. qr-button</v>
      </c>
      <c r="F316" t="str">
        <f t="shared" si="51"/>
        <v>barcode</v>
      </c>
      <c r="G316" t="str">
        <f t="shared" si="52"/>
        <v>F39. qr-button</v>
      </c>
      <c r="H316" t="str">
        <f t="shared" si="53"/>
        <v>barcode</v>
      </c>
      <c r="J316" t="str">
        <f>TRIM(CONCATENATE(K316," ",L316," ",M316))</f>
        <v>qr-button</v>
      </c>
      <c r="K316" s="32" t="s">
        <v>1390</v>
      </c>
    </row>
    <row r="317" spans="1:11" x14ac:dyDescent="0.25">
      <c r="A317" t="s">
        <v>36</v>
      </c>
      <c r="B317" t="str">
        <f>CONCATENATE(SUBSTITUTE(A317," ","_"),"_",C317)</f>
        <v>barcode_f40</v>
      </c>
      <c r="C317" t="s">
        <v>1396</v>
      </c>
      <c r="E317" t="str">
        <f t="shared" si="50"/>
        <v>F40. qr-button &lt;#0099FF/&gt;</v>
      </c>
      <c r="F317" t="str">
        <f t="shared" si="51"/>
        <v>barcode</v>
      </c>
      <c r="G317" t="str">
        <f t="shared" si="52"/>
        <v>F40. qr-button &lt;#0099FF/&gt;</v>
      </c>
      <c r="H317" t="str">
        <f t="shared" si="53"/>
        <v>barcode</v>
      </c>
      <c r="J317" t="str">
        <f>TRIM(CONCATENATE(K317," ",L317," ",M317))</f>
        <v>qr-button &lt;#0099FF/&gt;</v>
      </c>
      <c r="K317" s="32" t="s">
        <v>1391</v>
      </c>
    </row>
    <row r="318" spans="1:11" x14ac:dyDescent="0.25">
      <c r="A318" t="s">
        <v>36</v>
      </c>
      <c r="B318" t="str">
        <f t="shared" ref="B318:B344" si="55">CONCATENATE(SUBSTITUTE(A318," ","_"),"_",C318)</f>
        <v>barcode_f41</v>
      </c>
      <c r="C318" t="s">
        <v>1397</v>
      </c>
      <c r="E318" t="str">
        <f t="shared" si="50"/>
        <v>F41. display{inline-icon, right} inputs{} results{inline-icon, right}</v>
      </c>
      <c r="F318" t="str">
        <f t="shared" si="51"/>
        <v>barcode</v>
      </c>
      <c r="G318" t="str">
        <f t="shared" si="52"/>
        <v>F41. display{inline-icon, right} inputs{} results{inline-icon, right}</v>
      </c>
      <c r="H318" t="str">
        <f t="shared" si="53"/>
        <v>barcode</v>
      </c>
      <c r="J318" t="s">
        <v>1505</v>
      </c>
      <c r="K318" s="32" t="s">
        <v>252</v>
      </c>
    </row>
    <row r="319" spans="1:11" x14ac:dyDescent="0.25">
      <c r="A319" t="s">
        <v>36</v>
      </c>
      <c r="B319" t="str">
        <f t="shared" si="55"/>
        <v>barcode_f42</v>
      </c>
      <c r="C319" t="s">
        <v>1662</v>
      </c>
      <c r="E319" t="str">
        <f t="shared" si="50"/>
        <v>F42. display{inline-icon, right, small} inputs{} results{inline-icon, right, hide(value)}</v>
      </c>
      <c r="F319" t="str">
        <f t="shared" si="51"/>
        <v>barcode</v>
      </c>
      <c r="G319" t="str">
        <f t="shared" si="52"/>
        <v>F42. display{inline-icon, right, small} inputs{} results{inline-icon, right, hide(value)}</v>
      </c>
      <c r="H319" t="str">
        <f t="shared" si="53"/>
        <v>barcode</v>
      </c>
      <c r="J319" t="s">
        <v>1630</v>
      </c>
      <c r="K319" s="32" t="s">
        <v>253</v>
      </c>
    </row>
    <row r="320" spans="1:11" x14ac:dyDescent="0.25">
      <c r="A320" t="s">
        <v>36</v>
      </c>
      <c r="B320" t="str">
        <f t="shared" si="55"/>
        <v>barcode_f43</v>
      </c>
      <c r="C320" t="s">
        <v>1663</v>
      </c>
      <c r="E320" t="str">
        <f t="shared" si="50"/>
        <v>F43. display{inline-icon, right, medium} inputs{} results{inline-icon, right, hide(scanner)}</v>
      </c>
      <c r="F320" t="str">
        <f t="shared" si="51"/>
        <v>barcode</v>
      </c>
      <c r="G320" t="str">
        <f t="shared" si="52"/>
        <v>F43. display{inline-icon, right, medium} inputs{} results{inline-icon, right, hide(scanner)}</v>
      </c>
      <c r="H320" t="str">
        <f t="shared" si="53"/>
        <v>barcode</v>
      </c>
      <c r="J320" t="s">
        <v>1631</v>
      </c>
      <c r="K320" s="32" t="s">
        <v>254</v>
      </c>
    </row>
    <row r="321" spans="1:12" x14ac:dyDescent="0.25">
      <c r="A321" t="s">
        <v>36</v>
      </c>
      <c r="B321" t="str">
        <f t="shared" si="55"/>
        <v>barcode_f44</v>
      </c>
      <c r="C321" t="s">
        <v>1664</v>
      </c>
      <c r="E321" t="str">
        <f t="shared" si="50"/>
        <v>F44. display{inline-icon, right, large} inputs{back_camera} results{inline-icon, right, hide(review)}</v>
      </c>
      <c r="F321" t="str">
        <f t="shared" si="51"/>
        <v>barcode</v>
      </c>
      <c r="G321" t="str">
        <f t="shared" si="52"/>
        <v>F44. display{inline-icon, right, large} inputs{back_camera} results{inline-icon, right, hide(review)}</v>
      </c>
      <c r="H321" t="str">
        <f t="shared" si="53"/>
        <v>barcode</v>
      </c>
      <c r="J321" t="s">
        <v>1632</v>
      </c>
      <c r="K321" s="32" t="s">
        <v>255</v>
      </c>
    </row>
    <row r="322" spans="1:12" x14ac:dyDescent="0.25">
      <c r="A322" t="s">
        <v>36</v>
      </c>
      <c r="B322" t="str">
        <f t="shared" si="55"/>
        <v>barcode_f45</v>
      </c>
      <c r="C322" t="s">
        <v>1665</v>
      </c>
      <c r="E322" t="str">
        <f t="shared" si="50"/>
        <v>F45. display{inline-icon, right} inputs{front_camera} results{inline-icon, right, hide(scanner, value)}</v>
      </c>
      <c r="F322" t="str">
        <f t="shared" si="51"/>
        <v>barcode</v>
      </c>
      <c r="G322" t="str">
        <f t="shared" si="52"/>
        <v>F45. display{inline-icon, right} inputs{front_camera} results{inline-icon, right, hide(scanner, value)}</v>
      </c>
      <c r="H322" t="str">
        <f t="shared" si="53"/>
        <v>barcode</v>
      </c>
      <c r="J322" t="s">
        <v>1647</v>
      </c>
      <c r="K322" s="32" t="s">
        <v>256</v>
      </c>
    </row>
    <row r="323" spans="1:12" x14ac:dyDescent="0.25">
      <c r="A323" t="s">
        <v>36</v>
      </c>
      <c r="B323" t="str">
        <f t="shared" si="55"/>
        <v>barcode_f46</v>
      </c>
      <c r="C323" t="s">
        <v>1666</v>
      </c>
      <c r="E323" t="str">
        <f t="shared" si="50"/>
        <v>F46. display{inline-icon, right, large} inputs{back_camera, auto-close(5s)} results{inline-icon, right, hide(review)}</v>
      </c>
      <c r="F323" t="str">
        <f t="shared" si="51"/>
        <v>barcode</v>
      </c>
      <c r="G323" t="str">
        <f t="shared" si="52"/>
        <v>F46. display{inline-icon, right, large} inputs{back_camera, auto-close(5s)} results{inline-icon, right, hide(review)}</v>
      </c>
      <c r="H323" t="str">
        <f t="shared" si="53"/>
        <v>barcode</v>
      </c>
      <c r="J323" t="s">
        <v>1653</v>
      </c>
      <c r="K323" s="32" t="s">
        <v>255</v>
      </c>
    </row>
    <row r="324" spans="1:12" x14ac:dyDescent="0.25">
      <c r="A324" t="s">
        <v>36</v>
      </c>
      <c r="B324" t="str">
        <f t="shared" si="55"/>
        <v>barcode_f47</v>
      </c>
      <c r="C324" t="s">
        <v>1667</v>
      </c>
      <c r="E324" t="str">
        <f t="shared" si="50"/>
        <v>F47. display{inline-icon, right} inputs{floating} results{inline-icon, right}</v>
      </c>
      <c r="F324" t="str">
        <f t="shared" si="51"/>
        <v>barcode</v>
      </c>
      <c r="G324" t="str">
        <f t="shared" si="52"/>
        <v>F47. display{inline-icon, right} inputs{floating} results{inline-icon, right}</v>
      </c>
      <c r="H324" t="str">
        <f t="shared" si="53"/>
        <v>barcode</v>
      </c>
      <c r="J324" t="s">
        <v>1574</v>
      </c>
      <c r="K324" s="32" t="s">
        <v>253</v>
      </c>
      <c r="L324" t="s">
        <v>1083</v>
      </c>
    </row>
    <row r="325" spans="1:12" x14ac:dyDescent="0.25">
      <c r="A325" t="s">
        <v>36</v>
      </c>
      <c r="B325" t="str">
        <f t="shared" si="55"/>
        <v>barcode_f48</v>
      </c>
      <c r="C325" t="s">
        <v>1668</v>
      </c>
      <c r="E325" t="str">
        <f t="shared" si="50"/>
        <v>F48. display{inline-icon, right} inputs{floating, auto-close(5s)} results{inline-icon, right}</v>
      </c>
      <c r="F325" t="str">
        <f t="shared" si="51"/>
        <v>barcode</v>
      </c>
      <c r="G325" t="str">
        <f t="shared" si="52"/>
        <v>F48. display{inline-icon, right} inputs{floating, auto-close(5s)} results{inline-icon, right}</v>
      </c>
      <c r="H325" t="str">
        <f t="shared" si="53"/>
        <v>barcode</v>
      </c>
      <c r="J325" t="s">
        <v>1652</v>
      </c>
      <c r="K325" s="32" t="s">
        <v>253</v>
      </c>
      <c r="L325" t="s">
        <v>1083</v>
      </c>
    </row>
    <row r="326" spans="1:12" x14ac:dyDescent="0.25">
      <c r="A326" t="s">
        <v>36</v>
      </c>
      <c r="B326" t="str">
        <f t="shared" si="55"/>
        <v>barcode_f49</v>
      </c>
      <c r="C326" t="s">
        <v>1669</v>
      </c>
      <c r="E326" t="str">
        <f t="shared" si="50"/>
        <v>F49. display{inline-icon, right} inputs{floating, back_camera} results{inline-icon, right}</v>
      </c>
      <c r="F326" t="str">
        <f t="shared" si="51"/>
        <v>barcode</v>
      </c>
      <c r="G326" t="str">
        <f t="shared" si="52"/>
        <v>F49. display{inline-icon, right} inputs{floating, back_camera} results{inline-icon, right}</v>
      </c>
      <c r="H326" t="str">
        <f t="shared" si="53"/>
        <v>barcode</v>
      </c>
      <c r="J326" t="s">
        <v>1633</v>
      </c>
      <c r="K326" s="32" t="s">
        <v>1141</v>
      </c>
      <c r="L326" t="s">
        <v>1083</v>
      </c>
    </row>
    <row r="327" spans="1:12" x14ac:dyDescent="0.25">
      <c r="A327" t="s">
        <v>36</v>
      </c>
      <c r="B327" t="str">
        <f t="shared" si="55"/>
        <v>barcode_f50</v>
      </c>
      <c r="C327" t="s">
        <v>1670</v>
      </c>
      <c r="E327" t="str">
        <f t="shared" si="50"/>
        <v>F50. display{inline-icon, right} inputs{floating, back_camera, top} results{inline-icon, right}</v>
      </c>
      <c r="F327" t="str">
        <f t="shared" si="51"/>
        <v>barcode</v>
      </c>
      <c r="G327" t="str">
        <f t="shared" si="52"/>
        <v>F50. display{inline-icon, right} inputs{floating, back_camera, top} results{inline-icon, right}</v>
      </c>
      <c r="H327" t="str">
        <f t="shared" si="53"/>
        <v>barcode</v>
      </c>
      <c r="J327" t="s">
        <v>1634</v>
      </c>
      <c r="K327" s="32" t="s">
        <v>1143</v>
      </c>
      <c r="L327" t="s">
        <v>1083</v>
      </c>
    </row>
    <row r="328" spans="1:12" x14ac:dyDescent="0.25">
      <c r="A328" t="s">
        <v>36</v>
      </c>
      <c r="B328" t="str">
        <f t="shared" si="55"/>
        <v>barcode_f51</v>
      </c>
      <c r="C328" t="s">
        <v>1671</v>
      </c>
      <c r="E328" t="str">
        <f t="shared" si="50"/>
        <v>F51. display{inline-icon, right} inputs{floating, back_camera, bottom} results{inline-icon, right}</v>
      </c>
      <c r="F328" t="str">
        <f t="shared" si="51"/>
        <v>barcode</v>
      </c>
      <c r="G328" t="str">
        <f t="shared" si="52"/>
        <v>F51. display{inline-icon, right} inputs{floating, back_camera, bottom} results{inline-icon, right}</v>
      </c>
      <c r="H328" t="str">
        <f t="shared" si="53"/>
        <v>barcode</v>
      </c>
      <c r="J328" t="s">
        <v>1635</v>
      </c>
      <c r="K328" s="32" t="s">
        <v>276</v>
      </c>
    </row>
    <row r="329" spans="1:12" x14ac:dyDescent="0.25">
      <c r="A329" t="s">
        <v>36</v>
      </c>
      <c r="B329" t="str">
        <f t="shared" si="55"/>
        <v>barcode_f52</v>
      </c>
      <c r="C329" t="s">
        <v>1672</v>
      </c>
      <c r="E329" t="str">
        <f t="shared" si="50"/>
        <v>F52. display{inline-icon, right} inputs{floating, back_camera, left} results{inline-icon, right}</v>
      </c>
      <c r="F329" t="str">
        <f t="shared" si="51"/>
        <v>barcode</v>
      </c>
      <c r="G329" t="str">
        <f t="shared" si="52"/>
        <v>F52. display{inline-icon, right} inputs{floating, back_camera, left} results{inline-icon, right}</v>
      </c>
      <c r="H329" t="str">
        <f t="shared" si="53"/>
        <v>barcode</v>
      </c>
      <c r="J329" t="s">
        <v>1636</v>
      </c>
      <c r="K329" s="32" t="s">
        <v>277</v>
      </c>
    </row>
    <row r="330" spans="1:12" x14ac:dyDescent="0.25">
      <c r="A330" t="s">
        <v>36</v>
      </c>
      <c r="B330" t="str">
        <f t="shared" si="55"/>
        <v>barcode_f53</v>
      </c>
      <c r="C330" t="s">
        <v>1673</v>
      </c>
      <c r="E330" t="str">
        <f t="shared" si="50"/>
        <v>F53. display{inline-icon, right} inputs{floating, back_camera, auto-close(5), right} results{inline-icon, right}</v>
      </c>
      <c r="F330" t="str">
        <f t="shared" si="51"/>
        <v>barcode</v>
      </c>
      <c r="G330" t="str">
        <f t="shared" si="52"/>
        <v>F53. display{inline-icon, right} inputs{floating, back_camera, auto-close(5), right} results{inline-icon, right}</v>
      </c>
      <c r="H330" t="str">
        <f t="shared" si="53"/>
        <v>barcode</v>
      </c>
      <c r="J330" t="s">
        <v>1637</v>
      </c>
      <c r="K330" s="32" t="s">
        <v>261</v>
      </c>
    </row>
    <row r="331" spans="1:12" x14ac:dyDescent="0.25">
      <c r="A331" t="s">
        <v>36</v>
      </c>
      <c r="B331" t="str">
        <f t="shared" si="55"/>
        <v>barcode_f54</v>
      </c>
      <c r="C331" t="s">
        <v>1674</v>
      </c>
      <c r="E331" t="str">
        <f t="shared" si="50"/>
        <v>F54. display{inline-icon, right} inputs{floating, back_camera, center} results{inline-icon, right, hide(scanner, value}</v>
      </c>
      <c r="F331" t="str">
        <f t="shared" si="51"/>
        <v>barcode</v>
      </c>
      <c r="G331" t="str">
        <f t="shared" si="52"/>
        <v>F54. display{inline-icon, right} inputs{floating, back_camera, center} results{inline-icon, right, hide(scanner, value}</v>
      </c>
      <c r="H331" t="str">
        <f t="shared" si="53"/>
        <v>barcode</v>
      </c>
      <c r="J331" t="s">
        <v>1638</v>
      </c>
      <c r="K331" s="32" t="s">
        <v>262</v>
      </c>
    </row>
    <row r="332" spans="1:12" x14ac:dyDescent="0.25">
      <c r="A332" t="s">
        <v>36</v>
      </c>
      <c r="B332" t="str">
        <f t="shared" si="55"/>
        <v>barcode_f55</v>
      </c>
      <c r="C332" t="s">
        <v>1675</v>
      </c>
      <c r="E332" t="str">
        <f t="shared" si="50"/>
        <v>F55. display{inline-icon, right} inputs{floating, back_camera, auto-close(5), top | left} results{inline-icon, right}</v>
      </c>
      <c r="F332" t="str">
        <f t="shared" si="51"/>
        <v>barcode</v>
      </c>
      <c r="G332" t="str">
        <f t="shared" si="52"/>
        <v>F55. display{inline-icon, right} inputs{floating, back_camera, auto-close(5), top | left} results{inline-icon, right}</v>
      </c>
      <c r="H332" t="str">
        <f t="shared" si="53"/>
        <v>barcode</v>
      </c>
      <c r="J332" t="s">
        <v>1639</v>
      </c>
      <c r="K332" s="32" t="s">
        <v>257</v>
      </c>
    </row>
    <row r="333" spans="1:12" x14ac:dyDescent="0.25">
      <c r="A333" t="s">
        <v>36</v>
      </c>
      <c r="B333" t="str">
        <f t="shared" si="55"/>
        <v>barcode_f56</v>
      </c>
      <c r="C333" t="s">
        <v>1676</v>
      </c>
      <c r="E333" t="str">
        <f t="shared" si="50"/>
        <v>F56. display{inline-icon, right} inputs{floating, back_camera, top | right} results{inline-icon, right}</v>
      </c>
      <c r="F333" t="str">
        <f t="shared" si="51"/>
        <v>barcode</v>
      </c>
      <c r="G333" t="str">
        <f t="shared" si="52"/>
        <v>F56. display{inline-icon, right} inputs{floating, back_camera, top | right} results{inline-icon, right}</v>
      </c>
      <c r="H333" t="str">
        <f t="shared" si="53"/>
        <v>barcode</v>
      </c>
      <c r="J333" t="s">
        <v>1640</v>
      </c>
      <c r="K333" s="32" t="s">
        <v>258</v>
      </c>
    </row>
    <row r="334" spans="1:12" x14ac:dyDescent="0.25">
      <c r="A334" t="s">
        <v>36</v>
      </c>
      <c r="B334" t="str">
        <f t="shared" si="55"/>
        <v>barcode_f57</v>
      </c>
      <c r="C334" t="s">
        <v>1677</v>
      </c>
      <c r="E334" t="str">
        <f t="shared" si="50"/>
        <v>F57. display{inline-icon, right} inputs{floating, back_camera, bottom | left} results{inline-icon, right}</v>
      </c>
      <c r="F334" t="str">
        <f t="shared" si="51"/>
        <v>barcode</v>
      </c>
      <c r="G334" t="str">
        <f t="shared" si="52"/>
        <v>F57. display{inline-icon, right} inputs{floating, back_camera, bottom | left} results{inline-icon, right}</v>
      </c>
      <c r="H334" t="str">
        <f t="shared" si="53"/>
        <v>barcode</v>
      </c>
      <c r="J334" t="s">
        <v>1641</v>
      </c>
      <c r="K334" s="32" t="s">
        <v>1144</v>
      </c>
      <c r="L334" t="s">
        <v>1083</v>
      </c>
    </row>
    <row r="335" spans="1:12" x14ac:dyDescent="0.25">
      <c r="A335" t="s">
        <v>36</v>
      </c>
      <c r="B335" t="str">
        <f t="shared" si="55"/>
        <v>barcode_f58</v>
      </c>
      <c r="C335" t="s">
        <v>1678</v>
      </c>
      <c r="E335" t="str">
        <f t="shared" si="50"/>
        <v>F58. display{inline-icon, right} inputs{floating, back_camera, bottom | right} results{inline-icon, right}</v>
      </c>
      <c r="F335" t="str">
        <f t="shared" si="51"/>
        <v>barcode</v>
      </c>
      <c r="G335" t="str">
        <f t="shared" si="52"/>
        <v>F58. display{inline-icon, right} inputs{floating, back_camera, bottom | right} results{inline-icon, right}</v>
      </c>
      <c r="H335" t="str">
        <f t="shared" si="53"/>
        <v>barcode</v>
      </c>
      <c r="J335" t="s">
        <v>1642</v>
      </c>
      <c r="K335" s="32" t="s">
        <v>262</v>
      </c>
      <c r="L335" t="s">
        <v>1083</v>
      </c>
    </row>
    <row r="336" spans="1:12" x14ac:dyDescent="0.25">
      <c r="A336" t="s">
        <v>36</v>
      </c>
      <c r="B336" t="str">
        <f t="shared" si="55"/>
        <v>barcode_f59</v>
      </c>
      <c r="C336" t="s">
        <v>1679</v>
      </c>
      <c r="E336" t="str">
        <f t="shared" si="50"/>
        <v>F59. display{inline-icon, right} inputs{floating, back_camera, top | center_horizontal} results{inline-icon, right}</v>
      </c>
      <c r="F336" t="str">
        <f t="shared" si="51"/>
        <v>barcode</v>
      </c>
      <c r="G336" t="str">
        <f t="shared" si="52"/>
        <v>F59. display{inline-icon, right} inputs{floating, back_camera, top | center_horizontal} results{inline-icon, right}</v>
      </c>
      <c r="H336" t="str">
        <f t="shared" si="53"/>
        <v>barcode</v>
      </c>
      <c r="J336" t="s">
        <v>1643</v>
      </c>
      <c r="K336" s="32" t="s">
        <v>1145</v>
      </c>
      <c r="L336" t="s">
        <v>1083</v>
      </c>
    </row>
    <row r="337" spans="1:18" x14ac:dyDescent="0.25">
      <c r="A337" t="s">
        <v>36</v>
      </c>
      <c r="B337" t="str">
        <f t="shared" si="55"/>
        <v>barcode_f60</v>
      </c>
      <c r="C337" t="s">
        <v>1680</v>
      </c>
      <c r="E337" t="str">
        <f t="shared" si="50"/>
        <v>F60. display{inline-icon, right} inputs{floating, back_camera, bottom | center_horizontal} results{inline-icon, right}</v>
      </c>
      <c r="F337" t="str">
        <f t="shared" si="51"/>
        <v>barcode</v>
      </c>
      <c r="G337" t="str">
        <f t="shared" si="52"/>
        <v>F60. display{inline-icon, right} inputs{floating, back_camera, bottom | center_horizontal} results{inline-icon, right}</v>
      </c>
      <c r="H337" t="str">
        <f t="shared" si="53"/>
        <v>barcode</v>
      </c>
      <c r="J337" t="s">
        <v>1644</v>
      </c>
      <c r="K337" s="32" t="s">
        <v>1146</v>
      </c>
      <c r="L337" t="s">
        <v>1083</v>
      </c>
    </row>
    <row r="338" spans="1:18" x14ac:dyDescent="0.25">
      <c r="A338" t="s">
        <v>36</v>
      </c>
      <c r="B338" t="str">
        <f t="shared" si="55"/>
        <v>barcode_f61</v>
      </c>
      <c r="C338" t="s">
        <v>1681</v>
      </c>
      <c r="E338" t="str">
        <f t="shared" si="50"/>
        <v>F61. display{inline-icon, right} inputs{floating, back_camera, left | center_vertical} results{inline-icon, right}</v>
      </c>
      <c r="F338" t="str">
        <f t="shared" si="51"/>
        <v>barcode</v>
      </c>
      <c r="G338" t="str">
        <f t="shared" si="52"/>
        <v>F61. display{inline-icon, right} inputs{floating, back_camera, left | center_vertical} results{inline-icon, right}</v>
      </c>
      <c r="H338" t="str">
        <f t="shared" si="53"/>
        <v>barcode</v>
      </c>
      <c r="J338" t="s">
        <v>1645</v>
      </c>
      <c r="K338" s="32" t="s">
        <v>263</v>
      </c>
    </row>
    <row r="339" spans="1:18" x14ac:dyDescent="0.25">
      <c r="A339" t="s">
        <v>36</v>
      </c>
      <c r="B339" t="str">
        <f t="shared" si="55"/>
        <v>barcode_f62</v>
      </c>
      <c r="C339" t="s">
        <v>1682</v>
      </c>
      <c r="E339" t="str">
        <f t="shared" si="50"/>
        <v>F62. display{inline-icon, right} inputs{floating, back_camera, right | center_vertical} results{inline-icon, right}</v>
      </c>
      <c r="F339" t="str">
        <f t="shared" si="51"/>
        <v>barcode</v>
      </c>
      <c r="G339" t="str">
        <f t="shared" si="52"/>
        <v>F62. display{inline-icon, right} inputs{floating, back_camera, right | center_vertical} results{inline-icon, right}</v>
      </c>
      <c r="H339" t="str">
        <f t="shared" si="53"/>
        <v>barcode</v>
      </c>
      <c r="J339" t="s">
        <v>1646</v>
      </c>
      <c r="K339" s="32" t="s">
        <v>264</v>
      </c>
    </row>
    <row r="340" spans="1:18" x14ac:dyDescent="0.25">
      <c r="A340" t="s">
        <v>36</v>
      </c>
      <c r="B340" t="str">
        <f t="shared" si="55"/>
        <v>barcode_f63</v>
      </c>
      <c r="C340" t="s">
        <v>1683</v>
      </c>
      <c r="E340" t="str">
        <f t="shared" si="50"/>
        <v>F63. display{inline-icon, right, &lt;#0099FF/&gt;} inputs{} results{inline-icon, right}</v>
      </c>
      <c r="F340" t="str">
        <f t="shared" si="51"/>
        <v>barcode</v>
      </c>
      <c r="G340" t="str">
        <f t="shared" si="52"/>
        <v>F63. display{inline-icon, right, &lt;#0099FF/&gt;} inputs{} results{inline-icon, right}</v>
      </c>
      <c r="H340" t="str">
        <f t="shared" si="53"/>
        <v>barcode</v>
      </c>
      <c r="J340" t="s">
        <v>1602</v>
      </c>
      <c r="K340" s="32" t="s">
        <v>252</v>
      </c>
    </row>
    <row r="341" spans="1:18" x14ac:dyDescent="0.25">
      <c r="A341" t="s">
        <v>36</v>
      </c>
      <c r="B341" t="str">
        <f t="shared" si="55"/>
        <v>barcode_f64</v>
      </c>
      <c r="C341" t="s">
        <v>1684</v>
      </c>
      <c r="E341" t="str">
        <f t="shared" si="50"/>
        <v>F64. display{inline-icon, right, &lt;#0099FF/&gt;} inputs{floating} results{inline-icon, right}</v>
      </c>
      <c r="F341" t="str">
        <f t="shared" si="51"/>
        <v>barcode</v>
      </c>
      <c r="G341" t="str">
        <f t="shared" si="52"/>
        <v>F64. display{inline-icon, right, &lt;#0099FF/&gt;} inputs{floating} results{inline-icon, right}</v>
      </c>
      <c r="H341" t="str">
        <f t="shared" si="53"/>
        <v>barcode</v>
      </c>
      <c r="J341" t="s">
        <v>1605</v>
      </c>
      <c r="K341" s="32" t="s">
        <v>253</v>
      </c>
      <c r="L341" t="s">
        <v>1083</v>
      </c>
    </row>
    <row r="342" spans="1:18" x14ac:dyDescent="0.25">
      <c r="A342" t="s">
        <v>36</v>
      </c>
      <c r="B342" t="str">
        <f t="shared" si="55"/>
        <v>barcode_f65</v>
      </c>
      <c r="C342" t="s">
        <v>1685</v>
      </c>
      <c r="E342" t="str">
        <f t="shared" si="50"/>
        <v>F65. display{inline-icon, right, &lt;#0099FF/&gt;, small} inputs{} results{inline-icon, right, hide(value)}</v>
      </c>
      <c r="F342" t="str">
        <f t="shared" ref="F342:F345" si="56">A342</f>
        <v>barcode</v>
      </c>
      <c r="G342" t="str">
        <f t="shared" ref="G342:G345" si="57">CONCATENATE(PROPER(C342),". ",J342)</f>
        <v>F65. display{inline-icon, right, &lt;#0099FF/&gt;, small} inputs{} results{inline-icon, right, hide(value)}</v>
      </c>
      <c r="H342" t="str">
        <f t="shared" ref="H342:H345" si="58">A342</f>
        <v>barcode</v>
      </c>
      <c r="J342" t="s">
        <v>1648</v>
      </c>
      <c r="K342" s="32" t="s">
        <v>253</v>
      </c>
    </row>
    <row r="343" spans="1:18" x14ac:dyDescent="0.25">
      <c r="A343" t="s">
        <v>36</v>
      </c>
      <c r="B343" t="str">
        <f t="shared" si="55"/>
        <v>barcode_f66</v>
      </c>
      <c r="C343" t="s">
        <v>1686</v>
      </c>
      <c r="E343" t="str">
        <f t="shared" si="50"/>
        <v>F66. display{inline-icon, right, &lt;#0099FF/&gt;, medium} inputs{} results{inline-icon, right, hide(scanner)}</v>
      </c>
      <c r="F343" t="str">
        <f t="shared" si="56"/>
        <v>barcode</v>
      </c>
      <c r="G343" t="str">
        <f t="shared" si="57"/>
        <v>F66. display{inline-icon, right, &lt;#0099FF/&gt;, medium} inputs{} results{inline-icon, right, hide(scanner)}</v>
      </c>
      <c r="H343" t="str">
        <f t="shared" si="58"/>
        <v>barcode</v>
      </c>
      <c r="J343" t="s">
        <v>1649</v>
      </c>
      <c r="K343" s="32" t="s">
        <v>254</v>
      </c>
    </row>
    <row r="344" spans="1:18" x14ac:dyDescent="0.25">
      <c r="A344" t="s">
        <v>36</v>
      </c>
      <c r="B344" t="str">
        <f t="shared" si="55"/>
        <v>barcode_f67</v>
      </c>
      <c r="C344" t="s">
        <v>1687</v>
      </c>
      <c r="E344" t="str">
        <f t="shared" si="50"/>
        <v>F67. display{inline-icon, right, &lt;#0099FF/&gt;, large} inputs{back_camera} results{inline-icon, right, hide(review)}</v>
      </c>
      <c r="F344" t="str">
        <f t="shared" si="56"/>
        <v>barcode</v>
      </c>
      <c r="G344" t="str">
        <f t="shared" si="57"/>
        <v>F67. display{inline-icon, right, &lt;#0099FF/&gt;, large} inputs{back_camera} results{inline-icon, right, hide(review)}</v>
      </c>
      <c r="H344" t="str">
        <f t="shared" si="58"/>
        <v>barcode</v>
      </c>
      <c r="J344" t="s">
        <v>1650</v>
      </c>
      <c r="K344" s="32" t="s">
        <v>255</v>
      </c>
    </row>
    <row r="345" spans="1:18" ht="15.75" x14ac:dyDescent="0.25">
      <c r="A345" t="s">
        <v>1138</v>
      </c>
      <c r="B345" t="str">
        <f>CONCATENATE(SUBSTITUTE(A345," ","_"),"_",C345)</f>
        <v>select_multiple_show_bar_f68</v>
      </c>
      <c r="C345" t="s">
        <v>1688</v>
      </c>
      <c r="E345" t="str">
        <f t="shared" si="50"/>
        <v>F68. minimal checkall</v>
      </c>
      <c r="F345" t="str">
        <f t="shared" si="56"/>
        <v>select_multiple show_bar</v>
      </c>
      <c r="G345" t="str">
        <f t="shared" si="57"/>
        <v>F68. minimal checkall</v>
      </c>
      <c r="H345" t="str">
        <f t="shared" si="58"/>
        <v>select_multiple show_bar</v>
      </c>
      <c r="I345" s="36"/>
      <c r="J345" t="str">
        <f>TRIM(CONCATENATE(K345," ",L345," ",M345))</f>
        <v>minimal checkall</v>
      </c>
      <c r="K345" s="32" t="s">
        <v>1150</v>
      </c>
    </row>
    <row r="346" spans="1:18" x14ac:dyDescent="0.25">
      <c r="A346" t="s">
        <v>39</v>
      </c>
      <c r="E346" t="str">
        <f>CONCATENATE(PROPER(C346),". ",D346)</f>
        <v xml:space="preserve">. </v>
      </c>
    </row>
    <row r="347" spans="1:18" x14ac:dyDescent="0.25">
      <c r="A347" t="s">
        <v>38</v>
      </c>
      <c r="B347" t="str">
        <f>CONCATENATE("bg_field_",C347)</f>
        <v>bg_field_fa</v>
      </c>
      <c r="C347" t="s">
        <v>687</v>
      </c>
      <c r="D347" t="s">
        <v>1140</v>
      </c>
      <c r="E347" t="str">
        <f>CONCATENATE(PROPER(C347),". ",D347)</f>
        <v>Fa. Barcode auto-show appearance</v>
      </c>
      <c r="G347" t="str">
        <f>CONCATENATE(PROPER(C347),". ",D347)</f>
        <v>Fa. Barcode auto-show appearance</v>
      </c>
      <c r="J347" t="str">
        <f t="shared" si="54"/>
        <v/>
      </c>
    </row>
    <row r="348" spans="1:18" x14ac:dyDescent="0.25">
      <c r="A348" t="s">
        <v>36</v>
      </c>
      <c r="B348" t="str">
        <f t="shared" ref="B348:B355" si="59">CONCATENATE(SUBSTITUTE(A348," ","_"),"_",C348)</f>
        <v>barcode_fa1</v>
      </c>
      <c r="C348" t="s">
        <v>688</v>
      </c>
      <c r="E348" t="str">
        <f>CONCATENATE(PROPER(C348),". ",J348)</f>
        <v>Fa1. floating auto-show</v>
      </c>
      <c r="F348" t="str">
        <f t="shared" ref="F348:F355" si="60">A348</f>
        <v>barcode</v>
      </c>
      <c r="G348" t="str">
        <f t="shared" ref="G348:G355" si="61">CONCATENATE(PROPER(C348),". ",J348)</f>
        <v>Fa1. floating auto-show</v>
      </c>
      <c r="H348" t="str">
        <f t="shared" ref="H348:H355" si="62">A348</f>
        <v>barcode</v>
      </c>
      <c r="J348" t="str">
        <f t="shared" si="54"/>
        <v>floating auto-show</v>
      </c>
      <c r="K348" s="32" t="s">
        <v>259</v>
      </c>
      <c r="R348" t="s">
        <v>1752</v>
      </c>
    </row>
    <row r="349" spans="1:18" x14ac:dyDescent="0.25">
      <c r="A349" t="s">
        <v>36</v>
      </c>
      <c r="B349" t="str">
        <f t="shared" si="59"/>
        <v>barcode_fa2</v>
      </c>
      <c r="C349" t="s">
        <v>689</v>
      </c>
      <c r="E349" t="str">
        <f t="shared" ref="E349:E355" si="63">CONCATENATE(PROPER(C349),". ",J349)</f>
        <v>Fa2. floating auto-show hideres</v>
      </c>
      <c r="F349" t="str">
        <f t="shared" si="60"/>
        <v>barcode</v>
      </c>
      <c r="G349" t="str">
        <f t="shared" si="61"/>
        <v>Fa2. floating auto-show hideres</v>
      </c>
      <c r="H349" t="str">
        <f t="shared" si="62"/>
        <v>barcode</v>
      </c>
      <c r="J349" t="str">
        <f t="shared" si="54"/>
        <v>floating auto-show hideres</v>
      </c>
      <c r="K349" s="32" t="s">
        <v>260</v>
      </c>
      <c r="R349" t="s">
        <v>1753</v>
      </c>
    </row>
    <row r="350" spans="1:18" x14ac:dyDescent="0.25">
      <c r="A350" t="s">
        <v>36</v>
      </c>
      <c r="B350" t="str">
        <f t="shared" si="59"/>
        <v>barcode_fa3</v>
      </c>
      <c r="C350" t="s">
        <v>690</v>
      </c>
      <c r="E350" t="str">
        <f t="shared" si="63"/>
        <v>Fa3. floating auto-show auto-close(5)</v>
      </c>
      <c r="F350" t="str">
        <f t="shared" si="60"/>
        <v>barcode</v>
      </c>
      <c r="G350" t="str">
        <f t="shared" si="61"/>
        <v>Fa3. floating auto-show auto-close(5)</v>
      </c>
      <c r="H350" t="str">
        <f t="shared" si="62"/>
        <v>barcode</v>
      </c>
      <c r="J350" t="str">
        <f>TRIM(CONCATENATE(K350," ",L350," ",M350))</f>
        <v>floating auto-show auto-close(5)</v>
      </c>
      <c r="K350" s="32" t="s">
        <v>1147</v>
      </c>
      <c r="R350" t="s">
        <v>1754</v>
      </c>
    </row>
    <row r="351" spans="1:18" x14ac:dyDescent="0.25">
      <c r="A351" t="s">
        <v>36</v>
      </c>
      <c r="B351" t="str">
        <f t="shared" si="59"/>
        <v>barcode_fa4</v>
      </c>
      <c r="C351" t="s">
        <v>691</v>
      </c>
      <c r="E351" t="str">
        <f t="shared" si="63"/>
        <v>Fa4. floating auto-show auto-close(10) hideres</v>
      </c>
      <c r="F351" t="str">
        <f t="shared" si="60"/>
        <v>barcode</v>
      </c>
      <c r="G351" t="str">
        <f t="shared" si="61"/>
        <v>Fa4. floating auto-show auto-close(10) hideres</v>
      </c>
      <c r="H351" t="str">
        <f t="shared" si="62"/>
        <v>barcode</v>
      </c>
      <c r="J351" t="s">
        <v>1148</v>
      </c>
      <c r="K351" s="32" t="s">
        <v>1148</v>
      </c>
      <c r="R351" t="s">
        <v>1755</v>
      </c>
    </row>
    <row r="352" spans="1:18" x14ac:dyDescent="0.25">
      <c r="A352" t="s">
        <v>36</v>
      </c>
      <c r="B352" t="str">
        <f t="shared" si="59"/>
        <v>barcode_fa5</v>
      </c>
      <c r="C352" t="s">
        <v>1658</v>
      </c>
      <c r="E352" t="str">
        <f t="shared" si="63"/>
        <v>Fa5. display{inline-icon, right} inputs{floating, auto-show} results{inline-icon, right}</v>
      </c>
      <c r="F352" t="str">
        <f t="shared" si="60"/>
        <v>barcode</v>
      </c>
      <c r="G352" t="str">
        <f t="shared" si="61"/>
        <v>Fa5. display{inline-icon, right} inputs{floating, auto-show} results{inline-icon, right}</v>
      </c>
      <c r="H352" t="str">
        <f t="shared" si="62"/>
        <v>barcode</v>
      </c>
      <c r="J352" t="s">
        <v>1760</v>
      </c>
      <c r="K352" s="32" t="s">
        <v>1760</v>
      </c>
      <c r="R352" t="s">
        <v>1756</v>
      </c>
    </row>
    <row r="353" spans="1:18" x14ac:dyDescent="0.25">
      <c r="A353" t="s">
        <v>36</v>
      </c>
      <c r="B353" t="str">
        <f t="shared" si="59"/>
        <v>barcode_fa6</v>
      </c>
      <c r="C353" t="s">
        <v>1659</v>
      </c>
      <c r="E353" t="str">
        <f t="shared" si="63"/>
        <v>Fa6. display{inline-icon, right} inputs{floating, auto-show, auto-close(5s)} results{inline-icon, right}</v>
      </c>
      <c r="F353" t="str">
        <f t="shared" si="60"/>
        <v>barcode</v>
      </c>
      <c r="G353" t="str">
        <f t="shared" si="61"/>
        <v>Fa6. display{inline-icon, right} inputs{floating, auto-show, auto-close(5s)} results{inline-icon, right}</v>
      </c>
      <c r="H353" t="str">
        <f t="shared" si="62"/>
        <v>barcode</v>
      </c>
      <c r="J353" t="s">
        <v>1657</v>
      </c>
      <c r="K353" s="32" t="s">
        <v>1657</v>
      </c>
      <c r="R353" t="s">
        <v>1757</v>
      </c>
    </row>
    <row r="354" spans="1:18" x14ac:dyDescent="0.25">
      <c r="A354" t="s">
        <v>36</v>
      </c>
      <c r="B354" t="str">
        <f t="shared" si="59"/>
        <v>barcode_fa7</v>
      </c>
      <c r="C354" t="s">
        <v>1660</v>
      </c>
      <c r="E354" t="str">
        <f t="shared" si="63"/>
        <v>Fa7. display{inline-icon, right} inputs{floating, auto-show, auto-close(5s)} results{inline-icon, right, hide(value)}</v>
      </c>
      <c r="F354" t="str">
        <f t="shared" si="60"/>
        <v>barcode</v>
      </c>
      <c r="G354" t="str">
        <f t="shared" si="61"/>
        <v>Fa7. display{inline-icon, right} inputs{floating, auto-show, auto-close(5s)} results{inline-icon, right, hide(value)}</v>
      </c>
      <c r="H354" t="str">
        <f t="shared" si="62"/>
        <v>barcode</v>
      </c>
      <c r="J354" t="s">
        <v>1656</v>
      </c>
      <c r="K354" s="32" t="s">
        <v>1656</v>
      </c>
      <c r="R354" t="s">
        <v>1759</v>
      </c>
    </row>
    <row r="355" spans="1:18" x14ac:dyDescent="0.25">
      <c r="A355" t="s">
        <v>36</v>
      </c>
      <c r="B355" t="str">
        <f t="shared" si="59"/>
        <v>barcode_fa8</v>
      </c>
      <c r="C355" t="s">
        <v>1661</v>
      </c>
      <c r="E355" t="str">
        <f t="shared" si="63"/>
        <v>Fa8. display{inline-icon, right} inputs{floating, auto-show, auto-close(5s)} results{inline-icon, right, hide(value, scanner)}</v>
      </c>
      <c r="F355" t="str">
        <f t="shared" si="60"/>
        <v>barcode</v>
      </c>
      <c r="G355" t="str">
        <f t="shared" si="61"/>
        <v>Fa8. display{inline-icon, right} inputs{floating, auto-show, auto-close(5s)} results{inline-icon, right, hide(value, scanner)}</v>
      </c>
      <c r="H355" t="str">
        <f t="shared" si="62"/>
        <v>barcode</v>
      </c>
      <c r="J355" t="s">
        <v>1761</v>
      </c>
      <c r="K355" s="32" t="s">
        <v>1761</v>
      </c>
      <c r="R355" t="s">
        <v>1758</v>
      </c>
    </row>
    <row r="356" spans="1:18" x14ac:dyDescent="0.25">
      <c r="A356" t="s">
        <v>39</v>
      </c>
      <c r="E356" t="str">
        <f>CONCATENATE(PROPER(C356),". ",D356)</f>
        <v xml:space="preserve">. </v>
      </c>
      <c r="J356" t="str">
        <f t="shared" ref="J356" si="64">TRIM(CONCATENATE(K356," ",L356," ",M356))</f>
        <v/>
      </c>
    </row>
    <row r="357" spans="1:18" x14ac:dyDescent="0.25">
      <c r="A357" t="s">
        <v>39</v>
      </c>
      <c r="E357" t="str">
        <f>CONCATENATE(PROPER(C357),". ",D357)</f>
        <v xml:space="preserve">. </v>
      </c>
    </row>
    <row r="358" spans="1:18" x14ac:dyDescent="0.25">
      <c r="A358" t="s">
        <v>38</v>
      </c>
      <c r="B358" t="str">
        <f>CONCATENATE("bg_section_",C358)</f>
        <v>bg_section_g</v>
      </c>
      <c r="C358" t="s">
        <v>692</v>
      </c>
      <c r="D358" t="s">
        <v>1004</v>
      </c>
      <c r="E358" t="str">
        <f>CONCATENATE(PROPER(C358),". ",D358)</f>
        <v>G. GEOTRACE appearance</v>
      </c>
      <c r="G358" t="str">
        <f>CONCATENATE(PROPER(C358),". ",D358)</f>
        <v>G. GEOTRACE appearance</v>
      </c>
      <c r="J358" t="str">
        <f t="shared" ref="J358:J415" si="65">TRIM(CONCATENATE(K358," ",L358," ",M358))</f>
        <v>section</v>
      </c>
      <c r="K358" s="32" t="s">
        <v>43</v>
      </c>
      <c r="R358" t="s">
        <v>196</v>
      </c>
    </row>
    <row r="359" spans="1:18" ht="15" customHeight="1" x14ac:dyDescent="0.25">
      <c r="A359" t="s">
        <v>38</v>
      </c>
      <c r="B359" t="str">
        <f>CONCATENATE("bg_field_",C359)</f>
        <v>bg_field_g</v>
      </c>
      <c r="C359" t="s">
        <v>692</v>
      </c>
      <c r="D359" t="s">
        <v>1004</v>
      </c>
      <c r="E359" t="str">
        <f>CONCATENATE(PROPER(C359),". ",D359)</f>
        <v>G. GEOTRACE appearance</v>
      </c>
      <c r="G359" t="str">
        <f>CONCATENATE(PROPER(C359),". ",D359)</f>
        <v>G. GEOTRACE appearance</v>
      </c>
      <c r="J359" t="str">
        <f t="shared" si="65"/>
        <v>field-list</v>
      </c>
      <c r="K359" s="32" t="s">
        <v>40</v>
      </c>
    </row>
    <row r="360" spans="1:18" x14ac:dyDescent="0.25">
      <c r="A360" t="s">
        <v>37</v>
      </c>
      <c r="B360" t="str">
        <f>CONCATENATE(SUBSTITUTE(A360," ","_"),"_",C360)</f>
        <v>note_g</v>
      </c>
      <c r="C360" t="s">
        <v>692</v>
      </c>
      <c r="D360" t="s">
        <v>59</v>
      </c>
      <c r="E360" t="str">
        <f>CONCATENATE(PROPER(C360),". ",D360)</f>
        <v>G. GEOTRACE</v>
      </c>
      <c r="F360" t="s">
        <v>1000</v>
      </c>
      <c r="G360" t="str">
        <f>CONCATENATE(PROPER(C360),". ",D360)</f>
        <v>G. GEOTRACE</v>
      </c>
      <c r="H360" t="s">
        <v>1000</v>
      </c>
      <c r="J360" t="str">
        <f t="shared" si="65"/>
        <v/>
      </c>
    </row>
    <row r="361" spans="1:18" x14ac:dyDescent="0.25">
      <c r="A361" t="s">
        <v>32</v>
      </c>
      <c r="B361" t="str">
        <f t="shared" ref="B361:B420" si="66">CONCATENATE(SUBSTITUTE(A361," ","_"),"_",C361)</f>
        <v>geotrace_g1</v>
      </c>
      <c r="C361" t="s">
        <v>693</v>
      </c>
      <c r="E361" t="str">
        <f t="shared" ref="E361:E420" si="67">CONCATENATE(PROPER(C361),". ",J361)</f>
        <v>G1. inline</v>
      </c>
      <c r="F361" t="str">
        <f t="shared" ref="F361:F420" si="68">A361</f>
        <v>geotrace</v>
      </c>
      <c r="G361" t="str">
        <f t="shared" ref="G361:G420" si="69">CONCATENATE(PROPER(C361),". ",J361)</f>
        <v>G1. inline</v>
      </c>
      <c r="H361" t="str">
        <f t="shared" ref="H361:H420" si="70">A361</f>
        <v>geotrace</v>
      </c>
      <c r="J361" t="str">
        <f t="shared" si="65"/>
        <v>inline</v>
      </c>
      <c r="K361" s="32" t="s">
        <v>53</v>
      </c>
    </row>
    <row r="362" spans="1:18" x14ac:dyDescent="0.25">
      <c r="A362" t="s">
        <v>32</v>
      </c>
      <c r="B362" t="str">
        <f t="shared" si="66"/>
        <v>geotrace_g2</v>
      </c>
      <c r="C362" t="s">
        <v>694</v>
      </c>
      <c r="E362" t="str">
        <f t="shared" si="67"/>
        <v>G2. inputs{show}</v>
      </c>
      <c r="F362" t="str">
        <f t="shared" si="68"/>
        <v>geotrace</v>
      </c>
      <c r="G362" t="str">
        <f t="shared" si="69"/>
        <v>G2. inputs{show}</v>
      </c>
      <c r="H362" t="str">
        <f t="shared" si="70"/>
        <v>geotrace</v>
      </c>
      <c r="J362" t="str">
        <f t="shared" si="65"/>
        <v>inputs{show}</v>
      </c>
      <c r="K362" s="32" t="s">
        <v>278</v>
      </c>
    </row>
    <row r="363" spans="1:18" x14ac:dyDescent="0.25">
      <c r="A363" t="s">
        <v>32</v>
      </c>
      <c r="B363" t="str">
        <f t="shared" si="66"/>
        <v>geotrace_g3</v>
      </c>
      <c r="C363" t="s">
        <v>695</v>
      </c>
      <c r="E363" t="str">
        <f t="shared" si="67"/>
        <v>G3. inputs{hide}</v>
      </c>
      <c r="F363" t="str">
        <f t="shared" si="68"/>
        <v>geotrace</v>
      </c>
      <c r="G363" t="str">
        <f t="shared" si="69"/>
        <v>G3. inputs{hide}</v>
      </c>
      <c r="H363" t="str">
        <f t="shared" si="70"/>
        <v>geotrace</v>
      </c>
      <c r="J363" t="str">
        <f t="shared" si="65"/>
        <v>inputs{hide}</v>
      </c>
      <c r="K363" s="32" t="s">
        <v>279</v>
      </c>
    </row>
    <row r="364" spans="1:18" x14ac:dyDescent="0.25">
      <c r="A364" t="s">
        <v>32</v>
      </c>
      <c r="B364" t="str">
        <f t="shared" si="66"/>
        <v>geotrace_g4</v>
      </c>
      <c r="C364" t="s">
        <v>696</v>
      </c>
      <c r="E364" t="str">
        <f t="shared" si="67"/>
        <v>G4. inputs{invisible}</v>
      </c>
      <c r="F364" t="str">
        <f t="shared" si="68"/>
        <v>geotrace</v>
      </c>
      <c r="G364" t="str">
        <f t="shared" si="69"/>
        <v>G4. inputs{invisible}</v>
      </c>
      <c r="H364" t="str">
        <f t="shared" si="70"/>
        <v>geotrace</v>
      </c>
      <c r="J364" t="str">
        <f t="shared" si="65"/>
        <v>inputs{invisible}</v>
      </c>
      <c r="K364" s="32" t="s">
        <v>280</v>
      </c>
    </row>
    <row r="365" spans="1:18" x14ac:dyDescent="0.25">
      <c r="A365" t="s">
        <v>32</v>
      </c>
      <c r="B365" t="str">
        <f t="shared" si="66"/>
        <v>geotrace_g5</v>
      </c>
      <c r="C365" t="s">
        <v>697</v>
      </c>
      <c r="E365" t="str">
        <f t="shared" si="67"/>
        <v>G5. inputs{nodrag}</v>
      </c>
      <c r="F365" t="str">
        <f t="shared" si="68"/>
        <v>geotrace</v>
      </c>
      <c r="G365" t="str">
        <f t="shared" si="69"/>
        <v>G5. inputs{nodrag}</v>
      </c>
      <c r="H365" t="str">
        <f t="shared" si="70"/>
        <v>geotrace</v>
      </c>
      <c r="J365" t="str">
        <f t="shared" si="65"/>
        <v>inputs{nodrag}</v>
      </c>
      <c r="K365" s="32" t="s">
        <v>1185</v>
      </c>
    </row>
    <row r="366" spans="1:18" x14ac:dyDescent="0.25">
      <c r="A366" t="s">
        <v>32</v>
      </c>
      <c r="B366" t="str">
        <f t="shared" si="66"/>
        <v>geotrace_g6</v>
      </c>
      <c r="C366" t="s">
        <v>698</v>
      </c>
      <c r="E366" t="str">
        <f t="shared" si="67"/>
        <v>G6. inputs{draggable}</v>
      </c>
      <c r="F366" t="str">
        <f t="shared" si="68"/>
        <v>geotrace</v>
      </c>
      <c r="G366" t="str">
        <f t="shared" si="69"/>
        <v>G6. inputs{draggable}</v>
      </c>
      <c r="H366" t="str">
        <f t="shared" si="70"/>
        <v>geotrace</v>
      </c>
      <c r="J366" t="str">
        <f t="shared" si="65"/>
        <v>inputs{draggable}</v>
      </c>
      <c r="K366" s="32" t="s">
        <v>281</v>
      </c>
    </row>
    <row r="367" spans="1:18" x14ac:dyDescent="0.25">
      <c r="A367" t="s">
        <v>32</v>
      </c>
      <c r="B367" t="str">
        <f t="shared" si="66"/>
        <v>geotrace_g7</v>
      </c>
      <c r="C367" t="s">
        <v>699</v>
      </c>
      <c r="E367" t="str">
        <f t="shared" si="67"/>
        <v>G7. algorithm{manual}</v>
      </c>
      <c r="F367" t="str">
        <f t="shared" si="68"/>
        <v>geotrace</v>
      </c>
      <c r="G367" t="str">
        <f t="shared" si="69"/>
        <v>G7. algorithm{manual}</v>
      </c>
      <c r="H367" t="str">
        <f t="shared" si="70"/>
        <v>geotrace</v>
      </c>
      <c r="J367" t="str">
        <f t="shared" si="65"/>
        <v>algorithm{manual}</v>
      </c>
      <c r="K367" s="32" t="s">
        <v>282</v>
      </c>
    </row>
    <row r="368" spans="1:18" x14ac:dyDescent="0.25">
      <c r="A368" t="s">
        <v>32</v>
      </c>
      <c r="B368" t="str">
        <f t="shared" si="66"/>
        <v>geotrace_g8</v>
      </c>
      <c r="C368" t="s">
        <v>700</v>
      </c>
      <c r="E368" t="str">
        <f t="shared" si="67"/>
        <v>G8. algorithm{manual auto[2m]}</v>
      </c>
      <c r="F368" t="str">
        <f t="shared" si="68"/>
        <v>geotrace</v>
      </c>
      <c r="G368" t="str">
        <f t="shared" si="69"/>
        <v>G8. algorithm{manual auto[2m]}</v>
      </c>
      <c r="H368" t="str">
        <f t="shared" si="70"/>
        <v>geotrace</v>
      </c>
      <c r="J368" t="str">
        <f t="shared" si="65"/>
        <v>algorithm{manual auto[2m]}</v>
      </c>
      <c r="K368" s="32" t="s">
        <v>283</v>
      </c>
    </row>
    <row r="369" spans="1:12" x14ac:dyDescent="0.25">
      <c r="A369" t="s">
        <v>32</v>
      </c>
      <c r="B369" t="str">
        <f t="shared" si="66"/>
        <v>geotrace_g9</v>
      </c>
      <c r="C369" t="s">
        <v>701</v>
      </c>
      <c r="E369" t="str">
        <f t="shared" si="67"/>
        <v>G9. algorithm{auto[2m]}</v>
      </c>
      <c r="F369" t="str">
        <f t="shared" si="68"/>
        <v>geotrace</v>
      </c>
      <c r="G369" t="str">
        <f t="shared" si="69"/>
        <v>G9. algorithm{auto[2m]}</v>
      </c>
      <c r="H369" t="str">
        <f t="shared" si="70"/>
        <v>geotrace</v>
      </c>
      <c r="J369" t="str">
        <f t="shared" si="65"/>
        <v>algorithm{auto[2m]}</v>
      </c>
      <c r="K369" s="32" t="s">
        <v>284</v>
      </c>
    </row>
    <row r="370" spans="1:12" x14ac:dyDescent="0.25">
      <c r="A370" t="s">
        <v>32</v>
      </c>
      <c r="B370" t="str">
        <f t="shared" si="66"/>
        <v>geotrace_g10</v>
      </c>
      <c r="C370" t="s">
        <v>702</v>
      </c>
      <c r="E370" t="str">
        <f t="shared" si="67"/>
        <v>G10. algorithm{auto[30s]}</v>
      </c>
      <c r="F370" t="str">
        <f t="shared" si="68"/>
        <v>geotrace</v>
      </c>
      <c r="G370" t="str">
        <f t="shared" si="69"/>
        <v>G10. algorithm{auto[30s]}</v>
      </c>
      <c r="H370" t="str">
        <f t="shared" si="70"/>
        <v>geotrace</v>
      </c>
      <c r="J370" t="str">
        <f t="shared" si="65"/>
        <v>algorithm{auto[30s]}</v>
      </c>
      <c r="K370" s="32" t="s">
        <v>285</v>
      </c>
    </row>
    <row r="371" spans="1:12" x14ac:dyDescent="0.25">
      <c r="A371" t="s">
        <v>32</v>
      </c>
      <c r="B371" t="str">
        <f t="shared" si="66"/>
        <v>geotrace_g11</v>
      </c>
      <c r="C371" t="s">
        <v>703</v>
      </c>
      <c r="E371" t="str">
        <f t="shared" si="67"/>
        <v>G11. algorithm{auto[3m,30s]}</v>
      </c>
      <c r="F371" t="str">
        <f t="shared" si="68"/>
        <v>geotrace</v>
      </c>
      <c r="G371" t="str">
        <f t="shared" si="69"/>
        <v>G11. algorithm{auto[3m,30s]}</v>
      </c>
      <c r="H371" t="str">
        <f t="shared" si="70"/>
        <v>geotrace</v>
      </c>
      <c r="J371" t="str">
        <f t="shared" si="65"/>
        <v>algorithm{auto[3m,30s]}</v>
      </c>
      <c r="K371" s="32" t="s">
        <v>286</v>
      </c>
    </row>
    <row r="372" spans="1:12" x14ac:dyDescent="0.25">
      <c r="A372" t="s">
        <v>32</v>
      </c>
      <c r="B372" t="str">
        <f t="shared" si="66"/>
        <v>geotrace_g12</v>
      </c>
      <c r="C372" t="s">
        <v>1230</v>
      </c>
      <c r="E372" t="str">
        <f t="shared" si="67"/>
        <v>G12. inline-icon(center)</v>
      </c>
      <c r="F372" t="str">
        <f t="shared" si="68"/>
        <v>geotrace</v>
      </c>
      <c r="G372" t="str">
        <f t="shared" si="69"/>
        <v>G12. inline-icon(center)</v>
      </c>
      <c r="H372" t="str">
        <f t="shared" si="70"/>
        <v>geotrace</v>
      </c>
      <c r="J372" t="str">
        <f t="shared" si="65"/>
        <v>inline-icon(center)</v>
      </c>
      <c r="K372" s="32" t="s">
        <v>1210</v>
      </c>
    </row>
    <row r="373" spans="1:12" x14ac:dyDescent="0.25">
      <c r="A373" t="s">
        <v>32</v>
      </c>
      <c r="B373" t="str">
        <f t="shared" si="66"/>
        <v>geotrace_g13</v>
      </c>
      <c r="C373" t="s">
        <v>1231</v>
      </c>
      <c r="E373" t="str">
        <f t="shared" si="67"/>
        <v>G13. inline-icon(left)</v>
      </c>
      <c r="F373" t="str">
        <f t="shared" si="68"/>
        <v>geotrace</v>
      </c>
      <c r="G373" t="str">
        <f t="shared" si="69"/>
        <v>G13. inline-icon(left)</v>
      </c>
      <c r="H373" t="str">
        <f t="shared" si="70"/>
        <v>geotrace</v>
      </c>
      <c r="J373" t="str">
        <f t="shared" si="65"/>
        <v>inline-icon(left)</v>
      </c>
      <c r="K373" s="32" t="s">
        <v>1186</v>
      </c>
    </row>
    <row r="374" spans="1:12" x14ac:dyDescent="0.25">
      <c r="A374" t="s">
        <v>32</v>
      </c>
      <c r="B374" t="str">
        <f t="shared" si="66"/>
        <v>geotrace_g14</v>
      </c>
      <c r="C374" t="s">
        <v>1232</v>
      </c>
      <c r="E374" t="str">
        <f t="shared" si="67"/>
        <v>G14. inline-icon(right)</v>
      </c>
      <c r="F374" t="str">
        <f t="shared" si="68"/>
        <v>geotrace</v>
      </c>
      <c r="G374" t="str">
        <f t="shared" si="69"/>
        <v>G14. inline-icon(right)</v>
      </c>
      <c r="H374" t="str">
        <f t="shared" si="70"/>
        <v>geotrace</v>
      </c>
      <c r="J374" t="str">
        <f t="shared" si="65"/>
        <v>inline-icon(right)</v>
      </c>
      <c r="K374" s="32" t="s">
        <v>1187</v>
      </c>
    </row>
    <row r="375" spans="1:12" x14ac:dyDescent="0.25">
      <c r="A375" t="s">
        <v>32</v>
      </c>
      <c r="B375" t="str">
        <f t="shared" si="66"/>
        <v>geotrace_g15</v>
      </c>
      <c r="C375" t="s">
        <v>1233</v>
      </c>
      <c r="E375" t="str">
        <f t="shared" si="67"/>
        <v>G15. inline-icon()</v>
      </c>
      <c r="F375" t="str">
        <f t="shared" si="68"/>
        <v>geotrace</v>
      </c>
      <c r="G375" t="str">
        <f t="shared" si="69"/>
        <v>G15. inline-icon()</v>
      </c>
      <c r="H375" t="str">
        <f t="shared" si="70"/>
        <v>geotrace</v>
      </c>
      <c r="J375" t="str">
        <f t="shared" si="65"/>
        <v>inline-icon()</v>
      </c>
      <c r="K375" s="32" t="s">
        <v>1188</v>
      </c>
    </row>
    <row r="376" spans="1:12" x14ac:dyDescent="0.25">
      <c r="A376" t="s">
        <v>32</v>
      </c>
      <c r="B376" t="str">
        <f t="shared" si="66"/>
        <v>geotrace_g16</v>
      </c>
      <c r="C376" t="s">
        <v>1234</v>
      </c>
      <c r="E376" t="str">
        <f t="shared" si="67"/>
        <v>G16. inline result{icon(center)}</v>
      </c>
      <c r="F376" t="str">
        <f t="shared" si="68"/>
        <v>geotrace</v>
      </c>
      <c r="G376" t="str">
        <f t="shared" si="69"/>
        <v>G16. inline result{icon(center)}</v>
      </c>
      <c r="H376" t="str">
        <f t="shared" si="70"/>
        <v>geotrace</v>
      </c>
      <c r="J376" t="str">
        <f t="shared" si="65"/>
        <v>inline result{icon(center)}</v>
      </c>
      <c r="K376" s="32" t="s">
        <v>1207</v>
      </c>
    </row>
    <row r="377" spans="1:12" x14ac:dyDescent="0.25">
      <c r="A377" t="s">
        <v>32</v>
      </c>
      <c r="B377" t="str">
        <f t="shared" si="66"/>
        <v>geotrace_g17</v>
      </c>
      <c r="C377" t="s">
        <v>1235</v>
      </c>
      <c r="E377" t="str">
        <f t="shared" si="67"/>
        <v>G17. inline result{icon(left)}</v>
      </c>
      <c r="F377" t="str">
        <f t="shared" si="68"/>
        <v>geotrace</v>
      </c>
      <c r="G377" t="str">
        <f t="shared" si="69"/>
        <v>G17. inline result{icon(left)}</v>
      </c>
      <c r="H377" t="str">
        <f t="shared" si="70"/>
        <v>geotrace</v>
      </c>
      <c r="J377" t="str">
        <f t="shared" si="65"/>
        <v>inline result{icon(left)}</v>
      </c>
      <c r="K377" s="32" t="s">
        <v>1208</v>
      </c>
    </row>
    <row r="378" spans="1:12" x14ac:dyDescent="0.25">
      <c r="A378" t="s">
        <v>32</v>
      </c>
      <c r="B378" t="str">
        <f t="shared" si="66"/>
        <v>geotrace_g18</v>
      </c>
      <c r="C378" t="s">
        <v>1236</v>
      </c>
      <c r="E378" t="str">
        <f t="shared" si="67"/>
        <v>G18. inline result{icon(right)}</v>
      </c>
      <c r="F378" t="str">
        <f t="shared" si="68"/>
        <v>geotrace</v>
      </c>
      <c r="G378" t="str">
        <f t="shared" si="69"/>
        <v>G18. inline result{icon(right)}</v>
      </c>
      <c r="H378" t="str">
        <f t="shared" si="70"/>
        <v>geotrace</v>
      </c>
      <c r="J378" t="str">
        <f t="shared" si="65"/>
        <v>inline result{icon(right)}</v>
      </c>
      <c r="K378" s="32" t="s">
        <v>1209</v>
      </c>
    </row>
    <row r="379" spans="1:12" x14ac:dyDescent="0.25">
      <c r="A379" t="s">
        <v>32</v>
      </c>
      <c r="B379" t="str">
        <f t="shared" si="66"/>
        <v>geotrace_g19</v>
      </c>
      <c r="C379" t="s">
        <v>1237</v>
      </c>
      <c r="E379" t="str">
        <f t="shared" si="67"/>
        <v>G19. inline &lt;#0099FF/&gt;</v>
      </c>
      <c r="F379" t="str">
        <f t="shared" si="68"/>
        <v>geotrace</v>
      </c>
      <c r="G379" t="str">
        <f t="shared" si="69"/>
        <v>G19. inline &lt;#0099FF/&gt;</v>
      </c>
      <c r="H379" t="str">
        <f t="shared" si="70"/>
        <v>geotrace</v>
      </c>
      <c r="J379" t="str">
        <f t="shared" si="65"/>
        <v>inline &lt;#0099FF/&gt;</v>
      </c>
      <c r="K379" s="32" t="s">
        <v>53</v>
      </c>
      <c r="L379" t="s">
        <v>1083</v>
      </c>
    </row>
    <row r="380" spans="1:12" x14ac:dyDescent="0.25">
      <c r="A380" t="s">
        <v>32</v>
      </c>
      <c r="B380" t="str">
        <f t="shared" si="66"/>
        <v>geotrace_g20</v>
      </c>
      <c r="C380" t="s">
        <v>1238</v>
      </c>
      <c r="E380" t="str">
        <f t="shared" si="67"/>
        <v>G20. inline nomap &lt;#0099FF/&gt;</v>
      </c>
      <c r="F380" t="str">
        <f t="shared" si="68"/>
        <v>geotrace</v>
      </c>
      <c r="G380" t="str">
        <f t="shared" si="69"/>
        <v>G20. inline nomap &lt;#0099FF/&gt;</v>
      </c>
      <c r="H380" t="str">
        <f t="shared" si="70"/>
        <v>geotrace</v>
      </c>
      <c r="J380" t="str">
        <f t="shared" si="65"/>
        <v>inline nomap &lt;#0099FF/&gt;</v>
      </c>
      <c r="K380" s="32" t="s">
        <v>58</v>
      </c>
      <c r="L380" t="s">
        <v>1083</v>
      </c>
    </row>
    <row r="381" spans="1:12" x14ac:dyDescent="0.25">
      <c r="A381" t="s">
        <v>32</v>
      </c>
      <c r="B381" t="str">
        <f t="shared" si="66"/>
        <v>geotrace_g21</v>
      </c>
      <c r="C381" t="s">
        <v>1239</v>
      </c>
      <c r="E381" t="str">
        <f t="shared" si="67"/>
        <v>G21. inline thumbnail-square-[900x600] &lt;#0099FF/&gt;</v>
      </c>
      <c r="F381" t="str">
        <f t="shared" si="68"/>
        <v>geotrace</v>
      </c>
      <c r="G381" t="str">
        <f t="shared" si="69"/>
        <v>G21. inline thumbnail-square-[900x600] &lt;#0099FF/&gt;</v>
      </c>
      <c r="H381" t="str">
        <f t="shared" si="70"/>
        <v>geotrace</v>
      </c>
      <c r="J381" t="str">
        <f t="shared" si="65"/>
        <v>inline thumbnail-square-[900x600] &lt;#0099FF/&gt;</v>
      </c>
      <c r="K381" s="32" t="s">
        <v>417</v>
      </c>
      <c r="L381" t="s">
        <v>1083</v>
      </c>
    </row>
    <row r="382" spans="1:12" x14ac:dyDescent="0.25">
      <c r="A382" t="s">
        <v>32</v>
      </c>
      <c r="B382" t="str">
        <f t="shared" si="66"/>
        <v>geotrace_g22</v>
      </c>
      <c r="C382" t="s">
        <v>1240</v>
      </c>
      <c r="E382" t="str">
        <f t="shared" si="67"/>
        <v>G22. inputs{nomap} &lt;#0099FF/&gt;</v>
      </c>
      <c r="F382" t="str">
        <f t="shared" si="68"/>
        <v>geotrace</v>
      </c>
      <c r="G382" t="str">
        <f t="shared" si="69"/>
        <v>G22. inputs{nomap} &lt;#0099FF/&gt;</v>
      </c>
      <c r="H382" t="str">
        <f t="shared" si="70"/>
        <v>geotrace</v>
      </c>
      <c r="J382" t="str">
        <f t="shared" si="65"/>
        <v>inputs{nomap} &lt;#0099FF/&gt;</v>
      </c>
      <c r="K382" s="32" t="s">
        <v>1184</v>
      </c>
      <c r="L382" t="s">
        <v>1083</v>
      </c>
    </row>
    <row r="383" spans="1:12" x14ac:dyDescent="0.25">
      <c r="A383" t="s">
        <v>32</v>
      </c>
      <c r="B383" t="str">
        <f t="shared" si="66"/>
        <v>geotrace_g23</v>
      </c>
      <c r="C383" t="s">
        <v>1241</v>
      </c>
      <c r="E383" t="str">
        <f t="shared" si="67"/>
        <v>G23. inputs{nodrag} &lt;#0099FF/&gt;</v>
      </c>
      <c r="F383" t="str">
        <f t="shared" si="68"/>
        <v>geotrace</v>
      </c>
      <c r="G383" t="str">
        <f t="shared" si="69"/>
        <v>G23. inputs{nodrag} &lt;#0099FF/&gt;</v>
      </c>
      <c r="H383" t="str">
        <f t="shared" si="70"/>
        <v>geotrace</v>
      </c>
      <c r="J383" t="str">
        <f t="shared" si="65"/>
        <v>inputs{nodrag} &lt;#0099FF/&gt;</v>
      </c>
      <c r="K383" s="32" t="s">
        <v>1185</v>
      </c>
      <c r="L383" t="s">
        <v>1083</v>
      </c>
    </row>
    <row r="384" spans="1:12" x14ac:dyDescent="0.25">
      <c r="A384" t="s">
        <v>32</v>
      </c>
      <c r="B384" t="str">
        <f t="shared" si="66"/>
        <v>geotrace_g24</v>
      </c>
      <c r="C384" t="s">
        <v>1242</v>
      </c>
      <c r="E384" t="str">
        <f t="shared" si="67"/>
        <v>G24. inputs{draggable} &lt;#0099FF/&gt;</v>
      </c>
      <c r="F384" t="str">
        <f t="shared" si="68"/>
        <v>geotrace</v>
      </c>
      <c r="G384" t="str">
        <f t="shared" si="69"/>
        <v>G24. inputs{draggable} &lt;#0099FF/&gt;</v>
      </c>
      <c r="H384" t="str">
        <f t="shared" si="70"/>
        <v>geotrace</v>
      </c>
      <c r="J384" t="str">
        <f t="shared" si="65"/>
        <v>inputs{draggable} &lt;#0099FF/&gt;</v>
      </c>
      <c r="K384" s="32" t="s">
        <v>281</v>
      </c>
      <c r="L384" t="s">
        <v>1083</v>
      </c>
    </row>
    <row r="385" spans="1:12" x14ac:dyDescent="0.25">
      <c r="A385" t="s">
        <v>32</v>
      </c>
      <c r="B385" t="str">
        <f t="shared" si="66"/>
        <v>geotrace_g25</v>
      </c>
      <c r="C385" t="s">
        <v>1243</v>
      </c>
      <c r="E385" t="str">
        <f t="shared" si="67"/>
        <v>G25. inline-icon(center) &lt;#0099FF/&gt;</v>
      </c>
      <c r="F385" t="str">
        <f t="shared" si="68"/>
        <v>geotrace</v>
      </c>
      <c r="G385" t="str">
        <f t="shared" si="69"/>
        <v>G25. inline-icon(center) &lt;#0099FF/&gt;</v>
      </c>
      <c r="H385" t="str">
        <f t="shared" si="70"/>
        <v>geotrace</v>
      </c>
      <c r="J385" t="str">
        <f t="shared" si="65"/>
        <v>inline-icon(center) &lt;#0099FF/&gt;</v>
      </c>
      <c r="K385" s="32" t="s">
        <v>1210</v>
      </c>
      <c r="L385" t="s">
        <v>1083</v>
      </c>
    </row>
    <row r="386" spans="1:12" x14ac:dyDescent="0.25">
      <c r="A386" t="s">
        <v>32</v>
      </c>
      <c r="B386" t="str">
        <f t="shared" si="66"/>
        <v>geotrace_g26</v>
      </c>
      <c r="C386" t="s">
        <v>1244</v>
      </c>
      <c r="E386" t="str">
        <f t="shared" si="67"/>
        <v>G26. inline-icon(left) &lt;#0099FF/&gt;</v>
      </c>
      <c r="F386" t="str">
        <f t="shared" si="68"/>
        <v>geotrace</v>
      </c>
      <c r="G386" t="str">
        <f t="shared" si="69"/>
        <v>G26. inline-icon(left) &lt;#0099FF/&gt;</v>
      </c>
      <c r="H386" t="str">
        <f t="shared" si="70"/>
        <v>geotrace</v>
      </c>
      <c r="J386" t="str">
        <f t="shared" si="65"/>
        <v>inline-icon(left) &lt;#0099FF/&gt;</v>
      </c>
      <c r="K386" s="32" t="s">
        <v>1186</v>
      </c>
      <c r="L386" t="s">
        <v>1083</v>
      </c>
    </row>
    <row r="387" spans="1:12" x14ac:dyDescent="0.25">
      <c r="A387" t="s">
        <v>32</v>
      </c>
      <c r="B387" t="str">
        <f t="shared" si="66"/>
        <v>geotrace_g27</v>
      </c>
      <c r="C387" t="s">
        <v>1245</v>
      </c>
      <c r="E387" t="str">
        <f t="shared" si="67"/>
        <v>G27. inline-icon(right) &lt;#0099FF/&gt;</v>
      </c>
      <c r="F387" t="str">
        <f t="shared" si="68"/>
        <v>geotrace</v>
      </c>
      <c r="G387" t="str">
        <f t="shared" si="69"/>
        <v>G27. inline-icon(right) &lt;#0099FF/&gt;</v>
      </c>
      <c r="H387" t="str">
        <f t="shared" si="70"/>
        <v>geotrace</v>
      </c>
      <c r="J387" t="str">
        <f t="shared" si="65"/>
        <v>inline-icon(right) &lt;#0099FF/&gt;</v>
      </c>
      <c r="K387" s="32" t="s">
        <v>1187</v>
      </c>
      <c r="L387" t="s">
        <v>1083</v>
      </c>
    </row>
    <row r="388" spans="1:12" x14ac:dyDescent="0.25">
      <c r="A388" t="s">
        <v>32</v>
      </c>
      <c r="B388" t="str">
        <f t="shared" si="66"/>
        <v>geotrace_g28</v>
      </c>
      <c r="C388" t="s">
        <v>1246</v>
      </c>
      <c r="E388" t="str">
        <f t="shared" si="67"/>
        <v>G28. inline-icon() &lt;#0099FF/&gt;</v>
      </c>
      <c r="F388" t="str">
        <f t="shared" si="68"/>
        <v>geotrace</v>
      </c>
      <c r="G388" t="str">
        <f t="shared" si="69"/>
        <v>G28. inline-icon() &lt;#0099FF/&gt;</v>
      </c>
      <c r="H388" t="str">
        <f t="shared" si="70"/>
        <v>geotrace</v>
      </c>
      <c r="J388" t="str">
        <f t="shared" si="65"/>
        <v>inline-icon() &lt;#0099FF/&gt;</v>
      </c>
      <c r="K388" s="32" t="s">
        <v>1188</v>
      </c>
      <c r="L388" t="s">
        <v>1083</v>
      </c>
    </row>
    <row r="389" spans="1:12" x14ac:dyDescent="0.25">
      <c r="A389" t="s">
        <v>32</v>
      </c>
      <c r="B389" t="str">
        <f t="shared" si="66"/>
        <v>geotrace_g29</v>
      </c>
      <c r="C389" t="s">
        <v>1247</v>
      </c>
      <c r="E389" t="str">
        <f t="shared" si="67"/>
        <v>G29. inline inputs{nodrag} result{icon(center #0099FF)}</v>
      </c>
      <c r="F389" t="str">
        <f t="shared" si="68"/>
        <v>geotrace</v>
      </c>
      <c r="G389" t="str">
        <f t="shared" si="69"/>
        <v>G29. inline inputs{nodrag} result{icon(center #0099FF)}</v>
      </c>
      <c r="H389" t="str">
        <f t="shared" si="70"/>
        <v>geotrace</v>
      </c>
      <c r="J389" t="str">
        <f t="shared" si="65"/>
        <v>inline inputs{nodrag} result{icon(center #0099FF)}</v>
      </c>
      <c r="K389" s="32" t="s">
        <v>1250</v>
      </c>
    </row>
    <row r="390" spans="1:12" x14ac:dyDescent="0.25">
      <c r="A390" t="s">
        <v>32</v>
      </c>
      <c r="B390" t="str">
        <f t="shared" si="66"/>
        <v>geotrace_g30</v>
      </c>
      <c r="C390" t="s">
        <v>1248</v>
      </c>
      <c r="E390" t="str">
        <f t="shared" si="67"/>
        <v>G30. inline inputs{nodrag} result{icon(left #0099FF)}</v>
      </c>
      <c r="F390" t="str">
        <f t="shared" si="68"/>
        <v>geotrace</v>
      </c>
      <c r="G390" t="str">
        <f t="shared" si="69"/>
        <v>G30. inline inputs{nodrag} result{icon(left #0099FF)}</v>
      </c>
      <c r="H390" t="str">
        <f t="shared" si="70"/>
        <v>geotrace</v>
      </c>
      <c r="J390" t="str">
        <f t="shared" si="65"/>
        <v>inline inputs{nodrag} result{icon(left #0099FF)}</v>
      </c>
      <c r="K390" s="32" t="s">
        <v>1251</v>
      </c>
    </row>
    <row r="391" spans="1:12" x14ac:dyDescent="0.25">
      <c r="A391" t="s">
        <v>32</v>
      </c>
      <c r="B391" t="str">
        <f t="shared" si="66"/>
        <v>geotrace_g31</v>
      </c>
      <c r="C391" t="s">
        <v>1249</v>
      </c>
      <c r="E391" t="str">
        <f t="shared" si="67"/>
        <v>G31. inline inputs{nodrag} result{icon(right #0099FF)}</v>
      </c>
      <c r="F391" t="str">
        <f t="shared" si="68"/>
        <v>geotrace</v>
      </c>
      <c r="G391" t="str">
        <f t="shared" si="69"/>
        <v>G31. inline inputs{nodrag} result{icon(right #0099FF)}</v>
      </c>
      <c r="H391" t="str">
        <f t="shared" si="70"/>
        <v>geotrace</v>
      </c>
      <c r="J391" t="str">
        <f t="shared" si="65"/>
        <v>inline inputs{nodrag} result{icon(right #0099FF)}</v>
      </c>
      <c r="K391" s="32" t="s">
        <v>1252</v>
      </c>
    </row>
    <row r="392" spans="1:12" x14ac:dyDescent="0.25">
      <c r="A392" t="s">
        <v>32</v>
      </c>
      <c r="B392" t="str">
        <f t="shared" si="66"/>
        <v>geotrace_g32</v>
      </c>
      <c r="C392" t="s">
        <v>1402</v>
      </c>
      <c r="E392" t="str">
        <f t="shared" si="67"/>
        <v>G32. inline-1line</v>
      </c>
      <c r="F392" t="str">
        <f t="shared" si="68"/>
        <v>geotrace</v>
      </c>
      <c r="G392" t="str">
        <f t="shared" si="69"/>
        <v>G32. inline-1line</v>
      </c>
      <c r="H392" t="str">
        <f t="shared" si="70"/>
        <v>geotrace</v>
      </c>
      <c r="J392" t="str">
        <f t="shared" si="65"/>
        <v>inline-1line</v>
      </c>
      <c r="K392" s="32" t="s">
        <v>1383</v>
      </c>
    </row>
    <row r="393" spans="1:12" s="42" customFormat="1" x14ac:dyDescent="0.25">
      <c r="A393" s="42" t="s">
        <v>32</v>
      </c>
      <c r="B393" s="42" t="str">
        <f t="shared" si="66"/>
        <v>geotrace_g33</v>
      </c>
      <c r="C393" t="s">
        <v>1407</v>
      </c>
      <c r="E393" s="42" t="str">
        <f t="shared" si="67"/>
        <v>G33. inline inputs{draggable} result{icon(left #0099FF)}</v>
      </c>
      <c r="F393" s="42" t="str">
        <f t="shared" si="68"/>
        <v>geotrace</v>
      </c>
      <c r="G393" s="42" t="str">
        <f t="shared" si="69"/>
        <v>G33. inline inputs{draggable} result{icon(left #0099FF)}</v>
      </c>
      <c r="H393" s="42" t="str">
        <f t="shared" si="70"/>
        <v>geotrace</v>
      </c>
      <c r="J393" s="42" t="str">
        <f t="shared" si="65"/>
        <v>inline inputs{draggable} result{icon(left #0099FF)}</v>
      </c>
      <c r="K393" s="32" t="s">
        <v>1453</v>
      </c>
    </row>
    <row r="394" spans="1:12" ht="16.5" customHeight="1" x14ac:dyDescent="0.25">
      <c r="A394" t="s">
        <v>32</v>
      </c>
      <c r="B394" t="str">
        <f t="shared" si="66"/>
        <v>geotrace_g34</v>
      </c>
      <c r="C394" t="s">
        <v>1408</v>
      </c>
      <c r="E394" t="str">
        <f t="shared" si="67"/>
        <v>G34. inline inputs{nomap} result{icon(left #0099FF)}</v>
      </c>
      <c r="F394" t="str">
        <f t="shared" si="68"/>
        <v>geotrace</v>
      </c>
      <c r="G394" t="str">
        <f t="shared" si="69"/>
        <v>G34. inline inputs{nomap} result{icon(left #0099FF)}</v>
      </c>
      <c r="H394" t="str">
        <f t="shared" si="70"/>
        <v>geotrace</v>
      </c>
      <c r="J394" t="str">
        <f t="shared" si="65"/>
        <v>inline inputs{nomap} result{icon(left #0099FF)}</v>
      </c>
      <c r="K394" s="32" t="s">
        <v>1400</v>
      </c>
    </row>
    <row r="395" spans="1:12" ht="16.5" customHeight="1" x14ac:dyDescent="0.25">
      <c r="A395" t="s">
        <v>32</v>
      </c>
      <c r="B395" t="str">
        <f t="shared" si="66"/>
        <v>geotrace_g35</v>
      </c>
      <c r="C395" t="s">
        <v>1409</v>
      </c>
      <c r="E395" t="str">
        <f t="shared" si="67"/>
        <v>G35. inline inputs{algorithm{auto[30s]} result{icon(left #0099FF)}</v>
      </c>
      <c r="F395" t="str">
        <f t="shared" si="68"/>
        <v>geotrace</v>
      </c>
      <c r="G395" t="str">
        <f t="shared" si="69"/>
        <v>G35. inline inputs{algorithm{auto[30s]} result{icon(left #0099FF)}</v>
      </c>
      <c r="H395" t="str">
        <f t="shared" si="70"/>
        <v>geotrace</v>
      </c>
      <c r="J395" t="str">
        <f t="shared" si="65"/>
        <v>inline inputs{algorithm{auto[30s]} result{icon(left #0099FF)}</v>
      </c>
      <c r="K395" s="32" t="s">
        <v>1454</v>
      </c>
    </row>
    <row r="396" spans="1:12" x14ac:dyDescent="0.25">
      <c r="A396" t="s">
        <v>32</v>
      </c>
      <c r="B396" t="str">
        <f t="shared" si="66"/>
        <v>geotrace_g36</v>
      </c>
      <c r="C396" t="s">
        <v>1410</v>
      </c>
      <c r="E396" t="str">
        <f t="shared" si="67"/>
        <v>G36. inline inputs{nodrag, algorithm{auto[30s]} result{icon(right #0099FF)}</v>
      </c>
      <c r="F396" t="str">
        <f t="shared" si="68"/>
        <v>geotrace</v>
      </c>
      <c r="G396" t="str">
        <f t="shared" si="69"/>
        <v>G36. inline inputs{nodrag, algorithm{auto[30s]} result{icon(right #0099FF)}</v>
      </c>
      <c r="H396" t="str">
        <f t="shared" si="70"/>
        <v>geotrace</v>
      </c>
      <c r="J396" t="str">
        <f t="shared" si="65"/>
        <v>inline inputs{nodrag, algorithm{auto[30s]} result{icon(right #0099FF)}</v>
      </c>
      <c r="K396" s="32" t="s">
        <v>1447</v>
      </c>
    </row>
    <row r="397" spans="1:12" x14ac:dyDescent="0.25">
      <c r="A397" t="s">
        <v>32</v>
      </c>
      <c r="B397" t="str">
        <f t="shared" si="66"/>
        <v>geotrace_g37</v>
      </c>
      <c r="C397" t="s">
        <v>1411</v>
      </c>
      <c r="E397" t="str">
        <f t="shared" si="67"/>
        <v>G37. inline inputs{draggable, algorithm{auto[30s]} result{icon(right #0099FF)}</v>
      </c>
      <c r="F397" t="str">
        <f t="shared" si="68"/>
        <v>geotrace</v>
      </c>
      <c r="G397" t="str">
        <f t="shared" si="69"/>
        <v>G37. inline inputs{draggable, algorithm{auto[30s]} result{icon(right #0099FF)}</v>
      </c>
      <c r="H397" t="str">
        <f t="shared" si="70"/>
        <v>geotrace</v>
      </c>
      <c r="J397" t="str">
        <f t="shared" si="65"/>
        <v>inline inputs{draggable, algorithm{auto[30s]} result{icon(right #0099FF)}</v>
      </c>
      <c r="K397" s="32" t="s">
        <v>1455</v>
      </c>
    </row>
    <row r="398" spans="1:12" x14ac:dyDescent="0.25">
      <c r="A398" t="s">
        <v>32</v>
      </c>
      <c r="B398" t="str">
        <f t="shared" si="66"/>
        <v>geotrace_g38</v>
      </c>
      <c r="C398" t="s">
        <v>1412</v>
      </c>
      <c r="E398" t="str">
        <f t="shared" si="67"/>
        <v>G38. inline inputs{nomap, algorithm{auto[30s]} result{icon(right #0099FF)}</v>
      </c>
      <c r="F398" t="str">
        <f t="shared" si="68"/>
        <v>geotrace</v>
      </c>
      <c r="G398" t="str">
        <f t="shared" si="69"/>
        <v>G38. inline inputs{nomap, algorithm{auto[30s]} result{icon(right #0099FF)}</v>
      </c>
      <c r="H398" t="str">
        <f t="shared" si="70"/>
        <v>geotrace</v>
      </c>
      <c r="J398" t="str">
        <f t="shared" si="65"/>
        <v>inline inputs{nomap, algorithm{auto[30s]} result{icon(right #0099FF)}</v>
      </c>
      <c r="K398" s="32" t="s">
        <v>1446</v>
      </c>
    </row>
    <row r="399" spans="1:12" x14ac:dyDescent="0.25">
      <c r="A399" t="s">
        <v>32</v>
      </c>
      <c r="B399" t="str">
        <f t="shared" si="66"/>
        <v>geotrace_g39</v>
      </c>
      <c r="C399" t="s">
        <v>1413</v>
      </c>
      <c r="E399" t="str">
        <f t="shared" si="67"/>
        <v>G39. display{inline-icon, right, medium} inputs{} results{inline-icon, right}</v>
      </c>
      <c r="F399" t="str">
        <f t="shared" si="68"/>
        <v>geotrace</v>
      </c>
      <c r="G399" t="str">
        <f t="shared" si="69"/>
        <v>G39. display{inline-icon, right, medium} inputs{} results{inline-icon, right}</v>
      </c>
      <c r="H399" t="str">
        <f t="shared" si="70"/>
        <v>geotrace</v>
      </c>
      <c r="J399" t="str">
        <f t="shared" si="65"/>
        <v>display{inline-icon, right, medium} inputs{} results{inline-icon, right}</v>
      </c>
      <c r="K399" s="32" t="s">
        <v>1405</v>
      </c>
    </row>
    <row r="400" spans="1:12" x14ac:dyDescent="0.25">
      <c r="A400" t="s">
        <v>32</v>
      </c>
      <c r="B400" t="str">
        <f t="shared" si="66"/>
        <v>geotrace_g40</v>
      </c>
      <c r="C400" t="s">
        <v>1414</v>
      </c>
      <c r="E400" t="str">
        <f t="shared" si="67"/>
        <v>G40. display{inline-icon, right, medium} inputs{} results{inline-icon, right, hide(value)}</v>
      </c>
      <c r="F400" t="str">
        <f t="shared" si="68"/>
        <v>geotrace</v>
      </c>
      <c r="G400" t="str">
        <f t="shared" si="69"/>
        <v>G40. display{inline-icon, right, medium} inputs{} results{inline-icon, right, hide(value)}</v>
      </c>
      <c r="H400" t="str">
        <f t="shared" si="70"/>
        <v>geotrace</v>
      </c>
      <c r="J400" t="str">
        <f t="shared" si="65"/>
        <v>display{inline-icon, right, medium} inputs{} results{inline-icon, right, hide(value)}</v>
      </c>
      <c r="K400" s="32" t="s">
        <v>1404</v>
      </c>
    </row>
    <row r="401" spans="1:11" x14ac:dyDescent="0.25">
      <c r="A401" t="s">
        <v>32</v>
      </c>
      <c r="B401" t="str">
        <f t="shared" si="66"/>
        <v>geotrace_g41</v>
      </c>
      <c r="C401" t="s">
        <v>1415</v>
      </c>
      <c r="E401" t="str">
        <f t="shared" si="67"/>
        <v>G41. display{inline-icon, right, medium} inputs{} results{inline-icon, right, hide(capture)}</v>
      </c>
      <c r="F401" t="str">
        <f t="shared" si="68"/>
        <v>geotrace</v>
      </c>
      <c r="G401" t="str">
        <f t="shared" si="69"/>
        <v>G41. display{inline-icon, right, medium} inputs{} results{inline-icon, right, hide(capture)}</v>
      </c>
      <c r="H401" t="str">
        <f t="shared" si="70"/>
        <v>geotrace</v>
      </c>
      <c r="J401" t="s">
        <v>1702</v>
      </c>
      <c r="K401" s="32" t="s">
        <v>1404</v>
      </c>
    </row>
    <row r="402" spans="1:11" x14ac:dyDescent="0.25">
      <c r="A402" t="s">
        <v>32</v>
      </c>
      <c r="B402" t="str">
        <f t="shared" si="66"/>
        <v>geotrace_g42</v>
      </c>
      <c r="C402" t="s">
        <v>1416</v>
      </c>
      <c r="E402" t="str">
        <f t="shared" si="67"/>
        <v>G42. display{inline-icon, right, medium} inputs{} results{inline-icon, right, hide(value, capture)}</v>
      </c>
      <c r="F402" t="str">
        <f t="shared" si="68"/>
        <v>geotrace</v>
      </c>
      <c r="G402" t="str">
        <f t="shared" si="69"/>
        <v>G42. display{inline-icon, right, medium} inputs{} results{inline-icon, right, hide(value, capture)}</v>
      </c>
      <c r="H402" t="str">
        <f t="shared" si="70"/>
        <v>geotrace</v>
      </c>
      <c r="J402" t="s">
        <v>1704</v>
      </c>
      <c r="K402" s="32" t="s">
        <v>1404</v>
      </c>
    </row>
    <row r="403" spans="1:11" x14ac:dyDescent="0.25">
      <c r="A403" t="s">
        <v>32</v>
      </c>
      <c r="B403" t="str">
        <f t="shared" si="66"/>
        <v>geotrace_g43</v>
      </c>
      <c r="C403" t="s">
        <v>1417</v>
      </c>
      <c r="E403" t="str">
        <f t="shared" si="67"/>
        <v>G43. display{inline-icon, right, medium} inputs{nomap} results{inline-icon, right}</v>
      </c>
      <c r="F403" t="str">
        <f t="shared" si="68"/>
        <v>geotrace</v>
      </c>
      <c r="G403" t="str">
        <f t="shared" si="69"/>
        <v>G43. display{inline-icon, right, medium} inputs{nomap} results{inline-icon, right}</v>
      </c>
      <c r="H403" t="str">
        <f t="shared" si="70"/>
        <v>geotrace</v>
      </c>
      <c r="J403" t="str">
        <f t="shared" si="65"/>
        <v>display{inline-icon, right, medium} inputs{nomap} results{inline-icon, right}</v>
      </c>
      <c r="K403" s="32" t="s">
        <v>1448</v>
      </c>
    </row>
    <row r="404" spans="1:11" x14ac:dyDescent="0.25">
      <c r="A404" t="s">
        <v>32</v>
      </c>
      <c r="B404" t="str">
        <f t="shared" si="66"/>
        <v>geotrace_g44</v>
      </c>
      <c r="C404" t="s">
        <v>1418</v>
      </c>
      <c r="E404" t="str">
        <f t="shared" si="67"/>
        <v>G44. display{inline-icon, right, medium} inputs{nodrag} results{inline-icon, right}</v>
      </c>
      <c r="F404" t="str">
        <f t="shared" si="68"/>
        <v>geotrace</v>
      </c>
      <c r="G404" t="str">
        <f t="shared" si="69"/>
        <v>G44. display{inline-icon, right, medium} inputs{nodrag} results{inline-icon, right}</v>
      </c>
      <c r="H404" t="str">
        <f t="shared" si="70"/>
        <v>geotrace</v>
      </c>
      <c r="J404" t="str">
        <f t="shared" si="65"/>
        <v>display{inline-icon, right, medium} inputs{nodrag} results{inline-icon, right}</v>
      </c>
      <c r="K404" s="32" t="s">
        <v>1452</v>
      </c>
    </row>
    <row r="405" spans="1:11" x14ac:dyDescent="0.25">
      <c r="A405" t="s">
        <v>32</v>
      </c>
      <c r="B405" t="str">
        <f t="shared" si="66"/>
        <v>geotrace_g45</v>
      </c>
      <c r="C405" t="s">
        <v>1419</v>
      </c>
      <c r="E405" t="str">
        <f t="shared" si="67"/>
        <v>G45. display{inline-icon, right, medium} inputs{draggable} results{inline-icon, right}</v>
      </c>
      <c r="F405" t="str">
        <f t="shared" si="68"/>
        <v>geotrace</v>
      </c>
      <c r="G405" t="str">
        <f t="shared" si="69"/>
        <v>G45. display{inline-icon, right, medium} inputs{draggable} results{inline-icon, right}</v>
      </c>
      <c r="H405" t="str">
        <f t="shared" si="70"/>
        <v>geotrace</v>
      </c>
      <c r="J405" t="str">
        <f t="shared" si="65"/>
        <v>display{inline-icon, right, medium} inputs{draggable} results{inline-icon, right}</v>
      </c>
      <c r="K405" s="32" t="s">
        <v>1406</v>
      </c>
    </row>
    <row r="406" spans="1:11" x14ac:dyDescent="0.25">
      <c r="A406" t="s">
        <v>32</v>
      </c>
      <c r="B406" t="str">
        <f t="shared" si="66"/>
        <v>geotrace_g46</v>
      </c>
      <c r="C406" t="s">
        <v>1420</v>
      </c>
      <c r="E406" t="str">
        <f t="shared" si="67"/>
        <v>G46. display{inline-icon, right, medium} inputs{algorithm{auto[30s]} results{inline-icon, right}</v>
      </c>
      <c r="F406" t="str">
        <f t="shared" si="68"/>
        <v>geotrace</v>
      </c>
      <c r="G406" t="str">
        <f t="shared" si="69"/>
        <v>G46. display{inline-icon, right, medium} inputs{algorithm{auto[30s]} results{inline-icon, right}</v>
      </c>
      <c r="H406" t="str">
        <f t="shared" si="70"/>
        <v>geotrace</v>
      </c>
      <c r="J406" t="str">
        <f t="shared" si="65"/>
        <v>display{inline-icon, right, medium} inputs{algorithm{auto[30s]} results{inline-icon, right}</v>
      </c>
      <c r="K406" s="32" t="s">
        <v>1444</v>
      </c>
    </row>
    <row r="407" spans="1:11" x14ac:dyDescent="0.25">
      <c r="A407" t="s">
        <v>32</v>
      </c>
      <c r="B407" t="str">
        <f t="shared" si="66"/>
        <v>geotrace_g47</v>
      </c>
      <c r="C407" t="s">
        <v>1421</v>
      </c>
      <c r="E407" t="str">
        <f t="shared" si="67"/>
        <v>G47. display{inline-icon, right, medium} inputs{nomap, algorithm{auto[30s]} results{inline-icon, right}</v>
      </c>
      <c r="F407" t="str">
        <f t="shared" si="68"/>
        <v>geotrace</v>
      </c>
      <c r="G407" t="str">
        <f t="shared" si="69"/>
        <v>G47. display{inline-icon, right, medium} inputs{nomap, algorithm{auto[30s]} results{inline-icon, right}</v>
      </c>
      <c r="H407" t="str">
        <f t="shared" si="70"/>
        <v>geotrace</v>
      </c>
      <c r="J407" t="str">
        <f t="shared" si="65"/>
        <v>display{inline-icon, right, medium} inputs{nomap, algorithm{auto[30s]} results{inline-icon, right}</v>
      </c>
      <c r="K407" s="32" t="s">
        <v>1449</v>
      </c>
    </row>
    <row r="408" spans="1:11" x14ac:dyDescent="0.25">
      <c r="A408" t="s">
        <v>32</v>
      </c>
      <c r="B408" t="str">
        <f t="shared" si="66"/>
        <v>geotrace_g48</v>
      </c>
      <c r="C408" t="s">
        <v>1422</v>
      </c>
      <c r="E408" t="str">
        <f t="shared" si="67"/>
        <v>G48. display{inline-icon, right, medium} inputs{nodrag, algorithm{auto[30s]} results{inline-icon, right}</v>
      </c>
      <c r="F408" t="str">
        <f t="shared" si="68"/>
        <v>geotrace</v>
      </c>
      <c r="G408" t="str">
        <f t="shared" si="69"/>
        <v>G48. display{inline-icon, right, medium} inputs{nodrag, algorithm{auto[30s]} results{inline-icon, right}</v>
      </c>
      <c r="H408" t="str">
        <f t="shared" si="70"/>
        <v>geotrace</v>
      </c>
      <c r="J408" t="str">
        <f t="shared" si="65"/>
        <v>display{inline-icon, right, medium} inputs{nodrag, algorithm{auto[30s]} results{inline-icon, right}</v>
      </c>
      <c r="K408" s="32" t="s">
        <v>1451</v>
      </c>
    </row>
    <row r="409" spans="1:11" x14ac:dyDescent="0.25">
      <c r="A409" t="s">
        <v>32</v>
      </c>
      <c r="B409" t="str">
        <f t="shared" si="66"/>
        <v>geotrace_g49</v>
      </c>
      <c r="C409" t="s">
        <v>1423</v>
      </c>
      <c r="E409" t="str">
        <f t="shared" si="67"/>
        <v>G49. display{inline-icon, right, medium} inputs{draggable, algorithm{auto[30s]} results{inline-icon, right}</v>
      </c>
      <c r="F409" t="str">
        <f t="shared" si="68"/>
        <v>geotrace</v>
      </c>
      <c r="G409" t="str">
        <f t="shared" si="69"/>
        <v>G49. display{inline-icon, right, medium} inputs{draggable, algorithm{auto[30s]} results{inline-icon, right}</v>
      </c>
      <c r="H409" t="str">
        <f t="shared" si="70"/>
        <v>geotrace</v>
      </c>
      <c r="J409" t="str">
        <f t="shared" si="65"/>
        <v>display{inline-icon, right, medium} inputs{draggable, algorithm{auto[30s]} results{inline-icon, right}</v>
      </c>
      <c r="K409" s="32" t="s">
        <v>1450</v>
      </c>
    </row>
    <row r="410" spans="1:11" x14ac:dyDescent="0.25">
      <c r="A410" t="s">
        <v>32</v>
      </c>
      <c r="B410" t="str">
        <f t="shared" si="66"/>
        <v>geotrace_g50</v>
      </c>
      <c r="C410" t="s">
        <v>1424</v>
      </c>
      <c r="E410" t="str">
        <f t="shared" si="67"/>
        <v>G50. display{inline-icon, right, medium} inputs{} results{thumbnail-square-[80%x35%], center}</v>
      </c>
      <c r="F410" t="str">
        <f t="shared" si="68"/>
        <v>geotrace</v>
      </c>
      <c r="G410" t="str">
        <f t="shared" si="69"/>
        <v>G50. display{inline-icon, right, medium} inputs{} results{thumbnail-square-[80%x35%], center}</v>
      </c>
      <c r="H410" t="str">
        <f t="shared" si="70"/>
        <v>geotrace</v>
      </c>
      <c r="J410" t="str">
        <f t="shared" si="65"/>
        <v>display{inline-icon, right, medium} inputs{} results{thumbnail-square-[80%x35%], center}</v>
      </c>
      <c r="K410" s="32" t="s">
        <v>1495</v>
      </c>
    </row>
    <row r="411" spans="1:11" x14ac:dyDescent="0.25">
      <c r="A411" t="s">
        <v>32</v>
      </c>
      <c r="B411" t="str">
        <f t="shared" si="66"/>
        <v>geotrace_g51</v>
      </c>
      <c r="C411" t="s">
        <v>1425</v>
      </c>
      <c r="E411" t="str">
        <f t="shared" si="67"/>
        <v>G51. display{inline-icon, right, medium} inputs{} results{thumbnail-square-[80%x35%], center, hide(value)}</v>
      </c>
      <c r="F411" t="str">
        <f t="shared" si="68"/>
        <v>geotrace</v>
      </c>
      <c r="G411" t="str">
        <f t="shared" si="69"/>
        <v>G51. display{inline-icon, right, medium} inputs{} results{thumbnail-square-[80%x35%], center, hide(value)}</v>
      </c>
      <c r="H411" t="str">
        <f t="shared" si="70"/>
        <v>geotrace</v>
      </c>
      <c r="J411" t="str">
        <f t="shared" si="65"/>
        <v>display{inline-icon, right, medium} inputs{} results{thumbnail-square-[80%x35%], center, hide(value)}</v>
      </c>
      <c r="K411" s="32" t="s">
        <v>1504</v>
      </c>
    </row>
    <row r="412" spans="1:11" x14ac:dyDescent="0.25">
      <c r="A412" t="s">
        <v>32</v>
      </c>
      <c r="B412" t="str">
        <f t="shared" si="66"/>
        <v>geotrace_g52</v>
      </c>
      <c r="C412" t="s">
        <v>1426</v>
      </c>
      <c r="E412" t="str">
        <f t="shared" si="67"/>
        <v>G52. display{inline-icon, right, medium} inputs{nomap} results{thumbnail-square-[80%x35%], center}</v>
      </c>
      <c r="F412" t="str">
        <f t="shared" si="68"/>
        <v>geotrace</v>
      </c>
      <c r="G412" t="str">
        <f t="shared" si="69"/>
        <v>G52. display{inline-icon, right, medium} inputs{nomap} results{thumbnail-square-[80%x35%], center}</v>
      </c>
      <c r="H412" t="str">
        <f t="shared" si="70"/>
        <v>geotrace</v>
      </c>
      <c r="J412" t="str">
        <f t="shared" si="65"/>
        <v>display{inline-icon, right, medium} inputs{nomap} results{thumbnail-square-[80%x35%], center}</v>
      </c>
      <c r="K412" s="32" t="s">
        <v>1496</v>
      </c>
    </row>
    <row r="413" spans="1:11" x14ac:dyDescent="0.25">
      <c r="A413" t="s">
        <v>32</v>
      </c>
      <c r="B413" t="str">
        <f t="shared" si="66"/>
        <v>geotrace_g53</v>
      </c>
      <c r="C413" t="s">
        <v>1427</v>
      </c>
      <c r="E413" t="str">
        <f t="shared" si="67"/>
        <v>G53. display{inline-icon, right, medium} inputs{nodrag} results{thumbnail-square-[80%x35%], center}</v>
      </c>
      <c r="F413" t="str">
        <f t="shared" si="68"/>
        <v>geotrace</v>
      </c>
      <c r="G413" t="str">
        <f t="shared" si="69"/>
        <v>G53. display{inline-icon, right, medium} inputs{nodrag} results{thumbnail-square-[80%x35%], center}</v>
      </c>
      <c r="H413" t="str">
        <f t="shared" si="70"/>
        <v>geotrace</v>
      </c>
      <c r="J413" t="str">
        <f t="shared" si="65"/>
        <v>display{inline-icon, right, medium} inputs{nodrag} results{thumbnail-square-[80%x35%], center}</v>
      </c>
      <c r="K413" s="32" t="s">
        <v>1497</v>
      </c>
    </row>
    <row r="414" spans="1:11" x14ac:dyDescent="0.25">
      <c r="A414" t="s">
        <v>32</v>
      </c>
      <c r="B414" t="str">
        <f t="shared" si="66"/>
        <v>geotrace_g54</v>
      </c>
      <c r="C414" t="s">
        <v>1706</v>
      </c>
      <c r="E414" t="str">
        <f t="shared" si="67"/>
        <v>G54. display{inline-icon, right, medium} inputs{draggable} results{thumbnail-square-[80%x35%], center}</v>
      </c>
      <c r="F414" t="str">
        <f t="shared" si="68"/>
        <v>geotrace</v>
      </c>
      <c r="G414" t="str">
        <f t="shared" si="69"/>
        <v>G54. display{inline-icon, right, medium} inputs{draggable} results{thumbnail-square-[80%x35%], center}</v>
      </c>
      <c r="H414" t="str">
        <f t="shared" si="70"/>
        <v>geotrace</v>
      </c>
      <c r="J414" t="str">
        <f t="shared" si="65"/>
        <v>display{inline-icon, right, medium} inputs{draggable} results{thumbnail-square-[80%x35%], center}</v>
      </c>
      <c r="K414" s="32" t="s">
        <v>1498</v>
      </c>
    </row>
    <row r="415" spans="1:11" x14ac:dyDescent="0.25">
      <c r="A415" t="s">
        <v>32</v>
      </c>
      <c r="B415" t="str">
        <f t="shared" si="66"/>
        <v>geotrace_g55</v>
      </c>
      <c r="C415" t="s">
        <v>1707</v>
      </c>
      <c r="E415" t="str">
        <f t="shared" si="67"/>
        <v>G55. display{inline-icon, right, medium} inputs{algorithm{auto[30s]} results{thumbnail-square-[80%x35%], center}</v>
      </c>
      <c r="F415" t="str">
        <f t="shared" si="68"/>
        <v>geotrace</v>
      </c>
      <c r="G415" t="str">
        <f t="shared" si="69"/>
        <v>G55. display{inline-icon, right, medium} inputs{algorithm{auto[30s]} results{thumbnail-square-[80%x35%], center}</v>
      </c>
      <c r="H415" t="str">
        <f t="shared" si="70"/>
        <v>geotrace</v>
      </c>
      <c r="J415" t="str">
        <f t="shared" si="65"/>
        <v>display{inline-icon, right, medium} inputs{algorithm{auto[30s]} results{thumbnail-square-[80%x35%], center}</v>
      </c>
      <c r="K415" s="32" t="s">
        <v>1499</v>
      </c>
    </row>
    <row r="416" spans="1:11" x14ac:dyDescent="0.25">
      <c r="A416" t="s">
        <v>32</v>
      </c>
      <c r="B416" t="str">
        <f t="shared" si="66"/>
        <v>geotrace_g56</v>
      </c>
      <c r="C416" t="s">
        <v>1708</v>
      </c>
      <c r="E416" t="str">
        <f t="shared" si="67"/>
        <v>G56. display{inline-icon, right, &lt;#0099FF/&gt;, medium} inputs{} results{inline-icon, right}</v>
      </c>
      <c r="F416" t="str">
        <f t="shared" si="68"/>
        <v>geotrace</v>
      </c>
      <c r="G416" t="str">
        <f t="shared" si="69"/>
        <v>G56. display{inline-icon, right, &lt;#0099FF/&gt;, medium} inputs{} results{inline-icon, right}</v>
      </c>
      <c r="H416" t="str">
        <f t="shared" si="70"/>
        <v>geotrace</v>
      </c>
      <c r="J416" t="s">
        <v>1694</v>
      </c>
      <c r="K416" s="32" t="s">
        <v>1405</v>
      </c>
    </row>
    <row r="417" spans="1:18" x14ac:dyDescent="0.25">
      <c r="A417" t="s">
        <v>32</v>
      </c>
      <c r="B417" t="str">
        <f t="shared" si="66"/>
        <v>geotrace_g57</v>
      </c>
      <c r="C417" t="s">
        <v>1709</v>
      </c>
      <c r="E417" t="str">
        <f t="shared" si="67"/>
        <v>G57. display{inline-icon, right, &lt;#0099FF/&gt;, medium} inputs{nomap} results{inline-icon, right}</v>
      </c>
      <c r="F417" t="str">
        <f t="shared" si="68"/>
        <v>geotrace</v>
      </c>
      <c r="G417" t="str">
        <f t="shared" si="69"/>
        <v>G57. display{inline-icon, right, &lt;#0099FF/&gt;, medium} inputs{nomap} results{inline-icon, right}</v>
      </c>
      <c r="H417" t="str">
        <f t="shared" si="70"/>
        <v>geotrace</v>
      </c>
      <c r="J417" t="s">
        <v>1696</v>
      </c>
      <c r="K417" s="32" t="s">
        <v>1448</v>
      </c>
    </row>
    <row r="418" spans="1:18" x14ac:dyDescent="0.25">
      <c r="A418" t="s">
        <v>32</v>
      </c>
      <c r="B418" t="str">
        <f t="shared" si="66"/>
        <v>geotrace_g58</v>
      </c>
      <c r="C418" t="s">
        <v>1710</v>
      </c>
      <c r="E418" t="str">
        <f t="shared" si="67"/>
        <v>G58. display{inline-icon, right, &lt;#0099FF/&gt;, medium} inputs{nodrag} results{inline-icon, right}</v>
      </c>
      <c r="F418" t="str">
        <f t="shared" si="68"/>
        <v>geotrace</v>
      </c>
      <c r="G418" t="str">
        <f t="shared" si="69"/>
        <v>G58. display{inline-icon, right, &lt;#0099FF/&gt;, medium} inputs{nodrag} results{inline-icon, right}</v>
      </c>
      <c r="H418" t="str">
        <f t="shared" si="70"/>
        <v>geotrace</v>
      </c>
      <c r="J418" t="s">
        <v>1697</v>
      </c>
      <c r="K418" s="32" t="s">
        <v>1452</v>
      </c>
    </row>
    <row r="419" spans="1:18" x14ac:dyDescent="0.25">
      <c r="A419" t="s">
        <v>32</v>
      </c>
      <c r="B419" t="str">
        <f t="shared" si="66"/>
        <v>geotrace_g59</v>
      </c>
      <c r="C419" t="s">
        <v>1711</v>
      </c>
      <c r="E419" t="str">
        <f t="shared" si="67"/>
        <v>G59. display{inline-icon, right, &lt;#0099FF/&gt;, medium} inputs{draggable} results{inline-icon, right}</v>
      </c>
      <c r="F419" t="str">
        <f t="shared" si="68"/>
        <v>geotrace</v>
      </c>
      <c r="G419" t="str">
        <f t="shared" si="69"/>
        <v>G59. display{inline-icon, right, &lt;#0099FF/&gt;, medium} inputs{draggable} results{inline-icon, right}</v>
      </c>
      <c r="H419" t="str">
        <f t="shared" si="70"/>
        <v>geotrace</v>
      </c>
      <c r="J419" t="s">
        <v>1698</v>
      </c>
      <c r="K419" s="32" t="s">
        <v>1406</v>
      </c>
    </row>
    <row r="420" spans="1:18" x14ac:dyDescent="0.25">
      <c r="A420" t="s">
        <v>32</v>
      </c>
      <c r="B420" t="str">
        <f t="shared" si="66"/>
        <v>geotrace_g60</v>
      </c>
      <c r="C420" t="s">
        <v>1712</v>
      </c>
      <c r="E420" t="str">
        <f t="shared" si="67"/>
        <v>G60. display{inline-icon, right, &lt;#0099FF/&gt;, medium} inputs{algorithm{auto[30s]} results{inline-icon, right}</v>
      </c>
      <c r="F420" t="str">
        <f t="shared" si="68"/>
        <v>geotrace</v>
      </c>
      <c r="G420" t="str">
        <f t="shared" si="69"/>
        <v>G60. display{inline-icon, right, &lt;#0099FF/&gt;, medium} inputs{algorithm{auto[30s]} results{inline-icon, right}</v>
      </c>
      <c r="H420" t="str">
        <f t="shared" si="70"/>
        <v>geotrace</v>
      </c>
      <c r="J420" t="s">
        <v>1705</v>
      </c>
      <c r="K420" s="32" t="s">
        <v>1444</v>
      </c>
    </row>
    <row r="421" spans="1:18" x14ac:dyDescent="0.25">
      <c r="A421" t="s">
        <v>39</v>
      </c>
      <c r="E421" t="str">
        <f>CONCATENATE(PROPER(C421),". ",D421)</f>
        <v xml:space="preserve">. </v>
      </c>
    </row>
    <row r="422" spans="1:18" x14ac:dyDescent="0.25">
      <c r="A422" t="s">
        <v>39</v>
      </c>
      <c r="E422" t="str">
        <f>CONCATENATE(PROPER(C422),". ",D422)</f>
        <v xml:space="preserve">. </v>
      </c>
      <c r="J422" t="str">
        <f t="shared" ref="J422:J558" si="71">TRIM(CONCATENATE(K422," ",L422," ",M422))</f>
        <v/>
      </c>
    </row>
    <row r="423" spans="1:18" x14ac:dyDescent="0.25">
      <c r="A423" t="s">
        <v>38</v>
      </c>
      <c r="B423" t="str">
        <f>CONCATENATE("bg_section_",C423)</f>
        <v>bg_section_h</v>
      </c>
      <c r="C423" t="s">
        <v>704</v>
      </c>
      <c r="D423" t="s">
        <v>412</v>
      </c>
      <c r="E423" t="str">
        <f>CONCATENATE(PROPER(C423),". ",D423)</f>
        <v>H. geoshape appearance</v>
      </c>
      <c r="G423" t="str">
        <f>CONCATENATE(PROPER(C423),". ",D423)</f>
        <v>H. geoshape appearance</v>
      </c>
      <c r="J423" t="str">
        <f t="shared" si="71"/>
        <v>section</v>
      </c>
      <c r="K423" s="32" t="s">
        <v>43</v>
      </c>
      <c r="R423" t="s">
        <v>197</v>
      </c>
    </row>
    <row r="424" spans="1:18" x14ac:dyDescent="0.25">
      <c r="A424" t="s">
        <v>38</v>
      </c>
      <c r="B424" t="str">
        <f>CONCATENATE("bg_field_",C424)</f>
        <v>bg_field_h</v>
      </c>
      <c r="C424" t="s">
        <v>704</v>
      </c>
      <c r="D424" t="s">
        <v>412</v>
      </c>
      <c r="E424" t="str">
        <f>CONCATENATE(PROPER(C424),". ",D424)</f>
        <v>H. geoshape appearance</v>
      </c>
      <c r="G424" t="str">
        <f>CONCATENATE(PROPER(C424),". ",D424)</f>
        <v>H. geoshape appearance</v>
      </c>
      <c r="J424" t="str">
        <f t="shared" si="71"/>
        <v>field-list</v>
      </c>
      <c r="K424" s="32" t="s">
        <v>40</v>
      </c>
    </row>
    <row r="425" spans="1:18" x14ac:dyDescent="0.25">
      <c r="A425" t="s">
        <v>37</v>
      </c>
      <c r="B425" t="str">
        <f>CONCATENATE(SUBSTITUTE(A425," ","_"),"_",C425)</f>
        <v>note_h</v>
      </c>
      <c r="C425" t="s">
        <v>704</v>
      </c>
      <c r="D425" t="s">
        <v>994</v>
      </c>
      <c r="E425" t="str">
        <f>CONCATENATE(PROPER(C425),". ",D425)</f>
        <v>H. GEOSHAPE</v>
      </c>
      <c r="F425" t="s">
        <v>1000</v>
      </c>
      <c r="G425" t="str">
        <f>CONCATENATE(PROPER(C425),". ",D425)</f>
        <v>H. GEOSHAPE</v>
      </c>
      <c r="H425" t="s">
        <v>1000</v>
      </c>
      <c r="J425" t="str">
        <f t="shared" si="71"/>
        <v/>
      </c>
    </row>
    <row r="426" spans="1:18" x14ac:dyDescent="0.25">
      <c r="A426" t="s">
        <v>33</v>
      </c>
      <c r="B426" t="str">
        <f t="shared" ref="B426:B485" si="72">CONCATENATE(SUBSTITUTE(A426," ","_"),"_",C426)</f>
        <v>geoshape_h1</v>
      </c>
      <c r="C426" t="s">
        <v>705</v>
      </c>
      <c r="E426" t="str">
        <f t="shared" ref="E426:E485" si="73">CONCATENATE(PROPER(C426),". ",J426)</f>
        <v>H1. inline</v>
      </c>
      <c r="F426" t="str">
        <f t="shared" ref="F426:F485" si="74">A426</f>
        <v>geoshape</v>
      </c>
      <c r="G426" t="s">
        <v>1360</v>
      </c>
      <c r="H426" t="str">
        <f t="shared" ref="H426:H485" si="75">A426</f>
        <v>geoshape</v>
      </c>
      <c r="J426" t="str">
        <f t="shared" si="71"/>
        <v>inline</v>
      </c>
      <c r="K426" s="32" t="s">
        <v>53</v>
      </c>
    </row>
    <row r="427" spans="1:18" x14ac:dyDescent="0.25">
      <c r="A427" t="s">
        <v>33</v>
      </c>
      <c r="B427" t="str">
        <f t="shared" si="72"/>
        <v>geoshape_h2</v>
      </c>
      <c r="C427" t="s">
        <v>706</v>
      </c>
      <c r="E427" t="str">
        <f t="shared" si="73"/>
        <v>H2. inputs{show}</v>
      </c>
      <c r="F427" t="str">
        <f t="shared" si="74"/>
        <v>geoshape</v>
      </c>
      <c r="G427" t="str">
        <f t="shared" ref="G427:G485" si="76">CONCATENATE(PROPER(C427),". ",J427)</f>
        <v>H2. inputs{show}</v>
      </c>
      <c r="H427" t="str">
        <f t="shared" si="75"/>
        <v>geoshape</v>
      </c>
      <c r="J427" t="str">
        <f t="shared" si="71"/>
        <v>inputs{show}</v>
      </c>
      <c r="K427" s="32" t="s">
        <v>278</v>
      </c>
    </row>
    <row r="428" spans="1:18" x14ac:dyDescent="0.25">
      <c r="A428" t="s">
        <v>33</v>
      </c>
      <c r="B428" t="str">
        <f t="shared" si="72"/>
        <v>geoshape_h3</v>
      </c>
      <c r="C428" t="s">
        <v>707</v>
      </c>
      <c r="E428" t="str">
        <f t="shared" si="73"/>
        <v>H3. inputs{hide}</v>
      </c>
      <c r="F428" t="str">
        <f t="shared" si="74"/>
        <v>geoshape</v>
      </c>
      <c r="G428" t="str">
        <f t="shared" si="76"/>
        <v>H3. inputs{hide}</v>
      </c>
      <c r="H428" t="str">
        <f t="shared" si="75"/>
        <v>geoshape</v>
      </c>
      <c r="J428" t="str">
        <f t="shared" si="71"/>
        <v>inputs{hide}</v>
      </c>
      <c r="K428" s="32" t="s">
        <v>279</v>
      </c>
    </row>
    <row r="429" spans="1:18" x14ac:dyDescent="0.25">
      <c r="A429" t="s">
        <v>33</v>
      </c>
      <c r="B429" t="str">
        <f t="shared" si="72"/>
        <v>geoshape_h4</v>
      </c>
      <c r="C429" t="s">
        <v>708</v>
      </c>
      <c r="E429" t="str">
        <f t="shared" si="73"/>
        <v>H4. inputs{invisible}</v>
      </c>
      <c r="F429" t="str">
        <f t="shared" si="74"/>
        <v>geoshape</v>
      </c>
      <c r="G429" t="str">
        <f t="shared" si="76"/>
        <v>H4. inputs{invisible}</v>
      </c>
      <c r="H429" t="str">
        <f t="shared" si="75"/>
        <v>geoshape</v>
      </c>
      <c r="J429" t="str">
        <f t="shared" si="71"/>
        <v>inputs{invisible}</v>
      </c>
      <c r="K429" s="32" t="s">
        <v>280</v>
      </c>
    </row>
    <row r="430" spans="1:18" x14ac:dyDescent="0.25">
      <c r="A430" t="s">
        <v>33</v>
      </c>
      <c r="B430" t="str">
        <f t="shared" si="72"/>
        <v>geoshape_h5</v>
      </c>
      <c r="C430" t="s">
        <v>709</v>
      </c>
      <c r="E430" t="str">
        <f t="shared" si="73"/>
        <v>H5. inputs{nodrag}</v>
      </c>
      <c r="F430" t="str">
        <f t="shared" si="74"/>
        <v>geoshape</v>
      </c>
      <c r="G430" t="str">
        <f t="shared" si="76"/>
        <v>H5. inputs{nodrag}</v>
      </c>
      <c r="H430" t="str">
        <f t="shared" si="75"/>
        <v>geoshape</v>
      </c>
      <c r="J430" t="str">
        <f t="shared" si="71"/>
        <v>inputs{nodrag}</v>
      </c>
      <c r="K430" s="32" t="s">
        <v>1185</v>
      </c>
    </row>
    <row r="431" spans="1:18" x14ac:dyDescent="0.25">
      <c r="A431" t="s">
        <v>33</v>
      </c>
      <c r="B431" t="str">
        <f t="shared" si="72"/>
        <v>geoshape_h6</v>
      </c>
      <c r="C431" t="s">
        <v>710</v>
      </c>
      <c r="E431" t="str">
        <f t="shared" si="73"/>
        <v>H6. inputs{draggable}</v>
      </c>
      <c r="F431" t="str">
        <f t="shared" si="74"/>
        <v>geoshape</v>
      </c>
      <c r="G431" t="str">
        <f t="shared" si="76"/>
        <v>H6. inputs{draggable}</v>
      </c>
      <c r="H431" t="str">
        <f t="shared" si="75"/>
        <v>geoshape</v>
      </c>
      <c r="J431" t="str">
        <f t="shared" si="71"/>
        <v>inputs{draggable}</v>
      </c>
      <c r="K431" s="32" t="s">
        <v>281</v>
      </c>
    </row>
    <row r="432" spans="1:18" x14ac:dyDescent="0.25">
      <c r="A432" t="s">
        <v>33</v>
      </c>
      <c r="B432" t="str">
        <f t="shared" si="72"/>
        <v>geoshape_h7</v>
      </c>
      <c r="C432" t="s">
        <v>711</v>
      </c>
      <c r="E432" t="str">
        <f t="shared" si="73"/>
        <v>H7. algorithm{manual}</v>
      </c>
      <c r="F432" t="str">
        <f t="shared" si="74"/>
        <v>geoshape</v>
      </c>
      <c r="G432" t="str">
        <f t="shared" si="76"/>
        <v>H7. algorithm{manual}</v>
      </c>
      <c r="H432" t="str">
        <f t="shared" si="75"/>
        <v>geoshape</v>
      </c>
      <c r="J432" t="str">
        <f t="shared" si="71"/>
        <v>algorithm{manual}</v>
      </c>
      <c r="K432" s="32" t="s">
        <v>282</v>
      </c>
    </row>
    <row r="433" spans="1:12" x14ac:dyDescent="0.25">
      <c r="A433" t="s">
        <v>33</v>
      </c>
      <c r="B433" t="str">
        <f t="shared" si="72"/>
        <v>geoshape_h8</v>
      </c>
      <c r="C433" t="s">
        <v>712</v>
      </c>
      <c r="E433" t="str">
        <f t="shared" si="73"/>
        <v>H8. algorithm{manual auto[2m]}</v>
      </c>
      <c r="F433" t="str">
        <f t="shared" si="74"/>
        <v>geoshape</v>
      </c>
      <c r="G433" t="str">
        <f t="shared" si="76"/>
        <v>H8. algorithm{manual auto[2m]}</v>
      </c>
      <c r="H433" t="str">
        <f t="shared" si="75"/>
        <v>geoshape</v>
      </c>
      <c r="J433" t="str">
        <f t="shared" si="71"/>
        <v>algorithm{manual auto[2m]}</v>
      </c>
      <c r="K433" s="32" t="s">
        <v>283</v>
      </c>
    </row>
    <row r="434" spans="1:12" x14ac:dyDescent="0.25">
      <c r="A434" t="s">
        <v>33</v>
      </c>
      <c r="B434" t="str">
        <f t="shared" si="72"/>
        <v>geoshape_h9</v>
      </c>
      <c r="C434" t="s">
        <v>713</v>
      </c>
      <c r="E434" t="str">
        <f t="shared" si="73"/>
        <v>H9. algorithm{auto[2m]}</v>
      </c>
      <c r="F434" t="str">
        <f t="shared" si="74"/>
        <v>geoshape</v>
      </c>
      <c r="G434" t="str">
        <f t="shared" si="76"/>
        <v>H9. algorithm{auto[2m]}</v>
      </c>
      <c r="H434" t="str">
        <f t="shared" si="75"/>
        <v>geoshape</v>
      </c>
      <c r="J434" t="str">
        <f t="shared" si="71"/>
        <v>algorithm{auto[2m]}</v>
      </c>
      <c r="K434" s="32" t="s">
        <v>284</v>
      </c>
    </row>
    <row r="435" spans="1:12" x14ac:dyDescent="0.25">
      <c r="A435" t="s">
        <v>33</v>
      </c>
      <c r="B435" t="str">
        <f t="shared" si="72"/>
        <v>geoshape_h10</v>
      </c>
      <c r="C435" t="s">
        <v>714</v>
      </c>
      <c r="E435" t="str">
        <f t="shared" si="73"/>
        <v>H10. algorithm{auto[30s]}</v>
      </c>
      <c r="F435" t="str">
        <f t="shared" si="74"/>
        <v>geoshape</v>
      </c>
      <c r="G435" t="str">
        <f t="shared" si="76"/>
        <v>H10. algorithm{auto[30s]}</v>
      </c>
      <c r="H435" t="str">
        <f t="shared" si="75"/>
        <v>geoshape</v>
      </c>
      <c r="J435" t="str">
        <f t="shared" si="71"/>
        <v>algorithm{auto[30s]}</v>
      </c>
      <c r="K435" s="32" t="s">
        <v>285</v>
      </c>
    </row>
    <row r="436" spans="1:12" x14ac:dyDescent="0.25">
      <c r="A436" t="s">
        <v>33</v>
      </c>
      <c r="B436" t="str">
        <f t="shared" si="72"/>
        <v>geoshape_h11</v>
      </c>
      <c r="C436" t="s">
        <v>715</v>
      </c>
      <c r="E436" t="str">
        <f t="shared" si="73"/>
        <v>H11. algorithm{auto[3m,30s]}</v>
      </c>
      <c r="F436" t="str">
        <f t="shared" si="74"/>
        <v>geoshape</v>
      </c>
      <c r="G436" t="str">
        <f t="shared" si="76"/>
        <v>H11. algorithm{auto[3m,30s]}</v>
      </c>
      <c r="H436" t="str">
        <f t="shared" si="75"/>
        <v>geoshape</v>
      </c>
      <c r="J436" t="str">
        <f t="shared" si="71"/>
        <v>algorithm{auto[3m,30s]}</v>
      </c>
      <c r="K436" s="32" t="s">
        <v>286</v>
      </c>
    </row>
    <row r="437" spans="1:12" x14ac:dyDescent="0.25">
      <c r="A437" t="s">
        <v>33</v>
      </c>
      <c r="B437" t="str">
        <f t="shared" si="72"/>
        <v>geoshape_h12</v>
      </c>
      <c r="C437" t="s">
        <v>1219</v>
      </c>
      <c r="E437" t="str">
        <f t="shared" si="73"/>
        <v>H12. inline-icon(center)</v>
      </c>
      <c r="F437" t="str">
        <f t="shared" si="74"/>
        <v>geoshape</v>
      </c>
      <c r="G437" t="str">
        <f t="shared" si="76"/>
        <v>H12. inline-icon(center)</v>
      </c>
      <c r="H437" t="str">
        <f t="shared" si="75"/>
        <v>geoshape</v>
      </c>
      <c r="J437" t="str">
        <f t="shared" si="71"/>
        <v>inline-icon(center)</v>
      </c>
      <c r="K437" s="32" t="s">
        <v>1210</v>
      </c>
    </row>
    <row r="438" spans="1:12" x14ac:dyDescent="0.25">
      <c r="A438" t="s">
        <v>33</v>
      </c>
      <c r="B438" t="str">
        <f t="shared" si="72"/>
        <v>geoshape_h13</v>
      </c>
      <c r="C438" t="s">
        <v>1220</v>
      </c>
      <c r="E438" t="str">
        <f t="shared" si="73"/>
        <v>H13. inline-icon(left)</v>
      </c>
      <c r="F438" t="str">
        <f t="shared" si="74"/>
        <v>geoshape</v>
      </c>
      <c r="G438" t="str">
        <f t="shared" si="76"/>
        <v>H13. inline-icon(left)</v>
      </c>
      <c r="H438" t="str">
        <f t="shared" si="75"/>
        <v>geoshape</v>
      </c>
      <c r="J438" t="str">
        <f t="shared" si="71"/>
        <v>inline-icon(left)</v>
      </c>
      <c r="K438" s="32" t="s">
        <v>1186</v>
      </c>
    </row>
    <row r="439" spans="1:12" x14ac:dyDescent="0.25">
      <c r="A439" t="s">
        <v>33</v>
      </c>
      <c r="B439" t="str">
        <f t="shared" si="72"/>
        <v>geoshape_h14</v>
      </c>
      <c r="C439" t="s">
        <v>1221</v>
      </c>
      <c r="E439" t="str">
        <f t="shared" si="73"/>
        <v>H14. inline-icon(right)</v>
      </c>
      <c r="F439" t="str">
        <f t="shared" si="74"/>
        <v>geoshape</v>
      </c>
      <c r="G439" t="str">
        <f t="shared" si="76"/>
        <v>H14. inline-icon(right)</v>
      </c>
      <c r="H439" t="str">
        <f t="shared" si="75"/>
        <v>geoshape</v>
      </c>
      <c r="J439" t="str">
        <f t="shared" si="71"/>
        <v>inline-icon(right)</v>
      </c>
      <c r="K439" s="32" t="s">
        <v>1187</v>
      </c>
    </row>
    <row r="440" spans="1:12" x14ac:dyDescent="0.25">
      <c r="A440" t="s">
        <v>33</v>
      </c>
      <c r="B440" t="str">
        <f t="shared" si="72"/>
        <v>geoshape_h15</v>
      </c>
      <c r="C440" t="s">
        <v>1222</v>
      </c>
      <c r="E440" t="str">
        <f t="shared" si="73"/>
        <v>H15. inline-icon()</v>
      </c>
      <c r="F440" t="str">
        <f t="shared" si="74"/>
        <v>geoshape</v>
      </c>
      <c r="G440" t="str">
        <f t="shared" si="76"/>
        <v>H15. inline-icon()</v>
      </c>
      <c r="H440" t="str">
        <f t="shared" si="75"/>
        <v>geoshape</v>
      </c>
      <c r="J440" t="str">
        <f t="shared" si="71"/>
        <v>inline-icon()</v>
      </c>
      <c r="K440" s="32" t="s">
        <v>1188</v>
      </c>
    </row>
    <row r="441" spans="1:12" x14ac:dyDescent="0.25">
      <c r="A441" t="s">
        <v>33</v>
      </c>
      <c r="B441" t="str">
        <f t="shared" si="72"/>
        <v>geoshape_h16</v>
      </c>
      <c r="C441" t="s">
        <v>1223</v>
      </c>
      <c r="E441" t="str">
        <f t="shared" si="73"/>
        <v>H16. inline result{icon(center)}</v>
      </c>
      <c r="F441" t="str">
        <f t="shared" si="74"/>
        <v>geoshape</v>
      </c>
      <c r="G441" t="str">
        <f t="shared" si="76"/>
        <v>H16. inline result{icon(center)}</v>
      </c>
      <c r="H441" t="str">
        <f t="shared" si="75"/>
        <v>geoshape</v>
      </c>
      <c r="J441" t="str">
        <f t="shared" si="71"/>
        <v>inline result{icon(center)}</v>
      </c>
      <c r="K441" s="32" t="s">
        <v>1207</v>
      </c>
    </row>
    <row r="442" spans="1:12" x14ac:dyDescent="0.25">
      <c r="A442" t="s">
        <v>33</v>
      </c>
      <c r="B442" t="str">
        <f t="shared" si="72"/>
        <v>geoshape_h17</v>
      </c>
      <c r="C442" t="s">
        <v>1224</v>
      </c>
      <c r="E442" t="str">
        <f t="shared" si="73"/>
        <v>H17. inline result{icon(left)}</v>
      </c>
      <c r="F442" t="str">
        <f t="shared" si="74"/>
        <v>geoshape</v>
      </c>
      <c r="G442" t="str">
        <f t="shared" si="76"/>
        <v>H17. inline result{icon(left)}</v>
      </c>
      <c r="H442" t="str">
        <f t="shared" si="75"/>
        <v>geoshape</v>
      </c>
      <c r="J442" t="str">
        <f t="shared" si="71"/>
        <v>inline result{icon(left)}</v>
      </c>
      <c r="K442" s="32" t="s">
        <v>1208</v>
      </c>
    </row>
    <row r="443" spans="1:12" x14ac:dyDescent="0.25">
      <c r="A443" t="s">
        <v>33</v>
      </c>
      <c r="B443" t="str">
        <f t="shared" si="72"/>
        <v>geoshape_h18</v>
      </c>
      <c r="C443" t="s">
        <v>1225</v>
      </c>
      <c r="E443" t="str">
        <f t="shared" si="73"/>
        <v>H18. inline result{icon(right)}</v>
      </c>
      <c r="F443" t="str">
        <f t="shared" si="74"/>
        <v>geoshape</v>
      </c>
      <c r="G443" t="str">
        <f t="shared" si="76"/>
        <v>H18. inline result{icon(right)}</v>
      </c>
      <c r="H443" t="str">
        <f t="shared" si="75"/>
        <v>geoshape</v>
      </c>
      <c r="J443" t="str">
        <f t="shared" si="71"/>
        <v>inline result{icon(right)}</v>
      </c>
      <c r="K443" s="32" t="s">
        <v>1209</v>
      </c>
    </row>
    <row r="444" spans="1:12" x14ac:dyDescent="0.25">
      <c r="A444" t="s">
        <v>33</v>
      </c>
      <c r="B444" t="str">
        <f t="shared" si="72"/>
        <v>geoshape_h19</v>
      </c>
      <c r="C444" t="s">
        <v>1226</v>
      </c>
      <c r="E444" t="str">
        <f t="shared" si="73"/>
        <v>H19. inline &lt;#0099FF/&gt;</v>
      </c>
      <c r="F444" t="str">
        <f t="shared" si="74"/>
        <v>geoshape</v>
      </c>
      <c r="G444" t="str">
        <f t="shared" si="76"/>
        <v>H19. inline &lt;#0099FF/&gt;</v>
      </c>
      <c r="H444" t="str">
        <f t="shared" si="75"/>
        <v>geoshape</v>
      </c>
      <c r="J444" t="str">
        <f t="shared" si="71"/>
        <v>inline &lt;#0099FF/&gt;</v>
      </c>
      <c r="K444" s="32" t="s">
        <v>53</v>
      </c>
      <c r="L444" t="s">
        <v>1083</v>
      </c>
    </row>
    <row r="445" spans="1:12" x14ac:dyDescent="0.25">
      <c r="A445" t="s">
        <v>33</v>
      </c>
      <c r="B445" t="str">
        <f t="shared" si="72"/>
        <v>geoshape_h20</v>
      </c>
      <c r="C445" t="s">
        <v>1227</v>
      </c>
      <c r="E445" t="str">
        <f t="shared" si="73"/>
        <v>H20. inline nomap &lt;#0099FF/&gt;</v>
      </c>
      <c r="F445" t="str">
        <f t="shared" si="74"/>
        <v>geoshape</v>
      </c>
      <c r="G445" t="str">
        <f t="shared" si="76"/>
        <v>H20. inline nomap &lt;#0099FF/&gt;</v>
      </c>
      <c r="H445" t="str">
        <f t="shared" si="75"/>
        <v>geoshape</v>
      </c>
      <c r="J445" t="str">
        <f t="shared" si="71"/>
        <v>inline nomap &lt;#0099FF/&gt;</v>
      </c>
      <c r="K445" s="32" t="s">
        <v>58</v>
      </c>
      <c r="L445" t="s">
        <v>1083</v>
      </c>
    </row>
    <row r="446" spans="1:12" x14ac:dyDescent="0.25">
      <c r="A446" t="s">
        <v>33</v>
      </c>
      <c r="B446" t="str">
        <f t="shared" si="72"/>
        <v>geoshape_h21</v>
      </c>
      <c r="C446" t="s">
        <v>1228</v>
      </c>
      <c r="E446" t="str">
        <f t="shared" si="73"/>
        <v>H21. inline thumbnail-square-[900x600] &lt;#0099FF/&gt;</v>
      </c>
      <c r="F446" t="str">
        <f t="shared" si="74"/>
        <v>geoshape</v>
      </c>
      <c r="G446" t="str">
        <f t="shared" si="76"/>
        <v>H21. inline thumbnail-square-[900x600] &lt;#0099FF/&gt;</v>
      </c>
      <c r="H446" t="str">
        <f t="shared" si="75"/>
        <v>geoshape</v>
      </c>
      <c r="J446" t="str">
        <f t="shared" si="71"/>
        <v>inline thumbnail-square-[900x600] &lt;#0099FF/&gt;</v>
      </c>
      <c r="K446" s="32" t="s">
        <v>417</v>
      </c>
      <c r="L446" t="s">
        <v>1083</v>
      </c>
    </row>
    <row r="447" spans="1:12" x14ac:dyDescent="0.25">
      <c r="A447" t="s">
        <v>33</v>
      </c>
      <c r="B447" t="str">
        <f t="shared" si="72"/>
        <v>geoshape_h22</v>
      </c>
      <c r="C447" t="s">
        <v>1229</v>
      </c>
      <c r="E447" t="str">
        <f t="shared" si="73"/>
        <v>H22. inputs{nomap} &lt;#0099FF/&gt;</v>
      </c>
      <c r="F447" t="str">
        <f t="shared" si="74"/>
        <v>geoshape</v>
      </c>
      <c r="G447" t="str">
        <f t="shared" si="76"/>
        <v>H22. inputs{nomap} &lt;#0099FF/&gt;</v>
      </c>
      <c r="H447" t="str">
        <f t="shared" si="75"/>
        <v>geoshape</v>
      </c>
      <c r="J447" t="str">
        <f t="shared" si="71"/>
        <v>inputs{nomap} &lt;#0099FF/&gt;</v>
      </c>
      <c r="K447" s="32" t="s">
        <v>1184</v>
      </c>
      <c r="L447" t="s">
        <v>1083</v>
      </c>
    </row>
    <row r="448" spans="1:12" x14ac:dyDescent="0.25">
      <c r="A448" t="s">
        <v>33</v>
      </c>
      <c r="B448" t="str">
        <f t="shared" si="72"/>
        <v>geoshape_h23</v>
      </c>
      <c r="C448" t="s">
        <v>1253</v>
      </c>
      <c r="E448" t="str">
        <f t="shared" si="73"/>
        <v>H23. inputs{nodrag} &lt;#0099FF/&gt;</v>
      </c>
      <c r="F448" t="str">
        <f t="shared" si="74"/>
        <v>geoshape</v>
      </c>
      <c r="G448" t="str">
        <f t="shared" si="76"/>
        <v>H23. inputs{nodrag} &lt;#0099FF/&gt;</v>
      </c>
      <c r="H448" t="str">
        <f t="shared" si="75"/>
        <v>geoshape</v>
      </c>
      <c r="J448" t="str">
        <f t="shared" si="71"/>
        <v>inputs{nodrag} &lt;#0099FF/&gt;</v>
      </c>
      <c r="K448" s="32" t="s">
        <v>1185</v>
      </c>
      <c r="L448" t="s">
        <v>1083</v>
      </c>
    </row>
    <row r="449" spans="1:12" x14ac:dyDescent="0.25">
      <c r="A449" t="s">
        <v>33</v>
      </c>
      <c r="B449" t="str">
        <f t="shared" si="72"/>
        <v>geoshape_h24</v>
      </c>
      <c r="C449" t="s">
        <v>1254</v>
      </c>
      <c r="E449" t="str">
        <f t="shared" si="73"/>
        <v>H24. inputs{draggable} &lt;#0099FF/&gt;</v>
      </c>
      <c r="F449" t="str">
        <f t="shared" si="74"/>
        <v>geoshape</v>
      </c>
      <c r="G449" t="str">
        <f t="shared" si="76"/>
        <v>H24. inputs{draggable} &lt;#0099FF/&gt;</v>
      </c>
      <c r="H449" t="str">
        <f t="shared" si="75"/>
        <v>geoshape</v>
      </c>
      <c r="J449" t="str">
        <f t="shared" si="71"/>
        <v>inputs{draggable} &lt;#0099FF/&gt;</v>
      </c>
      <c r="K449" s="32" t="s">
        <v>281</v>
      </c>
      <c r="L449" t="s">
        <v>1083</v>
      </c>
    </row>
    <row r="450" spans="1:12" x14ac:dyDescent="0.25">
      <c r="A450" t="s">
        <v>33</v>
      </c>
      <c r="B450" t="str">
        <f t="shared" si="72"/>
        <v>geoshape_h25</v>
      </c>
      <c r="C450" t="s">
        <v>1255</v>
      </c>
      <c r="E450" t="str">
        <f t="shared" si="73"/>
        <v>H25. inline-icon(center) &lt;#0099FF/&gt;</v>
      </c>
      <c r="F450" t="str">
        <f t="shared" si="74"/>
        <v>geoshape</v>
      </c>
      <c r="G450" t="str">
        <f t="shared" si="76"/>
        <v>H25. inline-icon(center) &lt;#0099FF/&gt;</v>
      </c>
      <c r="H450" t="str">
        <f t="shared" si="75"/>
        <v>geoshape</v>
      </c>
      <c r="J450" t="str">
        <f t="shared" si="71"/>
        <v>inline-icon(center) &lt;#0099FF/&gt;</v>
      </c>
      <c r="K450" s="32" t="s">
        <v>1210</v>
      </c>
      <c r="L450" t="s">
        <v>1083</v>
      </c>
    </row>
    <row r="451" spans="1:12" x14ac:dyDescent="0.25">
      <c r="A451" t="s">
        <v>33</v>
      </c>
      <c r="B451" t="str">
        <f t="shared" si="72"/>
        <v>geoshape_h26</v>
      </c>
      <c r="C451" t="s">
        <v>1256</v>
      </c>
      <c r="E451" t="str">
        <f t="shared" si="73"/>
        <v>H26. inline-icon(left) &lt;#0099FF/&gt;</v>
      </c>
      <c r="F451" t="str">
        <f t="shared" si="74"/>
        <v>geoshape</v>
      </c>
      <c r="G451" t="str">
        <f t="shared" si="76"/>
        <v>H26. inline-icon(left) &lt;#0099FF/&gt;</v>
      </c>
      <c r="H451" t="str">
        <f t="shared" si="75"/>
        <v>geoshape</v>
      </c>
      <c r="J451" t="str">
        <f t="shared" si="71"/>
        <v>inline-icon(left) &lt;#0099FF/&gt;</v>
      </c>
      <c r="K451" s="32" t="s">
        <v>1186</v>
      </c>
      <c r="L451" t="s">
        <v>1083</v>
      </c>
    </row>
    <row r="452" spans="1:12" x14ac:dyDescent="0.25">
      <c r="A452" t="s">
        <v>33</v>
      </c>
      <c r="B452" t="str">
        <f t="shared" si="72"/>
        <v>geoshape_h27</v>
      </c>
      <c r="C452" t="s">
        <v>1257</v>
      </c>
      <c r="E452" t="str">
        <f t="shared" si="73"/>
        <v>H27. inline-icon(right) &lt;#0099FF/&gt;</v>
      </c>
      <c r="F452" t="str">
        <f t="shared" si="74"/>
        <v>geoshape</v>
      </c>
      <c r="G452" t="str">
        <f t="shared" si="76"/>
        <v>H27. inline-icon(right) &lt;#0099FF/&gt;</v>
      </c>
      <c r="H452" t="str">
        <f t="shared" si="75"/>
        <v>geoshape</v>
      </c>
      <c r="J452" t="str">
        <f t="shared" si="71"/>
        <v>inline-icon(right) &lt;#0099FF/&gt;</v>
      </c>
      <c r="K452" s="32" t="s">
        <v>1187</v>
      </c>
      <c r="L452" t="s">
        <v>1083</v>
      </c>
    </row>
    <row r="453" spans="1:12" x14ac:dyDescent="0.25">
      <c r="A453" t="s">
        <v>33</v>
      </c>
      <c r="B453" t="str">
        <f t="shared" si="72"/>
        <v>geoshape_h28</v>
      </c>
      <c r="C453" t="s">
        <v>1258</v>
      </c>
      <c r="E453" t="str">
        <f t="shared" si="73"/>
        <v>H28. inline-icon() &lt;#0099FF/&gt;</v>
      </c>
      <c r="F453" t="str">
        <f t="shared" si="74"/>
        <v>geoshape</v>
      </c>
      <c r="G453" t="str">
        <f t="shared" si="76"/>
        <v>H28. inline-icon() &lt;#0099FF/&gt;</v>
      </c>
      <c r="H453" t="str">
        <f t="shared" si="75"/>
        <v>geoshape</v>
      </c>
      <c r="J453" t="str">
        <f t="shared" si="71"/>
        <v>inline-icon() &lt;#0099FF/&gt;</v>
      </c>
      <c r="K453" s="32" t="s">
        <v>1188</v>
      </c>
      <c r="L453" t="s">
        <v>1083</v>
      </c>
    </row>
    <row r="454" spans="1:12" x14ac:dyDescent="0.25">
      <c r="A454" t="s">
        <v>33</v>
      </c>
      <c r="B454" t="str">
        <f t="shared" si="72"/>
        <v>geoshape_h29</v>
      </c>
      <c r="C454" t="s">
        <v>1259</v>
      </c>
      <c r="E454" t="str">
        <f t="shared" si="73"/>
        <v>H29. inline inputs{nodrag} result{icon(center #0099FF)}</v>
      </c>
      <c r="F454" t="str">
        <f t="shared" si="74"/>
        <v>geoshape</v>
      </c>
      <c r="G454" t="str">
        <f t="shared" si="76"/>
        <v>H29. inline inputs{nodrag} result{icon(center #0099FF)}</v>
      </c>
      <c r="H454" t="str">
        <f t="shared" si="75"/>
        <v>geoshape</v>
      </c>
      <c r="J454" t="str">
        <f t="shared" si="71"/>
        <v>inline inputs{nodrag} result{icon(center #0099FF)}</v>
      </c>
      <c r="K454" s="32" t="s">
        <v>1250</v>
      </c>
    </row>
    <row r="455" spans="1:12" x14ac:dyDescent="0.25">
      <c r="A455" t="s">
        <v>33</v>
      </c>
      <c r="B455" t="str">
        <f t="shared" si="72"/>
        <v>geoshape_h30</v>
      </c>
      <c r="C455" t="s">
        <v>1260</v>
      </c>
      <c r="E455" t="str">
        <f t="shared" si="73"/>
        <v>H30. inline inputs{nodrag} result{icon(left #0099FF)}</v>
      </c>
      <c r="F455" t="str">
        <f t="shared" si="74"/>
        <v>geoshape</v>
      </c>
      <c r="G455" t="str">
        <f t="shared" si="76"/>
        <v>H30. inline inputs{nodrag} result{icon(left #0099FF)}</v>
      </c>
      <c r="H455" t="str">
        <f t="shared" si="75"/>
        <v>geoshape</v>
      </c>
      <c r="J455" t="str">
        <f t="shared" si="71"/>
        <v>inline inputs{nodrag} result{icon(left #0099FF)}</v>
      </c>
      <c r="K455" s="32" t="s">
        <v>1251</v>
      </c>
    </row>
    <row r="456" spans="1:12" x14ac:dyDescent="0.25">
      <c r="A456" t="s">
        <v>33</v>
      </c>
      <c r="B456" t="str">
        <f t="shared" si="72"/>
        <v>geoshape_h31</v>
      </c>
      <c r="C456" t="s">
        <v>1261</v>
      </c>
      <c r="E456" t="str">
        <f t="shared" si="73"/>
        <v>H31. inline inputs{nodrag} result{icon(right #0099FF)}</v>
      </c>
      <c r="F456" t="str">
        <f t="shared" si="74"/>
        <v>geoshape</v>
      </c>
      <c r="G456" t="str">
        <f t="shared" si="76"/>
        <v>H31. inline inputs{nodrag} result{icon(right #0099FF)}</v>
      </c>
      <c r="H456" t="str">
        <f t="shared" si="75"/>
        <v>geoshape</v>
      </c>
      <c r="J456" t="str">
        <f t="shared" si="71"/>
        <v>inline inputs{nodrag} result{icon(right #0099FF)}</v>
      </c>
      <c r="K456" s="32" t="s">
        <v>1252</v>
      </c>
    </row>
    <row r="457" spans="1:12" x14ac:dyDescent="0.25">
      <c r="A457" t="s">
        <v>33</v>
      </c>
      <c r="B457" t="str">
        <f t="shared" si="72"/>
        <v>geoshape_h32</v>
      </c>
      <c r="C457" t="s">
        <v>1401</v>
      </c>
      <c r="E457" t="str">
        <f t="shared" si="73"/>
        <v>H32. inline-1line</v>
      </c>
      <c r="F457" t="str">
        <f t="shared" si="74"/>
        <v>geoshape</v>
      </c>
      <c r="G457" t="str">
        <f t="shared" si="76"/>
        <v>H32. inline-1line</v>
      </c>
      <c r="H457" t="str">
        <f t="shared" si="75"/>
        <v>geoshape</v>
      </c>
      <c r="J457" t="str">
        <f t="shared" si="71"/>
        <v>inline-1line</v>
      </c>
      <c r="K457" s="32" t="s">
        <v>1383</v>
      </c>
    </row>
    <row r="458" spans="1:12" s="42" customFormat="1" x14ac:dyDescent="0.25">
      <c r="A458" t="s">
        <v>33</v>
      </c>
      <c r="B458" s="42" t="str">
        <f t="shared" si="72"/>
        <v>geoshape_h33</v>
      </c>
      <c r="C458" t="s">
        <v>1462</v>
      </c>
      <c r="E458" s="42" t="str">
        <f t="shared" si="73"/>
        <v>H33. inline inputs{draggable} result{icon(left #0099FF)}</v>
      </c>
      <c r="F458" s="42" t="str">
        <f t="shared" si="74"/>
        <v>geoshape</v>
      </c>
      <c r="G458" s="42" t="str">
        <f t="shared" si="76"/>
        <v>H33. inline inputs{draggable} result{icon(left #0099FF)}</v>
      </c>
      <c r="H458" s="42" t="str">
        <f t="shared" si="75"/>
        <v>geoshape</v>
      </c>
      <c r="J458" s="42" t="str">
        <f t="shared" si="71"/>
        <v>inline inputs{draggable} result{icon(left #0099FF)}</v>
      </c>
      <c r="K458" s="32" t="s">
        <v>1453</v>
      </c>
    </row>
    <row r="459" spans="1:12" ht="16.5" customHeight="1" x14ac:dyDescent="0.25">
      <c r="A459" t="s">
        <v>33</v>
      </c>
      <c r="B459" t="str">
        <f t="shared" si="72"/>
        <v>geoshape_h34</v>
      </c>
      <c r="C459" t="s">
        <v>1463</v>
      </c>
      <c r="E459" t="str">
        <f t="shared" si="73"/>
        <v>H34. inline inputs{nomap} result{icon(left #0099FF)}</v>
      </c>
      <c r="F459" t="str">
        <f t="shared" si="74"/>
        <v>geoshape</v>
      </c>
      <c r="G459" t="str">
        <f t="shared" si="76"/>
        <v>H34. inline inputs{nomap} result{icon(left #0099FF)}</v>
      </c>
      <c r="H459" t="str">
        <f t="shared" si="75"/>
        <v>geoshape</v>
      </c>
      <c r="J459" t="str">
        <f t="shared" si="71"/>
        <v>inline inputs{nomap} result{icon(left #0099FF)}</v>
      </c>
      <c r="K459" s="32" t="s">
        <v>1400</v>
      </c>
    </row>
    <row r="460" spans="1:12" ht="16.5" customHeight="1" x14ac:dyDescent="0.25">
      <c r="A460" t="s">
        <v>33</v>
      </c>
      <c r="B460" t="str">
        <f t="shared" si="72"/>
        <v>geoshape_h35</v>
      </c>
      <c r="C460" t="s">
        <v>1464</v>
      </c>
      <c r="E460" t="str">
        <f t="shared" si="73"/>
        <v>H35. inline inputs{algorithm{auto[30s]} result{icon(left #0099FF)}</v>
      </c>
      <c r="F460" t="str">
        <f t="shared" si="74"/>
        <v>geoshape</v>
      </c>
      <c r="G460" t="str">
        <f t="shared" si="76"/>
        <v>H35. inline inputs{algorithm{auto[30s]} result{icon(left #0099FF)}</v>
      </c>
      <c r="H460" t="str">
        <f t="shared" si="75"/>
        <v>geoshape</v>
      </c>
      <c r="J460" t="str">
        <f t="shared" si="71"/>
        <v>inline inputs{algorithm{auto[30s]} result{icon(left #0099FF)}</v>
      </c>
      <c r="K460" s="32" t="s">
        <v>1454</v>
      </c>
    </row>
    <row r="461" spans="1:12" x14ac:dyDescent="0.25">
      <c r="A461" t="s">
        <v>33</v>
      </c>
      <c r="B461" t="str">
        <f t="shared" si="72"/>
        <v>geoshape_h36</v>
      </c>
      <c r="C461" t="s">
        <v>1465</v>
      </c>
      <c r="E461" t="str">
        <f t="shared" si="73"/>
        <v>H36. inline inputs{nodrag, algorithm{auto[30s]} result{icon(right #0099FF)}</v>
      </c>
      <c r="F461" t="str">
        <f t="shared" si="74"/>
        <v>geoshape</v>
      </c>
      <c r="G461" t="str">
        <f t="shared" si="76"/>
        <v>H36. inline inputs{nodrag, algorithm{auto[30s]} result{icon(right #0099FF)}</v>
      </c>
      <c r="H461" t="str">
        <f t="shared" si="75"/>
        <v>geoshape</v>
      </c>
      <c r="J461" t="str">
        <f t="shared" si="71"/>
        <v>inline inputs{nodrag, algorithm{auto[30s]} result{icon(right #0099FF)}</v>
      </c>
      <c r="K461" s="32" t="s">
        <v>1447</v>
      </c>
    </row>
    <row r="462" spans="1:12" x14ac:dyDescent="0.25">
      <c r="A462" t="s">
        <v>33</v>
      </c>
      <c r="B462" t="str">
        <f t="shared" si="72"/>
        <v>geoshape_h37</v>
      </c>
      <c r="C462" t="s">
        <v>1466</v>
      </c>
      <c r="E462" t="str">
        <f t="shared" si="73"/>
        <v>H37. inline inputs{draggable, algorithm{auto[30s]} result{icon(right #0099FF)}</v>
      </c>
      <c r="F462" t="str">
        <f t="shared" si="74"/>
        <v>geoshape</v>
      </c>
      <c r="G462" t="str">
        <f t="shared" si="76"/>
        <v>H37. inline inputs{draggable, algorithm{auto[30s]} result{icon(right #0099FF)}</v>
      </c>
      <c r="H462" t="str">
        <f t="shared" si="75"/>
        <v>geoshape</v>
      </c>
      <c r="J462" t="str">
        <f t="shared" si="71"/>
        <v>inline inputs{draggable, algorithm{auto[30s]} result{icon(right #0099FF)}</v>
      </c>
      <c r="K462" s="32" t="s">
        <v>1455</v>
      </c>
    </row>
    <row r="463" spans="1:12" x14ac:dyDescent="0.25">
      <c r="A463" t="s">
        <v>33</v>
      </c>
      <c r="B463" t="str">
        <f t="shared" si="72"/>
        <v>geoshape_h38</v>
      </c>
      <c r="C463" t="s">
        <v>1467</v>
      </c>
      <c r="E463" t="str">
        <f t="shared" si="73"/>
        <v>H38. inline inputs{nomap, algorithm{auto[30s]} result{icon(right #0099FF)}</v>
      </c>
      <c r="F463" t="str">
        <f t="shared" si="74"/>
        <v>geoshape</v>
      </c>
      <c r="G463" t="str">
        <f t="shared" si="76"/>
        <v>H38. inline inputs{nomap, algorithm{auto[30s]} result{icon(right #0099FF)}</v>
      </c>
      <c r="H463" t="str">
        <f t="shared" si="75"/>
        <v>geoshape</v>
      </c>
      <c r="J463" t="str">
        <f t="shared" si="71"/>
        <v>inline inputs{nomap, algorithm{auto[30s]} result{icon(right #0099FF)}</v>
      </c>
      <c r="K463" s="32" t="s">
        <v>1446</v>
      </c>
    </row>
    <row r="464" spans="1:12" x14ac:dyDescent="0.25">
      <c r="A464" t="s">
        <v>33</v>
      </c>
      <c r="B464" t="str">
        <f t="shared" si="72"/>
        <v>geoshape_h39</v>
      </c>
      <c r="C464" t="s">
        <v>1468</v>
      </c>
      <c r="E464" t="str">
        <f t="shared" si="73"/>
        <v>H39. display{inline-icon, right, medium} inputs{} results{inline-icon, right}</v>
      </c>
      <c r="F464" t="str">
        <f t="shared" si="74"/>
        <v>geoshape</v>
      </c>
      <c r="G464" t="str">
        <f t="shared" si="76"/>
        <v>H39. display{inline-icon, right, medium} inputs{} results{inline-icon, right}</v>
      </c>
      <c r="H464" t="str">
        <f t="shared" si="75"/>
        <v>geoshape</v>
      </c>
      <c r="J464" t="str">
        <f t="shared" si="71"/>
        <v>display{inline-icon, right, medium} inputs{} results{inline-icon, right}</v>
      </c>
      <c r="K464" s="32" t="s">
        <v>1405</v>
      </c>
    </row>
    <row r="465" spans="1:11" x14ac:dyDescent="0.25">
      <c r="A465" t="s">
        <v>33</v>
      </c>
      <c r="B465" t="str">
        <f t="shared" si="72"/>
        <v>geoshape_h40</v>
      </c>
      <c r="C465" t="s">
        <v>1469</v>
      </c>
      <c r="E465" t="str">
        <f t="shared" si="73"/>
        <v>H40. display{inline-icon, right, medium} inputs{} results{inline-icon, right, hide(value)}</v>
      </c>
      <c r="F465" t="str">
        <f t="shared" si="74"/>
        <v>geoshape</v>
      </c>
      <c r="G465" t="str">
        <f t="shared" si="76"/>
        <v>H40. display{inline-icon, right, medium} inputs{} results{inline-icon, right, hide(value)}</v>
      </c>
      <c r="H465" t="str">
        <f t="shared" si="75"/>
        <v>geoshape</v>
      </c>
      <c r="J465" t="str">
        <f t="shared" si="71"/>
        <v>display{inline-icon, right, medium} inputs{} results{inline-icon, right, hide(value)}</v>
      </c>
      <c r="K465" s="32" t="s">
        <v>1404</v>
      </c>
    </row>
    <row r="466" spans="1:11" x14ac:dyDescent="0.25">
      <c r="A466" t="s">
        <v>33</v>
      </c>
      <c r="B466" t="str">
        <f t="shared" si="72"/>
        <v>geoshape_h41</v>
      </c>
      <c r="C466" t="s">
        <v>1470</v>
      </c>
      <c r="E466" t="str">
        <f t="shared" si="73"/>
        <v>H41. display{inline-icon, right, medium} inputs{} results{inline-icon, right, hide(capture)}</v>
      </c>
      <c r="F466" t="str">
        <f t="shared" si="74"/>
        <v>geoshape</v>
      </c>
      <c r="G466" t="str">
        <f t="shared" si="76"/>
        <v>H41. display{inline-icon, right, medium} inputs{} results{inline-icon, right, hide(capture)}</v>
      </c>
      <c r="H466" t="str">
        <f t="shared" si="75"/>
        <v>geoshape</v>
      </c>
      <c r="J466" t="s">
        <v>1702</v>
      </c>
      <c r="K466" s="32" t="s">
        <v>1404</v>
      </c>
    </row>
    <row r="467" spans="1:11" x14ac:dyDescent="0.25">
      <c r="A467" t="s">
        <v>33</v>
      </c>
      <c r="B467" t="str">
        <f t="shared" si="72"/>
        <v>geoshape_h42</v>
      </c>
      <c r="C467" t="s">
        <v>1471</v>
      </c>
      <c r="E467" t="str">
        <f t="shared" si="73"/>
        <v>H42. display{inline-icon, right, medium} inputs{} results{inline-icon, right, hide(value, capture)}</v>
      </c>
      <c r="F467" t="str">
        <f t="shared" si="74"/>
        <v>geoshape</v>
      </c>
      <c r="G467" t="str">
        <f t="shared" si="76"/>
        <v>H42. display{inline-icon, right, medium} inputs{} results{inline-icon, right, hide(value, capture)}</v>
      </c>
      <c r="H467" t="str">
        <f t="shared" si="75"/>
        <v>geoshape</v>
      </c>
      <c r="J467" t="s">
        <v>1704</v>
      </c>
      <c r="K467" s="32" t="s">
        <v>1404</v>
      </c>
    </row>
    <row r="468" spans="1:11" x14ac:dyDescent="0.25">
      <c r="A468" t="s">
        <v>33</v>
      </c>
      <c r="B468" t="str">
        <f t="shared" si="72"/>
        <v>geoshape_h43</v>
      </c>
      <c r="C468" t="s">
        <v>1472</v>
      </c>
      <c r="E468" t="str">
        <f t="shared" si="73"/>
        <v>H43. display{inline-icon, right, medium} inputs{nomap} results{inline-icon, right}</v>
      </c>
      <c r="F468" t="str">
        <f t="shared" si="74"/>
        <v>geoshape</v>
      </c>
      <c r="G468" t="str">
        <f t="shared" si="76"/>
        <v>H43. display{inline-icon, right, medium} inputs{nomap} results{inline-icon, right}</v>
      </c>
      <c r="H468" t="str">
        <f t="shared" si="75"/>
        <v>geoshape</v>
      </c>
      <c r="J468" t="str">
        <f t="shared" si="71"/>
        <v>display{inline-icon, right, medium} inputs{nomap} results{inline-icon, right}</v>
      </c>
      <c r="K468" s="32" t="s">
        <v>1448</v>
      </c>
    </row>
    <row r="469" spans="1:11" x14ac:dyDescent="0.25">
      <c r="A469" t="s">
        <v>33</v>
      </c>
      <c r="B469" t="str">
        <f t="shared" si="72"/>
        <v>geoshape_h44</v>
      </c>
      <c r="C469" t="s">
        <v>1473</v>
      </c>
      <c r="E469" t="str">
        <f t="shared" si="73"/>
        <v>H44. display{inline-icon, right, medium} inputs{nodrag} results{inline-icon, right}</v>
      </c>
      <c r="F469" t="str">
        <f t="shared" si="74"/>
        <v>geoshape</v>
      </c>
      <c r="G469" t="str">
        <f t="shared" si="76"/>
        <v>H44. display{inline-icon, right, medium} inputs{nodrag} results{inline-icon, right}</v>
      </c>
      <c r="H469" t="str">
        <f t="shared" si="75"/>
        <v>geoshape</v>
      </c>
      <c r="J469" t="str">
        <f t="shared" si="71"/>
        <v>display{inline-icon, right, medium} inputs{nodrag} results{inline-icon, right}</v>
      </c>
      <c r="K469" s="32" t="s">
        <v>1452</v>
      </c>
    </row>
    <row r="470" spans="1:11" x14ac:dyDescent="0.25">
      <c r="A470" t="s">
        <v>33</v>
      </c>
      <c r="B470" t="str">
        <f t="shared" si="72"/>
        <v>geoshape_h45</v>
      </c>
      <c r="C470" t="s">
        <v>1474</v>
      </c>
      <c r="E470" t="str">
        <f t="shared" si="73"/>
        <v>H45. display{inline-icon, right, medium} inputs{draggable} results{inline-icon, right}</v>
      </c>
      <c r="F470" t="str">
        <f t="shared" si="74"/>
        <v>geoshape</v>
      </c>
      <c r="G470" t="str">
        <f t="shared" si="76"/>
        <v>H45. display{inline-icon, right, medium} inputs{draggable} results{inline-icon, right}</v>
      </c>
      <c r="H470" t="str">
        <f t="shared" si="75"/>
        <v>geoshape</v>
      </c>
      <c r="J470" t="str">
        <f t="shared" si="71"/>
        <v>display{inline-icon, right, medium} inputs{draggable} results{inline-icon, right}</v>
      </c>
      <c r="K470" s="32" t="s">
        <v>1406</v>
      </c>
    </row>
    <row r="471" spans="1:11" x14ac:dyDescent="0.25">
      <c r="A471" t="s">
        <v>33</v>
      </c>
      <c r="B471" t="str">
        <f t="shared" si="72"/>
        <v>geoshape_h46</v>
      </c>
      <c r="C471" t="s">
        <v>1475</v>
      </c>
      <c r="E471" t="str">
        <f t="shared" si="73"/>
        <v>H46. display{inline-icon, right, medium} inputs{algorithm{auto[30s]} results{inline-icon, right}</v>
      </c>
      <c r="F471" t="str">
        <f t="shared" si="74"/>
        <v>geoshape</v>
      </c>
      <c r="G471" t="str">
        <f t="shared" si="76"/>
        <v>H46. display{inline-icon, right, medium} inputs{algorithm{auto[30s]} results{inline-icon, right}</v>
      </c>
      <c r="H471" t="str">
        <f t="shared" si="75"/>
        <v>geoshape</v>
      </c>
      <c r="J471" t="str">
        <f t="shared" si="71"/>
        <v>display{inline-icon, right, medium} inputs{algorithm{auto[30s]} results{inline-icon, right}</v>
      </c>
      <c r="K471" s="32" t="s">
        <v>1444</v>
      </c>
    </row>
    <row r="472" spans="1:11" x14ac:dyDescent="0.25">
      <c r="A472" t="s">
        <v>33</v>
      </c>
      <c r="B472" t="str">
        <f t="shared" si="72"/>
        <v>geoshape_h47</v>
      </c>
      <c r="C472" t="s">
        <v>1476</v>
      </c>
      <c r="E472" t="str">
        <f t="shared" si="73"/>
        <v>H47. display{inline-icon, right, medium} inputs{nomap, algorithm{auto[30s]} results{inline-icon, right}</v>
      </c>
      <c r="F472" t="str">
        <f t="shared" si="74"/>
        <v>geoshape</v>
      </c>
      <c r="G472" t="str">
        <f t="shared" si="76"/>
        <v>H47. display{inline-icon, right, medium} inputs{nomap, algorithm{auto[30s]} results{inline-icon, right}</v>
      </c>
      <c r="H472" t="str">
        <f t="shared" si="75"/>
        <v>geoshape</v>
      </c>
      <c r="J472" t="str">
        <f t="shared" si="71"/>
        <v>display{inline-icon, right, medium} inputs{nomap, algorithm{auto[30s]} results{inline-icon, right}</v>
      </c>
      <c r="K472" s="32" t="s">
        <v>1449</v>
      </c>
    </row>
    <row r="473" spans="1:11" x14ac:dyDescent="0.25">
      <c r="A473" t="s">
        <v>33</v>
      </c>
      <c r="B473" t="str">
        <f t="shared" si="72"/>
        <v>geoshape_h48</v>
      </c>
      <c r="C473" t="s">
        <v>1477</v>
      </c>
      <c r="E473" t="str">
        <f t="shared" si="73"/>
        <v>H48. display{inline-icon, right, medium} inputs{nodrag, algorithm{auto[30s]} results{inline-icon, right}</v>
      </c>
      <c r="F473" t="str">
        <f t="shared" si="74"/>
        <v>geoshape</v>
      </c>
      <c r="G473" t="str">
        <f t="shared" si="76"/>
        <v>H48. display{inline-icon, right, medium} inputs{nodrag, algorithm{auto[30s]} results{inline-icon, right}</v>
      </c>
      <c r="H473" t="str">
        <f t="shared" si="75"/>
        <v>geoshape</v>
      </c>
      <c r="J473" t="str">
        <f t="shared" si="71"/>
        <v>display{inline-icon, right, medium} inputs{nodrag, algorithm{auto[30s]} results{inline-icon, right}</v>
      </c>
      <c r="K473" s="32" t="s">
        <v>1451</v>
      </c>
    </row>
    <row r="474" spans="1:11" x14ac:dyDescent="0.25">
      <c r="A474" t="s">
        <v>33</v>
      </c>
      <c r="B474" t="str">
        <f t="shared" si="72"/>
        <v>geoshape_h49</v>
      </c>
      <c r="C474" t="s">
        <v>1478</v>
      </c>
      <c r="E474" t="str">
        <f t="shared" si="73"/>
        <v>H49. display{inline-icon, right, medium} inputs{draggable, algorithm{auto[30s]} results{inline-icon, right}</v>
      </c>
      <c r="F474" t="str">
        <f t="shared" si="74"/>
        <v>geoshape</v>
      </c>
      <c r="G474" t="str">
        <f t="shared" si="76"/>
        <v>H49. display{inline-icon, right, medium} inputs{draggable, algorithm{auto[30s]} results{inline-icon, right}</v>
      </c>
      <c r="H474" t="str">
        <f t="shared" si="75"/>
        <v>geoshape</v>
      </c>
      <c r="J474" t="str">
        <f t="shared" si="71"/>
        <v>display{inline-icon, right, medium} inputs{draggable, algorithm{auto[30s]} results{inline-icon, right}</v>
      </c>
      <c r="K474" s="32" t="s">
        <v>1450</v>
      </c>
    </row>
    <row r="475" spans="1:11" x14ac:dyDescent="0.25">
      <c r="A475" t="s">
        <v>33</v>
      </c>
      <c r="B475" t="str">
        <f t="shared" si="72"/>
        <v>geoshape_h50</v>
      </c>
      <c r="C475" t="s">
        <v>1479</v>
      </c>
      <c r="E475" t="str">
        <f t="shared" si="73"/>
        <v>H50. display{inline-icon, right, medium} inputs{} results{thumbnail-square-[80%x35%], center}</v>
      </c>
      <c r="F475" t="str">
        <f t="shared" si="74"/>
        <v>geoshape</v>
      </c>
      <c r="G475" t="str">
        <f t="shared" si="76"/>
        <v>H50. display{inline-icon, right, medium} inputs{} results{thumbnail-square-[80%x35%], center}</v>
      </c>
      <c r="H475" t="str">
        <f t="shared" si="75"/>
        <v>geoshape</v>
      </c>
      <c r="J475" t="str">
        <f t="shared" si="71"/>
        <v>display{inline-icon, right, medium} inputs{} results{thumbnail-square-[80%x35%], center}</v>
      </c>
      <c r="K475" s="32" t="s">
        <v>1495</v>
      </c>
    </row>
    <row r="476" spans="1:11" x14ac:dyDescent="0.25">
      <c r="A476" t="s">
        <v>33</v>
      </c>
      <c r="B476" t="str">
        <f t="shared" si="72"/>
        <v>geoshape_h51</v>
      </c>
      <c r="C476" t="s">
        <v>1480</v>
      </c>
      <c r="E476" t="str">
        <f t="shared" si="73"/>
        <v>H51. display{inline-icon, right, medium} inputs{} results{thumbnail-square-[80%x35%], center, hide(value)}</v>
      </c>
      <c r="F476" t="str">
        <f t="shared" si="74"/>
        <v>geoshape</v>
      </c>
      <c r="G476" t="str">
        <f t="shared" si="76"/>
        <v>H51. display{inline-icon, right, medium} inputs{} results{thumbnail-square-[80%x35%], center, hide(value)}</v>
      </c>
      <c r="H476" t="str">
        <f t="shared" si="75"/>
        <v>geoshape</v>
      </c>
      <c r="J476" t="str">
        <f t="shared" si="71"/>
        <v>display{inline-icon, right, medium} inputs{} results{thumbnail-square-[80%x35%], center, hide(value)}</v>
      </c>
      <c r="K476" s="32" t="s">
        <v>1504</v>
      </c>
    </row>
    <row r="477" spans="1:11" x14ac:dyDescent="0.25">
      <c r="A477" t="s">
        <v>33</v>
      </c>
      <c r="B477" t="str">
        <f t="shared" si="72"/>
        <v>geoshape_h52</v>
      </c>
      <c r="C477" t="s">
        <v>1481</v>
      </c>
      <c r="E477" t="str">
        <f t="shared" si="73"/>
        <v>H52. display{inline-icon, right, medium} inputs{nomap} results{thumbnail-square-[80%x35%], center}</v>
      </c>
      <c r="F477" t="str">
        <f t="shared" si="74"/>
        <v>geoshape</v>
      </c>
      <c r="G477" t="str">
        <f t="shared" si="76"/>
        <v>H52. display{inline-icon, right, medium} inputs{nomap} results{thumbnail-square-[80%x35%], center}</v>
      </c>
      <c r="H477" t="str">
        <f t="shared" si="75"/>
        <v>geoshape</v>
      </c>
      <c r="J477" t="str">
        <f t="shared" si="71"/>
        <v>display{inline-icon, right, medium} inputs{nomap} results{thumbnail-square-[80%x35%], center}</v>
      </c>
      <c r="K477" s="32" t="s">
        <v>1496</v>
      </c>
    </row>
    <row r="478" spans="1:11" x14ac:dyDescent="0.25">
      <c r="A478" t="s">
        <v>33</v>
      </c>
      <c r="B478" t="str">
        <f t="shared" si="72"/>
        <v>geoshape_h53</v>
      </c>
      <c r="C478" t="s">
        <v>1482</v>
      </c>
      <c r="E478" t="str">
        <f t="shared" si="73"/>
        <v>H53. display{inline-icon, right, medium} inputs{nodrag} results{thumbnail-square-[80%x35%], center}</v>
      </c>
      <c r="F478" t="str">
        <f t="shared" si="74"/>
        <v>geoshape</v>
      </c>
      <c r="G478" t="str">
        <f t="shared" si="76"/>
        <v>H53. display{inline-icon, right, medium} inputs{nodrag} results{thumbnail-square-[80%x35%], center}</v>
      </c>
      <c r="H478" t="str">
        <f t="shared" si="75"/>
        <v>geoshape</v>
      </c>
      <c r="J478" t="str">
        <f t="shared" si="71"/>
        <v>display{inline-icon, right, medium} inputs{nodrag} results{thumbnail-square-[80%x35%], center}</v>
      </c>
      <c r="K478" s="32" t="s">
        <v>1497</v>
      </c>
    </row>
    <row r="479" spans="1:11" x14ac:dyDescent="0.25">
      <c r="A479" t="s">
        <v>33</v>
      </c>
      <c r="B479" t="str">
        <f t="shared" si="72"/>
        <v>geoshape_h54</v>
      </c>
      <c r="C479" t="s">
        <v>1713</v>
      </c>
      <c r="E479" t="str">
        <f t="shared" si="73"/>
        <v>H54. display{inline-icon, right, medium} inputs{draggable} results{thumbnail-square-[80%x35%], center}</v>
      </c>
      <c r="F479" t="str">
        <f t="shared" si="74"/>
        <v>geoshape</v>
      </c>
      <c r="G479" t="str">
        <f t="shared" si="76"/>
        <v>H54. display{inline-icon, right, medium} inputs{draggable} results{thumbnail-square-[80%x35%], center}</v>
      </c>
      <c r="H479" t="str">
        <f t="shared" si="75"/>
        <v>geoshape</v>
      </c>
      <c r="J479" t="str">
        <f t="shared" si="71"/>
        <v>display{inline-icon, right, medium} inputs{draggable} results{thumbnail-square-[80%x35%], center}</v>
      </c>
      <c r="K479" s="32" t="s">
        <v>1498</v>
      </c>
    </row>
    <row r="480" spans="1:11" x14ac:dyDescent="0.25">
      <c r="A480" t="s">
        <v>33</v>
      </c>
      <c r="B480" t="str">
        <f t="shared" si="72"/>
        <v>geoshape_h55</v>
      </c>
      <c r="C480" t="s">
        <v>1714</v>
      </c>
      <c r="E480" t="str">
        <f t="shared" si="73"/>
        <v>H55. display{inline-icon, right, medium} inputs{algorithm{auto[30s]} results{thumbnail-square-[80%x35%], center}</v>
      </c>
      <c r="F480" t="str">
        <f t="shared" si="74"/>
        <v>geoshape</v>
      </c>
      <c r="G480" t="str">
        <f t="shared" si="76"/>
        <v>H55. display{inline-icon, right, medium} inputs{algorithm{auto[30s]} results{thumbnail-square-[80%x35%], center}</v>
      </c>
      <c r="H480" t="str">
        <f t="shared" si="75"/>
        <v>geoshape</v>
      </c>
      <c r="J480" t="str">
        <f t="shared" si="71"/>
        <v>display{inline-icon, right, medium} inputs{algorithm{auto[30s]} results{thumbnail-square-[80%x35%], center}</v>
      </c>
      <c r="K480" s="32" t="s">
        <v>1499</v>
      </c>
    </row>
    <row r="481" spans="1:18" x14ac:dyDescent="0.25">
      <c r="A481" t="s">
        <v>33</v>
      </c>
      <c r="B481" t="str">
        <f t="shared" si="72"/>
        <v>geoshape_h56</v>
      </c>
      <c r="C481" t="s">
        <v>1715</v>
      </c>
      <c r="E481" t="str">
        <f t="shared" si="73"/>
        <v>H56. display{inline-icon, right, &lt;#0099FF/&gt;, medium} inputs{} results{inline-icon, right}</v>
      </c>
      <c r="F481" t="str">
        <f t="shared" si="74"/>
        <v>geoshape</v>
      </c>
      <c r="G481" t="str">
        <f t="shared" si="76"/>
        <v>H56. display{inline-icon, right, &lt;#0099FF/&gt;, medium} inputs{} results{inline-icon, right}</v>
      </c>
      <c r="H481" t="str">
        <f t="shared" si="75"/>
        <v>geoshape</v>
      </c>
      <c r="J481" t="s">
        <v>1694</v>
      </c>
      <c r="K481" s="32" t="s">
        <v>1405</v>
      </c>
    </row>
    <row r="482" spans="1:18" x14ac:dyDescent="0.25">
      <c r="A482" t="s">
        <v>33</v>
      </c>
      <c r="B482" t="str">
        <f t="shared" si="72"/>
        <v>geoshape_h57</v>
      </c>
      <c r="C482" t="s">
        <v>1716</v>
      </c>
      <c r="E482" t="str">
        <f t="shared" si="73"/>
        <v>H57. display{inline-icon, right, &lt;#0099FF/&gt;, medium} inputs{nomap} results{inline-icon, right}</v>
      </c>
      <c r="F482" t="str">
        <f t="shared" si="74"/>
        <v>geoshape</v>
      </c>
      <c r="G482" t="str">
        <f t="shared" si="76"/>
        <v>H57. display{inline-icon, right, &lt;#0099FF/&gt;, medium} inputs{nomap} results{inline-icon, right}</v>
      </c>
      <c r="H482" t="str">
        <f t="shared" si="75"/>
        <v>geoshape</v>
      </c>
      <c r="J482" t="s">
        <v>1696</v>
      </c>
      <c r="K482" s="32" t="s">
        <v>1448</v>
      </c>
    </row>
    <row r="483" spans="1:18" x14ac:dyDescent="0.25">
      <c r="A483" t="s">
        <v>33</v>
      </c>
      <c r="B483" t="str">
        <f t="shared" si="72"/>
        <v>geoshape_h58</v>
      </c>
      <c r="C483" t="s">
        <v>1717</v>
      </c>
      <c r="E483" t="str">
        <f t="shared" si="73"/>
        <v>H58. display{inline-icon, right, &lt;#0099FF/&gt;, medium} inputs{nodrag} results{inline-icon, right}</v>
      </c>
      <c r="F483" t="str">
        <f t="shared" si="74"/>
        <v>geoshape</v>
      </c>
      <c r="G483" t="str">
        <f t="shared" si="76"/>
        <v>H58. display{inline-icon, right, &lt;#0099FF/&gt;, medium} inputs{nodrag} results{inline-icon, right}</v>
      </c>
      <c r="H483" t="str">
        <f t="shared" si="75"/>
        <v>geoshape</v>
      </c>
      <c r="J483" t="s">
        <v>1697</v>
      </c>
      <c r="K483" s="32" t="s">
        <v>1452</v>
      </c>
    </row>
    <row r="484" spans="1:18" x14ac:dyDescent="0.25">
      <c r="A484" t="s">
        <v>33</v>
      </c>
      <c r="B484" t="str">
        <f t="shared" si="72"/>
        <v>geoshape_h59</v>
      </c>
      <c r="C484" t="s">
        <v>1718</v>
      </c>
      <c r="E484" t="str">
        <f t="shared" si="73"/>
        <v>H59. display{inline-icon, right, &lt;#0099FF/&gt;, medium} inputs{draggable} results{inline-icon, right}</v>
      </c>
      <c r="F484" t="str">
        <f t="shared" si="74"/>
        <v>geoshape</v>
      </c>
      <c r="G484" t="str">
        <f t="shared" si="76"/>
        <v>H59. display{inline-icon, right, &lt;#0099FF/&gt;, medium} inputs{draggable} results{inline-icon, right}</v>
      </c>
      <c r="H484" t="str">
        <f t="shared" si="75"/>
        <v>geoshape</v>
      </c>
      <c r="J484" t="s">
        <v>1698</v>
      </c>
      <c r="K484" s="32" t="s">
        <v>1406</v>
      </c>
    </row>
    <row r="485" spans="1:18" x14ac:dyDescent="0.25">
      <c r="A485" t="s">
        <v>33</v>
      </c>
      <c r="B485" t="str">
        <f t="shared" si="72"/>
        <v>geoshape_h60</v>
      </c>
      <c r="C485" t="s">
        <v>1719</v>
      </c>
      <c r="E485" t="str">
        <f t="shared" si="73"/>
        <v>H60. display{inline-icon, right, &lt;#0099FF/&gt;, medium} inputs{algorithm{auto[30s]} results{inline-icon, right}</v>
      </c>
      <c r="F485" t="str">
        <f t="shared" si="74"/>
        <v>geoshape</v>
      </c>
      <c r="G485" t="str">
        <f t="shared" si="76"/>
        <v>H60. display{inline-icon, right, &lt;#0099FF/&gt;, medium} inputs{algorithm{auto[30s]} results{inline-icon, right}</v>
      </c>
      <c r="H485" t="str">
        <f t="shared" si="75"/>
        <v>geoshape</v>
      </c>
      <c r="J485" t="s">
        <v>1705</v>
      </c>
      <c r="K485" s="32" t="s">
        <v>1444</v>
      </c>
    </row>
    <row r="486" spans="1:18" x14ac:dyDescent="0.25">
      <c r="A486" t="s">
        <v>39</v>
      </c>
      <c r="E486" t="str">
        <f>CONCATENATE(PROPER(C486),". ",D486)</f>
        <v xml:space="preserve">. </v>
      </c>
    </row>
    <row r="487" spans="1:18" x14ac:dyDescent="0.25">
      <c r="A487" t="s">
        <v>39</v>
      </c>
      <c r="E487" t="str">
        <f>CONCATENATE(PROPER(C487),". ",D487)</f>
        <v xml:space="preserve">. </v>
      </c>
      <c r="J487" t="str">
        <f t="shared" si="71"/>
        <v/>
      </c>
    </row>
    <row r="488" spans="1:18" x14ac:dyDescent="0.25">
      <c r="A488" t="s">
        <v>38</v>
      </c>
      <c r="B488" t="str">
        <f>CONCATENATE("bg_section_",C488)</f>
        <v>bg_section_i</v>
      </c>
      <c r="C488" t="s">
        <v>716</v>
      </c>
      <c r="D488" t="s">
        <v>1005</v>
      </c>
      <c r="E488" t="str">
        <f>CONCATENATE(PROPER(C488),". ",D488)</f>
        <v>I. GEOPOINT appearance</v>
      </c>
      <c r="G488" t="str">
        <f>CONCATENATE(PROPER(C488),". ",D488)</f>
        <v>I. GEOPOINT appearance</v>
      </c>
      <c r="J488" t="str">
        <f t="shared" si="71"/>
        <v>section</v>
      </c>
      <c r="K488" s="32" t="s">
        <v>43</v>
      </c>
      <c r="R488" t="s">
        <v>198</v>
      </c>
    </row>
    <row r="489" spans="1:18" x14ac:dyDescent="0.25">
      <c r="A489" t="s">
        <v>38</v>
      </c>
      <c r="B489" t="str">
        <f>CONCATENATE("bg_field_",C489)</f>
        <v>bg_field_i</v>
      </c>
      <c r="C489" t="s">
        <v>716</v>
      </c>
      <c r="D489" t="s">
        <v>1005</v>
      </c>
      <c r="E489" t="str">
        <f>CONCATENATE(PROPER(C489),". ",D489)</f>
        <v>I. GEOPOINT appearance</v>
      </c>
      <c r="G489" t="str">
        <f>CONCATENATE(PROPER(C489),". ",D489)</f>
        <v>I. GEOPOINT appearance</v>
      </c>
      <c r="J489" t="str">
        <f t="shared" si="71"/>
        <v>field-list</v>
      </c>
      <c r="K489" s="32" t="s">
        <v>40</v>
      </c>
    </row>
    <row r="490" spans="1:18" x14ac:dyDescent="0.25">
      <c r="A490" t="s">
        <v>37</v>
      </c>
      <c r="B490" t="str">
        <f>CONCATENATE(SUBSTITUTE(A490," ","_"),"_",C490)</f>
        <v>note_i</v>
      </c>
      <c r="C490" t="s">
        <v>716</v>
      </c>
      <c r="D490" t="s">
        <v>62</v>
      </c>
      <c r="E490" t="str">
        <f>CONCATENATE(PROPER(C490),". ",D490)</f>
        <v>I. GEOPOINT</v>
      </c>
      <c r="F490" t="s">
        <v>1000</v>
      </c>
      <c r="G490" t="str">
        <f>CONCATENATE(PROPER(C490),". ",D490)</f>
        <v>I. GEOPOINT</v>
      </c>
      <c r="H490" t="s">
        <v>1000</v>
      </c>
      <c r="J490" t="str">
        <f t="shared" si="71"/>
        <v/>
      </c>
    </row>
    <row r="491" spans="1:18" x14ac:dyDescent="0.25">
      <c r="A491" t="s">
        <v>31</v>
      </c>
      <c r="B491" t="str">
        <f t="shared" ref="B491:B554" si="77">CONCATENATE(SUBSTITUTE(A491," ","_"),"_",C491)</f>
        <v>geopoint_i1</v>
      </c>
      <c r="C491" t="s">
        <v>717</v>
      </c>
      <c r="E491" t="str">
        <f t="shared" ref="E491:E554" si="78">CONCATENATE(PROPER(C491),". ",J491)</f>
        <v>I1. inline</v>
      </c>
      <c r="F491" t="str">
        <f t="shared" ref="F491:F554" si="79">A491</f>
        <v>geopoint</v>
      </c>
      <c r="G491" t="str">
        <f t="shared" ref="G491:G554" si="80">CONCATENATE(PROPER(C491),". ",J491)</f>
        <v>I1. inline</v>
      </c>
      <c r="H491" t="str">
        <f t="shared" ref="H491:H554" si="81">A491</f>
        <v>geopoint</v>
      </c>
      <c r="J491" t="str">
        <f t="shared" si="71"/>
        <v>inline</v>
      </c>
      <c r="K491" s="32" t="s">
        <v>53</v>
      </c>
    </row>
    <row r="492" spans="1:18" x14ac:dyDescent="0.25">
      <c r="A492" t="s">
        <v>31</v>
      </c>
      <c r="B492" t="str">
        <f t="shared" si="77"/>
        <v>geopoint_i2</v>
      </c>
      <c r="C492" t="s">
        <v>718</v>
      </c>
      <c r="E492" t="str">
        <f t="shared" si="78"/>
        <v>I2. inline nomap</v>
      </c>
      <c r="F492" t="str">
        <f t="shared" si="79"/>
        <v>geopoint</v>
      </c>
      <c r="G492" t="str">
        <f t="shared" si="80"/>
        <v>I2. inline nomap</v>
      </c>
      <c r="H492" t="str">
        <f t="shared" si="81"/>
        <v>geopoint</v>
      </c>
      <c r="J492" t="str">
        <f t="shared" si="71"/>
        <v>inline nomap</v>
      </c>
      <c r="K492" s="32" t="s">
        <v>58</v>
      </c>
    </row>
    <row r="493" spans="1:18" x14ac:dyDescent="0.25">
      <c r="A493" t="s">
        <v>31</v>
      </c>
      <c r="B493" t="str">
        <f t="shared" si="77"/>
        <v>geopoint_i3</v>
      </c>
      <c r="C493" t="s">
        <v>719</v>
      </c>
      <c r="E493" t="str">
        <f t="shared" si="78"/>
        <v>I3. inline thumbnail-square-[900x600]</v>
      </c>
      <c r="F493" t="str">
        <f t="shared" si="79"/>
        <v>geopoint</v>
      </c>
      <c r="G493" t="str">
        <f t="shared" si="80"/>
        <v>I3. inline thumbnail-square-[900x600]</v>
      </c>
      <c r="H493" t="str">
        <f t="shared" si="81"/>
        <v>geopoint</v>
      </c>
      <c r="J493" t="str">
        <f t="shared" si="71"/>
        <v>inline thumbnail-square-[900x600]</v>
      </c>
      <c r="K493" s="32" t="s">
        <v>417</v>
      </c>
    </row>
    <row r="494" spans="1:18" x14ac:dyDescent="0.25">
      <c r="A494" t="s">
        <v>31</v>
      </c>
      <c r="B494" t="str">
        <f t="shared" si="77"/>
        <v>geopoint_i4</v>
      </c>
      <c r="C494" t="s">
        <v>720</v>
      </c>
      <c r="E494" t="str">
        <f t="shared" si="78"/>
        <v>I4. inputs{nomap}</v>
      </c>
      <c r="F494" t="str">
        <f t="shared" si="79"/>
        <v>geopoint</v>
      </c>
      <c r="G494" t="str">
        <f t="shared" si="80"/>
        <v>I4. inputs{nomap}</v>
      </c>
      <c r="H494" t="str">
        <f t="shared" si="81"/>
        <v>geopoint</v>
      </c>
      <c r="J494" t="str">
        <f t="shared" si="71"/>
        <v>inputs{nomap}</v>
      </c>
      <c r="K494" s="32" t="s">
        <v>1184</v>
      </c>
    </row>
    <row r="495" spans="1:18" x14ac:dyDescent="0.25">
      <c r="A495" t="s">
        <v>31</v>
      </c>
      <c r="B495" t="str">
        <f t="shared" si="77"/>
        <v>geopoint_i5</v>
      </c>
      <c r="C495" t="s">
        <v>721</v>
      </c>
      <c r="E495" t="str">
        <f t="shared" si="78"/>
        <v>I5. inputs{nodrag}</v>
      </c>
      <c r="F495" t="str">
        <f t="shared" si="79"/>
        <v>geopoint</v>
      </c>
      <c r="G495" t="str">
        <f t="shared" si="80"/>
        <v>I5. inputs{nodrag}</v>
      </c>
      <c r="H495" t="str">
        <f t="shared" si="81"/>
        <v>geopoint</v>
      </c>
      <c r="J495" t="str">
        <f t="shared" si="71"/>
        <v>inputs{nodrag}</v>
      </c>
      <c r="K495" s="32" t="s">
        <v>1185</v>
      </c>
    </row>
    <row r="496" spans="1:18" x14ac:dyDescent="0.25">
      <c r="A496" t="s">
        <v>31</v>
      </c>
      <c r="B496" t="str">
        <f t="shared" si="77"/>
        <v>geopoint_i6</v>
      </c>
      <c r="C496" t="s">
        <v>722</v>
      </c>
      <c r="E496" t="str">
        <f t="shared" si="78"/>
        <v>I6. inputs{draggable}</v>
      </c>
      <c r="F496" t="str">
        <f t="shared" si="79"/>
        <v>geopoint</v>
      </c>
      <c r="G496" t="str">
        <f t="shared" si="80"/>
        <v>I6. inputs{draggable}</v>
      </c>
      <c r="H496" t="str">
        <f t="shared" si="81"/>
        <v>geopoint</v>
      </c>
      <c r="J496" t="str">
        <f t="shared" si="71"/>
        <v>inputs{draggable}</v>
      </c>
      <c r="K496" s="32" t="s">
        <v>281</v>
      </c>
    </row>
    <row r="497" spans="1:12" x14ac:dyDescent="0.25">
      <c r="A497" t="s">
        <v>31</v>
      </c>
      <c r="B497" t="str">
        <f t="shared" si="77"/>
        <v>geopoint_i7</v>
      </c>
      <c r="C497" t="s">
        <v>1189</v>
      </c>
      <c r="E497" t="str">
        <f t="shared" si="78"/>
        <v>I7. inline-icon(center)</v>
      </c>
      <c r="F497" t="str">
        <f t="shared" si="79"/>
        <v>geopoint</v>
      </c>
      <c r="G497" t="str">
        <f t="shared" si="80"/>
        <v>I7. inline-icon(center)</v>
      </c>
      <c r="H497" t="str">
        <f t="shared" si="81"/>
        <v>geopoint</v>
      </c>
      <c r="J497" t="str">
        <f t="shared" si="71"/>
        <v>inline-icon(center)</v>
      </c>
      <c r="K497" s="32" t="s">
        <v>1210</v>
      </c>
    </row>
    <row r="498" spans="1:12" x14ac:dyDescent="0.25">
      <c r="A498" t="s">
        <v>31</v>
      </c>
      <c r="B498" t="str">
        <f t="shared" si="77"/>
        <v>geopoint_i8</v>
      </c>
      <c r="C498" t="s">
        <v>1190</v>
      </c>
      <c r="E498" t="str">
        <f t="shared" si="78"/>
        <v>I8. inline-icon(left)</v>
      </c>
      <c r="F498" t="str">
        <f t="shared" si="79"/>
        <v>geopoint</v>
      </c>
      <c r="G498" t="str">
        <f t="shared" si="80"/>
        <v>I8. inline-icon(left)</v>
      </c>
      <c r="H498" t="str">
        <f t="shared" si="81"/>
        <v>geopoint</v>
      </c>
      <c r="J498" t="str">
        <f t="shared" si="71"/>
        <v>inline-icon(left)</v>
      </c>
      <c r="K498" s="32" t="s">
        <v>1186</v>
      </c>
    </row>
    <row r="499" spans="1:12" x14ac:dyDescent="0.25">
      <c r="A499" t="s">
        <v>31</v>
      </c>
      <c r="B499" t="str">
        <f>CONCATENATE(SUBSTITUTE(A499," ","_"),"_",C499)</f>
        <v>geopoint_i9</v>
      </c>
      <c r="C499" t="s">
        <v>1191</v>
      </c>
      <c r="E499" t="str">
        <f t="shared" si="78"/>
        <v>I9. inline-icon(right)</v>
      </c>
      <c r="F499" t="str">
        <f t="shared" si="79"/>
        <v>geopoint</v>
      </c>
      <c r="G499" t="str">
        <f t="shared" si="80"/>
        <v>I9. inline-icon(right)</v>
      </c>
      <c r="H499" t="str">
        <f t="shared" si="81"/>
        <v>geopoint</v>
      </c>
      <c r="J499" t="str">
        <f>TRIM(CONCATENATE(K499," ",L499," ",M499))</f>
        <v>inline-icon(right)</v>
      </c>
      <c r="K499" s="32" t="s">
        <v>1187</v>
      </c>
    </row>
    <row r="500" spans="1:12" x14ac:dyDescent="0.25">
      <c r="A500" t="s">
        <v>31</v>
      </c>
      <c r="B500" t="str">
        <f t="shared" si="77"/>
        <v>geopoint_i10</v>
      </c>
      <c r="C500" t="s">
        <v>1192</v>
      </c>
      <c r="E500" t="str">
        <f t="shared" si="78"/>
        <v>I10. inline-icon()</v>
      </c>
      <c r="F500" t="str">
        <f t="shared" si="79"/>
        <v>geopoint</v>
      </c>
      <c r="G500" t="str">
        <f t="shared" si="80"/>
        <v>I10. inline-icon()</v>
      </c>
      <c r="H500" t="str">
        <f t="shared" si="81"/>
        <v>geopoint</v>
      </c>
      <c r="J500" t="str">
        <f t="shared" si="71"/>
        <v>inline-icon()</v>
      </c>
      <c r="K500" s="32" t="s">
        <v>1188</v>
      </c>
    </row>
    <row r="501" spans="1:12" x14ac:dyDescent="0.25">
      <c r="A501" t="s">
        <v>31</v>
      </c>
      <c r="B501" t="str">
        <f t="shared" si="77"/>
        <v>geopoint_i11</v>
      </c>
      <c r="C501" t="s">
        <v>1193</v>
      </c>
      <c r="E501" t="str">
        <f t="shared" si="78"/>
        <v>I11. inline result{icon(center)}</v>
      </c>
      <c r="F501" t="str">
        <f t="shared" si="79"/>
        <v>geopoint</v>
      </c>
      <c r="G501" t="str">
        <f t="shared" si="80"/>
        <v>I11. inline result{icon(center)}</v>
      </c>
      <c r="H501" t="str">
        <f t="shared" si="81"/>
        <v>geopoint</v>
      </c>
      <c r="J501" t="str">
        <f t="shared" si="71"/>
        <v>inline result{icon(center)}</v>
      </c>
      <c r="K501" s="32" t="s">
        <v>1207</v>
      </c>
    </row>
    <row r="502" spans="1:12" x14ac:dyDescent="0.25">
      <c r="A502" t="s">
        <v>31</v>
      </c>
      <c r="B502" t="str">
        <f t="shared" si="77"/>
        <v>geopoint_i12</v>
      </c>
      <c r="C502" t="s">
        <v>1194</v>
      </c>
      <c r="E502" t="str">
        <f t="shared" si="78"/>
        <v>I12. inline result{icon(left)}</v>
      </c>
      <c r="F502" t="str">
        <f t="shared" si="79"/>
        <v>geopoint</v>
      </c>
      <c r="G502" t="str">
        <f t="shared" si="80"/>
        <v>I12. inline result{icon(left)}</v>
      </c>
      <c r="H502" t="str">
        <f t="shared" si="81"/>
        <v>geopoint</v>
      </c>
      <c r="J502" t="str">
        <f t="shared" si="71"/>
        <v>inline result{icon(left)}</v>
      </c>
      <c r="K502" s="32" t="s">
        <v>1208</v>
      </c>
    </row>
    <row r="503" spans="1:12" x14ac:dyDescent="0.25">
      <c r="A503" t="s">
        <v>31</v>
      </c>
      <c r="B503" t="str">
        <f t="shared" si="77"/>
        <v>geopoint_i13</v>
      </c>
      <c r="C503" t="s">
        <v>1195</v>
      </c>
      <c r="E503" t="str">
        <f t="shared" si="78"/>
        <v>I13. inline result{icon(right)}</v>
      </c>
      <c r="F503" t="str">
        <f t="shared" si="79"/>
        <v>geopoint</v>
      </c>
      <c r="G503" t="str">
        <f t="shared" si="80"/>
        <v>I13. inline result{icon(right)}</v>
      </c>
      <c r="H503" t="str">
        <f t="shared" si="81"/>
        <v>geopoint</v>
      </c>
      <c r="J503" t="str">
        <f t="shared" si="71"/>
        <v>inline result{icon(right)}</v>
      </c>
      <c r="K503" s="32" t="s">
        <v>1209</v>
      </c>
    </row>
    <row r="504" spans="1:12" x14ac:dyDescent="0.25">
      <c r="A504" t="s">
        <v>31</v>
      </c>
      <c r="B504" t="str">
        <f t="shared" si="77"/>
        <v>geopoint_i14</v>
      </c>
      <c r="C504" t="s">
        <v>1196</v>
      </c>
      <c r="E504" t="str">
        <f t="shared" si="78"/>
        <v>I14. inline &lt;#0099FF/&gt;</v>
      </c>
      <c r="F504" t="str">
        <f t="shared" si="79"/>
        <v>geopoint</v>
      </c>
      <c r="G504" t="str">
        <f t="shared" si="80"/>
        <v>I14. inline &lt;#0099FF/&gt;</v>
      </c>
      <c r="H504" t="str">
        <f t="shared" si="81"/>
        <v>geopoint</v>
      </c>
      <c r="J504" t="str">
        <f t="shared" si="71"/>
        <v>inline &lt;#0099FF/&gt;</v>
      </c>
      <c r="K504" s="32" t="s">
        <v>53</v>
      </c>
      <c r="L504" t="s">
        <v>1083</v>
      </c>
    </row>
    <row r="505" spans="1:12" x14ac:dyDescent="0.25">
      <c r="A505" t="s">
        <v>31</v>
      </c>
      <c r="B505" t="str">
        <f t="shared" si="77"/>
        <v>geopoint_i15</v>
      </c>
      <c r="C505" t="s">
        <v>1197</v>
      </c>
      <c r="E505" t="str">
        <f t="shared" si="78"/>
        <v>I15. inline nomap &lt;#0099FF/&gt;</v>
      </c>
      <c r="F505" t="str">
        <f t="shared" si="79"/>
        <v>geopoint</v>
      </c>
      <c r="G505" t="str">
        <f t="shared" si="80"/>
        <v>I15. inline nomap &lt;#0099FF/&gt;</v>
      </c>
      <c r="H505" t="str">
        <f t="shared" si="81"/>
        <v>geopoint</v>
      </c>
      <c r="J505" t="str">
        <f t="shared" si="71"/>
        <v>inline nomap &lt;#0099FF/&gt;</v>
      </c>
      <c r="K505" s="32" t="s">
        <v>58</v>
      </c>
      <c r="L505" t="s">
        <v>1083</v>
      </c>
    </row>
    <row r="506" spans="1:12" x14ac:dyDescent="0.25">
      <c r="A506" t="s">
        <v>31</v>
      </c>
      <c r="B506" t="str">
        <f t="shared" si="77"/>
        <v>geopoint_i16</v>
      </c>
      <c r="C506" t="s">
        <v>1198</v>
      </c>
      <c r="E506" t="str">
        <f t="shared" si="78"/>
        <v>I16. inline thumbnail-square-[900x600] &lt;#0099FF/&gt;</v>
      </c>
      <c r="F506" t="str">
        <f t="shared" si="79"/>
        <v>geopoint</v>
      </c>
      <c r="G506" t="str">
        <f t="shared" si="80"/>
        <v>I16. inline thumbnail-square-[900x600] &lt;#0099FF/&gt;</v>
      </c>
      <c r="H506" t="str">
        <f t="shared" si="81"/>
        <v>geopoint</v>
      </c>
      <c r="J506" t="str">
        <f t="shared" si="71"/>
        <v>inline thumbnail-square-[900x600] &lt;#0099FF/&gt;</v>
      </c>
      <c r="K506" s="32" t="s">
        <v>417</v>
      </c>
      <c r="L506" t="s">
        <v>1083</v>
      </c>
    </row>
    <row r="507" spans="1:12" x14ac:dyDescent="0.25">
      <c r="A507" t="s">
        <v>31</v>
      </c>
      <c r="B507" t="str">
        <f t="shared" si="77"/>
        <v>geopoint_i17</v>
      </c>
      <c r="C507" t="s">
        <v>1199</v>
      </c>
      <c r="E507" t="str">
        <f t="shared" si="78"/>
        <v>I17. inputs{nomap} &lt;#0099FF/&gt;</v>
      </c>
      <c r="F507" t="str">
        <f t="shared" si="79"/>
        <v>geopoint</v>
      </c>
      <c r="G507" t="str">
        <f t="shared" si="80"/>
        <v>I17. inputs{nomap} &lt;#0099FF/&gt;</v>
      </c>
      <c r="H507" t="str">
        <f t="shared" si="81"/>
        <v>geopoint</v>
      </c>
      <c r="J507" t="str">
        <f t="shared" si="71"/>
        <v>inputs{nomap} &lt;#0099FF/&gt;</v>
      </c>
      <c r="K507" s="32" t="s">
        <v>1184</v>
      </c>
      <c r="L507" t="s">
        <v>1083</v>
      </c>
    </row>
    <row r="508" spans="1:12" x14ac:dyDescent="0.25">
      <c r="A508" t="s">
        <v>31</v>
      </c>
      <c r="B508" t="str">
        <f t="shared" si="77"/>
        <v>geopoint_i18</v>
      </c>
      <c r="C508" t="s">
        <v>1200</v>
      </c>
      <c r="E508" t="str">
        <f t="shared" si="78"/>
        <v>I18. inputs{nodrag} &lt;#0099FF/&gt;</v>
      </c>
      <c r="F508" t="str">
        <f t="shared" si="79"/>
        <v>geopoint</v>
      </c>
      <c r="G508" t="str">
        <f t="shared" si="80"/>
        <v>I18. inputs{nodrag} &lt;#0099FF/&gt;</v>
      </c>
      <c r="H508" t="str">
        <f t="shared" si="81"/>
        <v>geopoint</v>
      </c>
      <c r="J508" t="str">
        <f t="shared" si="71"/>
        <v>inputs{nodrag} &lt;#0099FF/&gt;</v>
      </c>
      <c r="K508" s="32" t="s">
        <v>1185</v>
      </c>
      <c r="L508" t="s">
        <v>1083</v>
      </c>
    </row>
    <row r="509" spans="1:12" x14ac:dyDescent="0.25">
      <c r="A509" t="s">
        <v>31</v>
      </c>
      <c r="B509" t="str">
        <f t="shared" si="77"/>
        <v>geopoint_i19</v>
      </c>
      <c r="C509" t="s">
        <v>1201</v>
      </c>
      <c r="E509" t="str">
        <f t="shared" si="78"/>
        <v>I19. inputs{draggable} &lt;#0099FF/&gt;</v>
      </c>
      <c r="F509" t="str">
        <f t="shared" si="79"/>
        <v>geopoint</v>
      </c>
      <c r="G509" t="str">
        <f t="shared" si="80"/>
        <v>I19. inputs{draggable} &lt;#0099FF/&gt;</v>
      </c>
      <c r="H509" t="str">
        <f t="shared" si="81"/>
        <v>geopoint</v>
      </c>
      <c r="J509" t="str">
        <f t="shared" si="71"/>
        <v>inputs{draggable} &lt;#0099FF/&gt;</v>
      </c>
      <c r="K509" s="32" t="s">
        <v>281</v>
      </c>
      <c r="L509" t="s">
        <v>1083</v>
      </c>
    </row>
    <row r="510" spans="1:12" x14ac:dyDescent="0.25">
      <c r="A510" t="s">
        <v>31</v>
      </c>
      <c r="B510" t="str">
        <f>CONCATENATE(SUBSTITUTE(A510," ","_"),"_",C510)</f>
        <v>geopoint_i20</v>
      </c>
      <c r="C510" t="s">
        <v>1202</v>
      </c>
      <c r="E510" t="str">
        <f t="shared" si="78"/>
        <v>I20. inline-icon(center) &lt;#0099FF/&gt;</v>
      </c>
      <c r="F510" t="str">
        <f t="shared" si="79"/>
        <v>geopoint</v>
      </c>
      <c r="G510" t="str">
        <f t="shared" si="80"/>
        <v>I20. inline-icon(center) &lt;#0099FF/&gt;</v>
      </c>
      <c r="H510" t="str">
        <f t="shared" si="81"/>
        <v>geopoint</v>
      </c>
      <c r="J510" t="str">
        <f>TRIM(CONCATENATE(K510," ",L510," ",M510))</f>
        <v>inline-icon(center) &lt;#0099FF/&gt;</v>
      </c>
      <c r="K510" s="32" t="s">
        <v>1210</v>
      </c>
      <c r="L510" t="s">
        <v>1083</v>
      </c>
    </row>
    <row r="511" spans="1:12" x14ac:dyDescent="0.25">
      <c r="A511" t="s">
        <v>31</v>
      </c>
      <c r="B511" t="str">
        <f t="shared" si="77"/>
        <v>geopoint_i21</v>
      </c>
      <c r="C511" t="s">
        <v>1203</v>
      </c>
      <c r="E511" t="str">
        <f t="shared" si="78"/>
        <v>I21. inline-icon(left) &lt;#0099FF/&gt;</v>
      </c>
      <c r="F511" t="str">
        <f t="shared" si="79"/>
        <v>geopoint</v>
      </c>
      <c r="G511" t="str">
        <f t="shared" si="80"/>
        <v>I21. inline-icon(left) &lt;#0099FF/&gt;</v>
      </c>
      <c r="H511" t="str">
        <f t="shared" si="81"/>
        <v>geopoint</v>
      </c>
      <c r="J511" t="str">
        <f t="shared" si="71"/>
        <v>inline-icon(left) &lt;#0099FF/&gt;</v>
      </c>
      <c r="K511" s="32" t="s">
        <v>1186</v>
      </c>
      <c r="L511" t="s">
        <v>1083</v>
      </c>
    </row>
    <row r="512" spans="1:12" x14ac:dyDescent="0.25">
      <c r="A512" t="s">
        <v>31</v>
      </c>
      <c r="B512" t="str">
        <f t="shared" si="77"/>
        <v>geopoint_i22</v>
      </c>
      <c r="C512" t="s">
        <v>1211</v>
      </c>
      <c r="E512" t="str">
        <f t="shared" si="78"/>
        <v>I22. inline-icon(right) &lt;#0099FF/&gt;</v>
      </c>
      <c r="F512" t="str">
        <f t="shared" si="79"/>
        <v>geopoint</v>
      </c>
      <c r="G512" t="str">
        <f t="shared" si="80"/>
        <v>I22. inline-icon(right) &lt;#0099FF/&gt;</v>
      </c>
      <c r="H512" t="str">
        <f t="shared" si="81"/>
        <v>geopoint</v>
      </c>
      <c r="J512" t="str">
        <f t="shared" si="71"/>
        <v>inline-icon(right) &lt;#0099FF/&gt;</v>
      </c>
      <c r="K512" s="32" t="s">
        <v>1187</v>
      </c>
      <c r="L512" t="s">
        <v>1083</v>
      </c>
    </row>
    <row r="513" spans="1:12" x14ac:dyDescent="0.25">
      <c r="A513" t="s">
        <v>31</v>
      </c>
      <c r="B513" t="str">
        <f t="shared" si="77"/>
        <v>geopoint_i23</v>
      </c>
      <c r="C513" t="s">
        <v>1212</v>
      </c>
      <c r="E513" t="str">
        <f t="shared" si="78"/>
        <v>I23. inline-icon() &lt;#0099FF/&gt;</v>
      </c>
      <c r="F513" t="str">
        <f t="shared" si="79"/>
        <v>geopoint</v>
      </c>
      <c r="G513" t="str">
        <f t="shared" si="80"/>
        <v>I23. inline-icon() &lt;#0099FF/&gt;</v>
      </c>
      <c r="H513" t="str">
        <f t="shared" si="81"/>
        <v>geopoint</v>
      </c>
      <c r="J513" t="str">
        <f t="shared" si="71"/>
        <v>inline-icon() &lt;#0099FF/&gt;</v>
      </c>
      <c r="K513" s="32" t="s">
        <v>1188</v>
      </c>
      <c r="L513" t="s">
        <v>1083</v>
      </c>
    </row>
    <row r="514" spans="1:12" x14ac:dyDescent="0.25">
      <c r="A514" t="s">
        <v>31</v>
      </c>
      <c r="B514" t="str">
        <f t="shared" si="77"/>
        <v>geopoint_i24</v>
      </c>
      <c r="C514" t="s">
        <v>1213</v>
      </c>
      <c r="E514" t="str">
        <f t="shared" si="78"/>
        <v>I24. inline result{icon(center #0099FF)}</v>
      </c>
      <c r="F514" t="str">
        <f t="shared" si="79"/>
        <v>geopoint</v>
      </c>
      <c r="G514" t="str">
        <f t="shared" si="80"/>
        <v>I24. inline result{icon(center #0099FF)}</v>
      </c>
      <c r="H514" t="str">
        <f t="shared" si="81"/>
        <v>geopoint</v>
      </c>
      <c r="J514" t="str">
        <f t="shared" si="71"/>
        <v>inline result{icon(center #0099FF)}</v>
      </c>
      <c r="K514" s="32" t="s">
        <v>1204</v>
      </c>
    </row>
    <row r="515" spans="1:12" x14ac:dyDescent="0.25">
      <c r="A515" t="s">
        <v>31</v>
      </c>
      <c r="B515" t="str">
        <f t="shared" si="77"/>
        <v>geopoint_i25</v>
      </c>
      <c r="C515" t="s">
        <v>1214</v>
      </c>
      <c r="E515" t="str">
        <f t="shared" si="78"/>
        <v>I25. inline result{icon(left #0099FF)}</v>
      </c>
      <c r="F515" t="str">
        <f t="shared" si="79"/>
        <v>geopoint</v>
      </c>
      <c r="G515" t="str">
        <f t="shared" si="80"/>
        <v>I25. inline result{icon(left #0099FF)}</v>
      </c>
      <c r="H515" t="str">
        <f t="shared" si="81"/>
        <v>geopoint</v>
      </c>
      <c r="J515" t="str">
        <f t="shared" si="71"/>
        <v>inline result{icon(left #0099FF)}</v>
      </c>
      <c r="K515" s="32" t="s">
        <v>1205</v>
      </c>
    </row>
    <row r="516" spans="1:12" x14ac:dyDescent="0.25">
      <c r="A516" t="s">
        <v>31</v>
      </c>
      <c r="B516" t="str">
        <f t="shared" si="77"/>
        <v>geopoint_i26</v>
      </c>
      <c r="C516" t="s">
        <v>1215</v>
      </c>
      <c r="E516" t="str">
        <f t="shared" si="78"/>
        <v>I26. inline result{icon(right #0099FF)}</v>
      </c>
      <c r="F516" t="str">
        <f t="shared" si="79"/>
        <v>geopoint</v>
      </c>
      <c r="G516" t="str">
        <f t="shared" si="80"/>
        <v>I26. inline result{icon(right #0099FF)}</v>
      </c>
      <c r="H516" t="str">
        <f t="shared" si="81"/>
        <v>geopoint</v>
      </c>
      <c r="J516" t="str">
        <f t="shared" si="71"/>
        <v>inline result{icon(right #0099FF)}</v>
      </c>
      <c r="K516" s="32" t="s">
        <v>1206</v>
      </c>
    </row>
    <row r="517" spans="1:12" x14ac:dyDescent="0.25">
      <c r="A517" t="s">
        <v>31</v>
      </c>
      <c r="B517" t="str">
        <f t="shared" si="77"/>
        <v>geopoint_i27</v>
      </c>
      <c r="C517" t="s">
        <v>1216</v>
      </c>
      <c r="E517" t="str">
        <f t="shared" si="78"/>
        <v>I27. inputs{show}</v>
      </c>
      <c r="F517" t="str">
        <f t="shared" si="79"/>
        <v>geopoint</v>
      </c>
      <c r="G517" t="str">
        <f t="shared" si="80"/>
        <v>I27. inputs{show}</v>
      </c>
      <c r="H517" t="str">
        <f t="shared" si="81"/>
        <v>geopoint</v>
      </c>
      <c r="J517" t="str">
        <f t="shared" si="71"/>
        <v>inputs{show}</v>
      </c>
      <c r="K517" s="32" t="s">
        <v>278</v>
      </c>
    </row>
    <row r="518" spans="1:12" x14ac:dyDescent="0.25">
      <c r="A518" t="s">
        <v>31</v>
      </c>
      <c r="B518" t="str">
        <f t="shared" si="77"/>
        <v>geopoint_i28</v>
      </c>
      <c r="C518" t="s">
        <v>1217</v>
      </c>
      <c r="E518" t="str">
        <f t="shared" si="78"/>
        <v>I28. inputs{hide}</v>
      </c>
      <c r="F518" t="str">
        <f t="shared" si="79"/>
        <v>geopoint</v>
      </c>
      <c r="G518" t="str">
        <f t="shared" si="80"/>
        <v>I28. inputs{hide}</v>
      </c>
      <c r="H518" t="str">
        <f t="shared" si="81"/>
        <v>geopoint</v>
      </c>
      <c r="J518" t="str">
        <f t="shared" si="71"/>
        <v>inputs{hide}</v>
      </c>
      <c r="K518" s="32" t="s">
        <v>279</v>
      </c>
    </row>
    <row r="519" spans="1:12" x14ac:dyDescent="0.25">
      <c r="A519" t="s">
        <v>31</v>
      </c>
      <c r="B519" t="str">
        <f t="shared" si="77"/>
        <v>geopoint_i29</v>
      </c>
      <c r="C519" t="s">
        <v>1218</v>
      </c>
      <c r="E519" t="str">
        <f t="shared" si="78"/>
        <v>I29. inputs{invisible}</v>
      </c>
      <c r="F519" t="str">
        <f t="shared" si="79"/>
        <v>geopoint</v>
      </c>
      <c r="G519" t="str">
        <f t="shared" si="80"/>
        <v>I29. inputs{invisible}</v>
      </c>
      <c r="H519" t="str">
        <f t="shared" si="81"/>
        <v>geopoint</v>
      </c>
      <c r="J519" t="str">
        <f t="shared" si="71"/>
        <v>inputs{invisible}</v>
      </c>
      <c r="K519" s="32" t="s">
        <v>280</v>
      </c>
    </row>
    <row r="520" spans="1:12" x14ac:dyDescent="0.25">
      <c r="A520" t="s">
        <v>31</v>
      </c>
      <c r="B520" t="str">
        <f t="shared" si="77"/>
        <v>geopoint_i30</v>
      </c>
      <c r="C520" t="s">
        <v>1384</v>
      </c>
      <c r="E520" t="str">
        <f t="shared" si="78"/>
        <v>I30. inline-1line</v>
      </c>
      <c r="F520" t="str">
        <f t="shared" si="79"/>
        <v>geopoint</v>
      </c>
      <c r="G520" t="str">
        <f t="shared" si="80"/>
        <v>I30. inline-1line</v>
      </c>
      <c r="H520" t="str">
        <f t="shared" si="81"/>
        <v>geopoint</v>
      </c>
      <c r="J520" t="str">
        <f t="shared" si="71"/>
        <v>inline-1line</v>
      </c>
      <c r="K520" s="32" t="s">
        <v>1383</v>
      </c>
    </row>
    <row r="521" spans="1:12" x14ac:dyDescent="0.25">
      <c r="A521" t="s">
        <v>31</v>
      </c>
      <c r="B521" t="str">
        <f t="shared" si="77"/>
        <v>geopoint_i31</v>
      </c>
      <c r="C521" t="s">
        <v>1385</v>
      </c>
      <c r="E521" t="str">
        <f t="shared" si="78"/>
        <v>I31. inline-1line &lt;#0099FF/&gt;</v>
      </c>
      <c r="F521" t="str">
        <f t="shared" si="79"/>
        <v>geopoint</v>
      </c>
      <c r="G521" t="str">
        <f t="shared" si="80"/>
        <v>I31. inline-1line &lt;#0099FF/&gt;</v>
      </c>
      <c r="H521" t="str">
        <f t="shared" si="81"/>
        <v>geopoint</v>
      </c>
      <c r="J521" t="str">
        <f t="shared" si="71"/>
        <v>inline-1line &lt;#0099FF/&gt;</v>
      </c>
      <c r="K521" s="32" t="s">
        <v>1383</v>
      </c>
      <c r="L521" t="s">
        <v>1083</v>
      </c>
    </row>
    <row r="522" spans="1:12" s="42" customFormat="1" x14ac:dyDescent="0.25">
      <c r="A522" t="s">
        <v>31</v>
      </c>
      <c r="B522" t="str">
        <f t="shared" si="77"/>
        <v>geopoint_i32</v>
      </c>
      <c r="C522" t="s">
        <v>1428</v>
      </c>
      <c r="E522" s="42" t="str">
        <f t="shared" si="78"/>
        <v>I32. inline inputs{auto-take} result{icon(left #0099FF)}</v>
      </c>
      <c r="F522" s="42" t="str">
        <f t="shared" si="79"/>
        <v>geopoint</v>
      </c>
      <c r="G522" s="42" t="str">
        <f t="shared" si="80"/>
        <v>I32. inline inputs{auto-take} result{icon(left #0099FF)}</v>
      </c>
      <c r="H522" s="42" t="str">
        <f t="shared" si="81"/>
        <v>geopoint</v>
      </c>
      <c r="J522" s="42" t="str">
        <f t="shared" si="71"/>
        <v>inline inputs{auto-take} result{icon(left #0099FF)}</v>
      </c>
      <c r="K522" s="32" t="s">
        <v>1403</v>
      </c>
    </row>
    <row r="523" spans="1:12" s="42" customFormat="1" x14ac:dyDescent="0.25">
      <c r="A523" t="s">
        <v>31</v>
      </c>
      <c r="B523" t="str">
        <f t="shared" si="77"/>
        <v>geopoint_i33</v>
      </c>
      <c r="C523" t="s">
        <v>1429</v>
      </c>
      <c r="E523" s="42" t="str">
        <f t="shared" si="78"/>
        <v>I33. inline inputs{nodrag} result{icon(left #0099FF)}</v>
      </c>
      <c r="F523" s="42" t="str">
        <f t="shared" si="79"/>
        <v>geopoint</v>
      </c>
      <c r="G523" s="42" t="str">
        <f t="shared" si="80"/>
        <v>I33. inline inputs{nodrag} result{icon(left #0099FF)}</v>
      </c>
      <c r="H523" s="42" t="str">
        <f t="shared" si="81"/>
        <v>geopoint</v>
      </c>
      <c r="J523" s="42" t="str">
        <f t="shared" si="71"/>
        <v>inline inputs{nodrag} result{icon(left #0099FF)}</v>
      </c>
      <c r="K523" s="32" t="s">
        <v>1251</v>
      </c>
    </row>
    <row r="524" spans="1:12" s="42" customFormat="1" x14ac:dyDescent="0.25">
      <c r="A524" t="s">
        <v>31</v>
      </c>
      <c r="B524" t="str">
        <f t="shared" si="77"/>
        <v>geopoint_i34</v>
      </c>
      <c r="C524" t="s">
        <v>1430</v>
      </c>
      <c r="E524" s="42" t="str">
        <f t="shared" si="78"/>
        <v>I34. inline inputs{draggable} result{icon(left #0099FF)}</v>
      </c>
      <c r="F524" s="42" t="str">
        <f t="shared" si="79"/>
        <v>geopoint</v>
      </c>
      <c r="G524" s="42" t="str">
        <f t="shared" si="80"/>
        <v>I34. inline inputs{draggable} result{icon(left #0099FF)}</v>
      </c>
      <c r="H524" s="42" t="str">
        <f t="shared" si="81"/>
        <v>geopoint</v>
      </c>
      <c r="J524" s="42" t="str">
        <f t="shared" si="71"/>
        <v>inline inputs{draggable} result{icon(left #0099FF)}</v>
      </c>
      <c r="K524" s="32" t="s">
        <v>1453</v>
      </c>
    </row>
    <row r="525" spans="1:12" ht="16.5" customHeight="1" x14ac:dyDescent="0.25">
      <c r="A525" t="s">
        <v>31</v>
      </c>
      <c r="B525" t="str">
        <f t="shared" si="77"/>
        <v>geopoint_i35</v>
      </c>
      <c r="C525" t="s">
        <v>1431</v>
      </c>
      <c r="E525" t="str">
        <f t="shared" si="78"/>
        <v>I35. inline inputs{nomap} result{icon(left #0099FF)}</v>
      </c>
      <c r="F525" t="str">
        <f t="shared" si="79"/>
        <v>geopoint</v>
      </c>
      <c r="G525" t="str">
        <f t="shared" si="80"/>
        <v>I35. inline inputs{nomap} result{icon(left #0099FF)}</v>
      </c>
      <c r="H525" t="str">
        <f t="shared" si="81"/>
        <v>geopoint</v>
      </c>
      <c r="J525" t="str">
        <f t="shared" si="71"/>
        <v>inline inputs{nomap} result{icon(left #0099FF)}</v>
      </c>
      <c r="K525" s="32" t="s">
        <v>1400</v>
      </c>
    </row>
    <row r="526" spans="1:12" x14ac:dyDescent="0.25">
      <c r="A526" t="s">
        <v>31</v>
      </c>
      <c r="B526" t="str">
        <f t="shared" si="77"/>
        <v>geopoint_i36</v>
      </c>
      <c r="C526" t="s">
        <v>1486</v>
      </c>
      <c r="E526" t="str">
        <f t="shared" si="78"/>
        <v>I36. inline inputs{auto-take, nodrag} result{icon(right #0099FF)}</v>
      </c>
      <c r="F526" t="str">
        <f t="shared" si="79"/>
        <v>geopoint</v>
      </c>
      <c r="G526" t="str">
        <f t="shared" si="80"/>
        <v>I36. inline inputs{auto-take, nodrag} result{icon(right #0099FF)}</v>
      </c>
      <c r="H526" t="str">
        <f t="shared" si="81"/>
        <v>geopoint</v>
      </c>
      <c r="J526" t="str">
        <f t="shared" si="71"/>
        <v>inline inputs{auto-take, nodrag} result{icon(right #0099FF)}</v>
      </c>
      <c r="K526" s="32" t="s">
        <v>1457</v>
      </c>
    </row>
    <row r="527" spans="1:12" x14ac:dyDescent="0.25">
      <c r="A527" t="s">
        <v>31</v>
      </c>
      <c r="B527" t="str">
        <f t="shared" si="77"/>
        <v>geopoint_i37</v>
      </c>
      <c r="C527" t="s">
        <v>1432</v>
      </c>
      <c r="E527" t="str">
        <f t="shared" si="78"/>
        <v>I37. inline inputs{auto-take, draggable} result{icon(right #0099FF)}</v>
      </c>
      <c r="F527" t="str">
        <f t="shared" si="79"/>
        <v>geopoint</v>
      </c>
      <c r="G527" t="str">
        <f t="shared" si="80"/>
        <v>I37. inline inputs{auto-take, draggable} result{icon(right #0099FF)}</v>
      </c>
      <c r="H527" t="str">
        <f t="shared" si="81"/>
        <v>geopoint</v>
      </c>
      <c r="J527" t="str">
        <f t="shared" si="71"/>
        <v>inline inputs{auto-take, draggable} result{icon(right #0099FF)}</v>
      </c>
      <c r="K527" s="32" t="s">
        <v>1458</v>
      </c>
    </row>
    <row r="528" spans="1:12" x14ac:dyDescent="0.25">
      <c r="A528" t="s">
        <v>31</v>
      </c>
      <c r="B528" t="str">
        <f t="shared" si="77"/>
        <v>geopoint_i38</v>
      </c>
      <c r="C528" t="s">
        <v>1433</v>
      </c>
      <c r="E528" t="str">
        <f t="shared" si="78"/>
        <v>I38. inline inputs{auto-take, nomap} result{icon(right #0099FF)}</v>
      </c>
      <c r="F528" t="str">
        <f t="shared" si="79"/>
        <v>geopoint</v>
      </c>
      <c r="G528" t="str">
        <f t="shared" si="80"/>
        <v>I38. inline inputs{auto-take, nomap} result{icon(right #0099FF)}</v>
      </c>
      <c r="H528" t="str">
        <f t="shared" si="81"/>
        <v>geopoint</v>
      </c>
      <c r="J528" t="str">
        <f t="shared" si="71"/>
        <v>inline inputs{auto-take, nomap} result{icon(right #0099FF)}</v>
      </c>
      <c r="K528" s="32" t="s">
        <v>1456</v>
      </c>
    </row>
    <row r="529" spans="1:11" x14ac:dyDescent="0.25">
      <c r="A529" t="s">
        <v>31</v>
      </c>
      <c r="B529" t="str">
        <f t="shared" si="77"/>
        <v>geopoint_i39</v>
      </c>
      <c r="C529" t="s">
        <v>1434</v>
      </c>
      <c r="E529" t="str">
        <f t="shared" si="78"/>
        <v>I39. display{inline-icon, right, medium} inputs{} results{inline-icon, right}</v>
      </c>
      <c r="F529" t="str">
        <f t="shared" si="79"/>
        <v>geopoint</v>
      </c>
      <c r="G529" t="str">
        <f t="shared" si="80"/>
        <v>I39. display{inline-icon, right, medium} inputs{} results{inline-icon, right}</v>
      </c>
      <c r="H529" t="str">
        <f t="shared" si="81"/>
        <v>geopoint</v>
      </c>
      <c r="J529" t="str">
        <f t="shared" si="71"/>
        <v>display{inline-icon, right, medium} inputs{} results{inline-icon, right}</v>
      </c>
      <c r="K529" s="32" t="s">
        <v>1405</v>
      </c>
    </row>
    <row r="530" spans="1:11" x14ac:dyDescent="0.25">
      <c r="A530" t="s">
        <v>31</v>
      </c>
      <c r="B530" t="str">
        <f t="shared" si="77"/>
        <v>geopoint_i40</v>
      </c>
      <c r="C530" t="s">
        <v>1487</v>
      </c>
      <c r="E530" t="str">
        <f t="shared" si="78"/>
        <v>I40. display{inline-icon, right, medium} inputs{} results{inline-icon, right, hide(value)}</v>
      </c>
      <c r="F530" t="str">
        <f t="shared" si="79"/>
        <v>geopoint</v>
      </c>
      <c r="G530" t="str">
        <f t="shared" si="80"/>
        <v>I40. display{inline-icon, right, medium} inputs{} results{inline-icon, right, hide(value)}</v>
      </c>
      <c r="H530" t="str">
        <f t="shared" si="81"/>
        <v>geopoint</v>
      </c>
      <c r="J530" t="str">
        <f t="shared" si="71"/>
        <v>display{inline-icon, right, medium} inputs{} results{inline-icon, right, hide(value)}</v>
      </c>
      <c r="K530" s="32" t="s">
        <v>1404</v>
      </c>
    </row>
    <row r="531" spans="1:11" x14ac:dyDescent="0.25">
      <c r="A531" t="s">
        <v>31</v>
      </c>
      <c r="B531" t="str">
        <f t="shared" si="77"/>
        <v>geopoint_i41</v>
      </c>
      <c r="C531" t="s">
        <v>1488</v>
      </c>
      <c r="E531" t="str">
        <f t="shared" si="78"/>
        <v>I41. display{inline-icon, right, medium} inputs{} results{inline-icon, right, hide(capture)}</v>
      </c>
      <c r="F531" t="str">
        <f t="shared" si="79"/>
        <v>geopoint</v>
      </c>
      <c r="G531" t="str">
        <f t="shared" si="80"/>
        <v>I41. display{inline-icon, right, medium} inputs{} results{inline-icon, right, hide(capture)}</v>
      </c>
      <c r="H531" t="str">
        <f t="shared" si="81"/>
        <v>geopoint</v>
      </c>
      <c r="J531" t="s">
        <v>1702</v>
      </c>
      <c r="K531" s="32" t="s">
        <v>1404</v>
      </c>
    </row>
    <row r="532" spans="1:11" x14ac:dyDescent="0.25">
      <c r="A532" t="s">
        <v>31</v>
      </c>
      <c r="B532" t="str">
        <f t="shared" si="77"/>
        <v>geopoint_i42</v>
      </c>
      <c r="C532" t="s">
        <v>1489</v>
      </c>
      <c r="E532" t="str">
        <f t="shared" si="78"/>
        <v>I42. display{inline-icon, right, medium} inputs{auto-take} results{inline-icon, right}</v>
      </c>
      <c r="F532" t="str">
        <f t="shared" si="79"/>
        <v>geopoint</v>
      </c>
      <c r="G532" t="str">
        <f t="shared" si="80"/>
        <v>I42. display{inline-icon, right, medium} inputs{auto-take} results{inline-icon, right}</v>
      </c>
      <c r="H532" t="str">
        <f t="shared" si="81"/>
        <v>geopoint</v>
      </c>
      <c r="J532" t="str">
        <f t="shared" ref="J532" si="82">TRIM(CONCATENATE(K532," ",L532," ",M532))</f>
        <v>display{inline-icon, right, medium} inputs{auto-take} results{inline-icon, right}</v>
      </c>
      <c r="K532" s="32" t="s">
        <v>1445</v>
      </c>
    </row>
    <row r="533" spans="1:11" x14ac:dyDescent="0.25">
      <c r="A533" t="s">
        <v>31</v>
      </c>
      <c r="B533" t="str">
        <f t="shared" si="77"/>
        <v>geopoint_i43</v>
      </c>
      <c r="C533" t="s">
        <v>1490</v>
      </c>
      <c r="E533" t="str">
        <f t="shared" si="78"/>
        <v>I43. display{inline-icon, right, medium} inputs{auto-take} results{inline-icon, right, hide(value, capture)}</v>
      </c>
      <c r="F533" t="str">
        <f t="shared" si="79"/>
        <v>geopoint</v>
      </c>
      <c r="G533" t="str">
        <f t="shared" si="80"/>
        <v>I43. display{inline-icon, right, medium} inputs{auto-take} results{inline-icon, right, hide(value, capture)}</v>
      </c>
      <c r="H533" t="str">
        <f t="shared" si="81"/>
        <v>geopoint</v>
      </c>
      <c r="J533" t="s">
        <v>1703</v>
      </c>
      <c r="K533" s="32" t="s">
        <v>1445</v>
      </c>
    </row>
    <row r="534" spans="1:11" x14ac:dyDescent="0.25">
      <c r="A534" t="s">
        <v>31</v>
      </c>
      <c r="B534" t="str">
        <f t="shared" si="77"/>
        <v>geopoint_i44</v>
      </c>
      <c r="C534" t="s">
        <v>1435</v>
      </c>
      <c r="E534" t="str">
        <f t="shared" si="78"/>
        <v>I44. display{inline-icon, right, medium} inputs{nomap} results{inline-icon, right}</v>
      </c>
      <c r="F534" t="str">
        <f t="shared" si="79"/>
        <v>geopoint</v>
      </c>
      <c r="G534" t="str">
        <f t="shared" si="80"/>
        <v>I44. display{inline-icon, right, medium} inputs{nomap} results{inline-icon, right}</v>
      </c>
      <c r="H534" t="str">
        <f t="shared" si="81"/>
        <v>geopoint</v>
      </c>
      <c r="J534" t="str">
        <f t="shared" si="71"/>
        <v>display{inline-icon, right, medium} inputs{nomap} results{inline-icon, right}</v>
      </c>
      <c r="K534" s="32" t="s">
        <v>1448</v>
      </c>
    </row>
    <row r="535" spans="1:11" x14ac:dyDescent="0.25">
      <c r="A535" t="s">
        <v>31</v>
      </c>
      <c r="B535" t="str">
        <f t="shared" si="77"/>
        <v>geopoint_i45</v>
      </c>
      <c r="C535" t="s">
        <v>1436</v>
      </c>
      <c r="E535" t="str">
        <f t="shared" si="78"/>
        <v>I45. display{inline-icon, right, medium} inputs{nodrag} results{inline-icon, right}</v>
      </c>
      <c r="F535" t="str">
        <f t="shared" si="79"/>
        <v>geopoint</v>
      </c>
      <c r="G535" t="str">
        <f t="shared" si="80"/>
        <v>I45. display{inline-icon, right, medium} inputs{nodrag} results{inline-icon, right}</v>
      </c>
      <c r="H535" t="str">
        <f t="shared" si="81"/>
        <v>geopoint</v>
      </c>
      <c r="J535" t="str">
        <f t="shared" si="71"/>
        <v>display{inline-icon, right, medium} inputs{nodrag} results{inline-icon, right}</v>
      </c>
      <c r="K535" s="32" t="s">
        <v>1452</v>
      </c>
    </row>
    <row r="536" spans="1:11" x14ac:dyDescent="0.25">
      <c r="A536" t="s">
        <v>31</v>
      </c>
      <c r="B536" t="str">
        <f t="shared" si="77"/>
        <v>geopoint_i46</v>
      </c>
      <c r="C536" t="s">
        <v>1437</v>
      </c>
      <c r="E536" t="str">
        <f t="shared" si="78"/>
        <v>I46. display{inline-icon, right, medium} inputs{draggable} results{inline-icon, right}</v>
      </c>
      <c r="F536" t="str">
        <f t="shared" si="79"/>
        <v>geopoint</v>
      </c>
      <c r="G536" t="str">
        <f t="shared" si="80"/>
        <v>I46. display{inline-icon, right, medium} inputs{draggable} results{inline-icon, right}</v>
      </c>
      <c r="H536" t="str">
        <f t="shared" si="81"/>
        <v>geopoint</v>
      </c>
      <c r="J536" t="str">
        <f t="shared" si="71"/>
        <v>display{inline-icon, right, medium} inputs{draggable} results{inline-icon, right}</v>
      </c>
      <c r="K536" s="32" t="s">
        <v>1406</v>
      </c>
    </row>
    <row r="537" spans="1:11" x14ac:dyDescent="0.25">
      <c r="A537" t="s">
        <v>31</v>
      </c>
      <c r="B537" t="str">
        <f t="shared" si="77"/>
        <v>geopoint_i47</v>
      </c>
      <c r="C537" t="s">
        <v>1438</v>
      </c>
      <c r="E537" t="str">
        <f t="shared" si="78"/>
        <v>I47. display{inline-icon, right, medium} inputs{auto-take, nodrag} results{inline-icon, right}</v>
      </c>
      <c r="F537" t="str">
        <f t="shared" si="79"/>
        <v>geopoint</v>
      </c>
      <c r="G537" t="str">
        <f t="shared" si="80"/>
        <v>I47. display{inline-icon, right, medium} inputs{auto-take, nodrag} results{inline-icon, right}</v>
      </c>
      <c r="H537" t="str">
        <f t="shared" si="81"/>
        <v>geopoint</v>
      </c>
      <c r="J537" t="str">
        <f t="shared" si="71"/>
        <v>display{inline-icon, right, medium} inputs{auto-take, nodrag} results{inline-icon, right}</v>
      </c>
      <c r="K537" s="32" t="s">
        <v>1459</v>
      </c>
    </row>
    <row r="538" spans="1:11" x14ac:dyDescent="0.25">
      <c r="A538" t="s">
        <v>31</v>
      </c>
      <c r="B538" t="str">
        <f t="shared" si="77"/>
        <v>geopoint_i48</v>
      </c>
      <c r="C538" t="s">
        <v>1439</v>
      </c>
      <c r="E538" t="str">
        <f t="shared" si="78"/>
        <v>I48. display{inline-icon, right, medium} inputs{auto-take, draggable} results{inline-icon, right}</v>
      </c>
      <c r="F538" t="str">
        <f t="shared" si="79"/>
        <v>geopoint</v>
      </c>
      <c r="G538" t="str">
        <f t="shared" si="80"/>
        <v>I48. display{inline-icon, right, medium} inputs{auto-take, draggable} results{inline-icon, right}</v>
      </c>
      <c r="H538" t="str">
        <f t="shared" si="81"/>
        <v>geopoint</v>
      </c>
      <c r="J538" t="str">
        <f t="shared" si="71"/>
        <v>display{inline-icon, right, medium} inputs{auto-take, draggable} results{inline-icon, right}</v>
      </c>
      <c r="K538" s="32" t="s">
        <v>1460</v>
      </c>
    </row>
    <row r="539" spans="1:11" x14ac:dyDescent="0.25">
      <c r="A539" t="s">
        <v>31</v>
      </c>
      <c r="B539" t="str">
        <f t="shared" si="77"/>
        <v>geopoint_i49</v>
      </c>
      <c r="C539" t="s">
        <v>1440</v>
      </c>
      <c r="E539" t="str">
        <f t="shared" si="78"/>
        <v>I49. display{inline-icon, right, medium} inputs{auto-take, nomap} results{inline-icon, right}</v>
      </c>
      <c r="F539" t="str">
        <f t="shared" si="79"/>
        <v>geopoint</v>
      </c>
      <c r="G539" t="str">
        <f t="shared" si="80"/>
        <v>I49. display{inline-icon, right, medium} inputs{auto-take, nomap} results{inline-icon, right}</v>
      </c>
      <c r="H539" t="str">
        <f t="shared" si="81"/>
        <v>geopoint</v>
      </c>
      <c r="J539" t="str">
        <f t="shared" si="71"/>
        <v>display{inline-icon, right, medium} inputs{auto-take, nomap} results{inline-icon, right}</v>
      </c>
      <c r="K539" s="32" t="s">
        <v>1461</v>
      </c>
    </row>
    <row r="540" spans="1:11" x14ac:dyDescent="0.25">
      <c r="A540" t="s">
        <v>31</v>
      </c>
      <c r="B540" t="str">
        <f t="shared" si="77"/>
        <v>geopoint_i50</v>
      </c>
      <c r="C540" t="s">
        <v>1491</v>
      </c>
      <c r="E540" t="str">
        <f t="shared" si="78"/>
        <v>I50. display{inline-icon, right, medium} inputs{} results{thumbnail-square-[80%x35%], center}</v>
      </c>
      <c r="F540" t="str">
        <f t="shared" si="79"/>
        <v>geopoint</v>
      </c>
      <c r="G540" t="str">
        <f t="shared" si="80"/>
        <v>I50. display{inline-icon, right, medium} inputs{} results{thumbnail-square-[80%x35%], center}</v>
      </c>
      <c r="H540" t="str">
        <f t="shared" si="81"/>
        <v>geopoint</v>
      </c>
      <c r="J540" t="str">
        <f t="shared" si="71"/>
        <v>display{inline-icon, right, medium} inputs{} results{thumbnail-square-[80%x35%], center}</v>
      </c>
      <c r="K540" s="32" t="s">
        <v>1495</v>
      </c>
    </row>
    <row r="541" spans="1:11" x14ac:dyDescent="0.25">
      <c r="A541" t="s">
        <v>31</v>
      </c>
      <c r="B541" t="str">
        <f t="shared" si="77"/>
        <v>geopoint_i51</v>
      </c>
      <c r="C541" t="s">
        <v>1441</v>
      </c>
      <c r="E541" t="str">
        <f t="shared" si="78"/>
        <v>I51. display{inline-icon, right, medium} inputs{} results{thumbnail-square-[80%x35%], center, hide(value)}</v>
      </c>
      <c r="F541" t="str">
        <f t="shared" si="79"/>
        <v>geopoint</v>
      </c>
      <c r="G541" t="str">
        <f t="shared" si="80"/>
        <v>I51. display{inline-icon, right, medium} inputs{} results{thumbnail-square-[80%x35%], center, hide(value)}</v>
      </c>
      <c r="H541" t="str">
        <f t="shared" si="81"/>
        <v>geopoint</v>
      </c>
      <c r="J541" t="str">
        <f t="shared" si="71"/>
        <v>display{inline-icon, right, medium} inputs{} results{thumbnail-square-[80%x35%], center, hide(value)}</v>
      </c>
      <c r="K541" s="32" t="s">
        <v>1504</v>
      </c>
    </row>
    <row r="542" spans="1:11" x14ac:dyDescent="0.25">
      <c r="A542" t="s">
        <v>31</v>
      </c>
      <c r="B542" t="str">
        <f t="shared" si="77"/>
        <v>geopoint_i52</v>
      </c>
      <c r="C542" t="s">
        <v>1442</v>
      </c>
      <c r="E542" t="str">
        <f t="shared" si="78"/>
        <v>I52. display{inline-icon, right, medium} inputs{auto-take} results{thumbnail-square-[80%x35%], center}</v>
      </c>
      <c r="F542" t="str">
        <f t="shared" si="79"/>
        <v>geopoint</v>
      </c>
      <c r="G542" t="str">
        <f t="shared" si="80"/>
        <v>I52. display{inline-icon, right, medium} inputs{auto-take} results{thumbnail-square-[80%x35%], center}</v>
      </c>
      <c r="H542" t="str">
        <f t="shared" si="81"/>
        <v>geopoint</v>
      </c>
      <c r="J542" t="str">
        <f t="shared" si="71"/>
        <v>display{inline-icon, right, medium} inputs{auto-take} results{thumbnail-square-[80%x35%], center}</v>
      </c>
      <c r="K542" s="32" t="s">
        <v>1500</v>
      </c>
    </row>
    <row r="543" spans="1:11" x14ac:dyDescent="0.25">
      <c r="A543" t="s">
        <v>31</v>
      </c>
      <c r="B543" t="str">
        <f t="shared" si="77"/>
        <v>geopoint_i53</v>
      </c>
      <c r="C543" t="s">
        <v>1443</v>
      </c>
      <c r="E543" t="str">
        <f t="shared" si="78"/>
        <v>I53. display{inline-icon, right, medium} inputs{nomap} results{thumbnail-square-[80%x35%], center}</v>
      </c>
      <c r="F543" t="str">
        <f t="shared" si="79"/>
        <v>geopoint</v>
      </c>
      <c r="G543" t="str">
        <f t="shared" si="80"/>
        <v>I53. display{inline-icon, right, medium} inputs{nomap} results{thumbnail-square-[80%x35%], center}</v>
      </c>
      <c r="H543" t="str">
        <f t="shared" si="81"/>
        <v>geopoint</v>
      </c>
      <c r="J543" t="str">
        <f t="shared" si="71"/>
        <v>display{inline-icon, right, medium} inputs{nomap} results{thumbnail-square-[80%x35%], center}</v>
      </c>
      <c r="K543" s="32" t="s">
        <v>1496</v>
      </c>
    </row>
    <row r="544" spans="1:11" x14ac:dyDescent="0.25">
      <c r="A544" t="s">
        <v>31</v>
      </c>
      <c r="B544" t="str">
        <f t="shared" si="77"/>
        <v>geopoint_i54</v>
      </c>
      <c r="C544" t="s">
        <v>1492</v>
      </c>
      <c r="E544" t="str">
        <f t="shared" si="78"/>
        <v>I54. display{inline-icon, right, medium} inputs{nodrag} results{thumbnail-square-[80%x35%], center}</v>
      </c>
      <c r="F544" t="str">
        <f t="shared" si="79"/>
        <v>geopoint</v>
      </c>
      <c r="G544" t="str">
        <f t="shared" si="80"/>
        <v>I54. display{inline-icon, right, medium} inputs{nodrag} results{thumbnail-square-[80%x35%], center}</v>
      </c>
      <c r="H544" t="str">
        <f t="shared" si="81"/>
        <v>geopoint</v>
      </c>
      <c r="J544" t="str">
        <f t="shared" si="71"/>
        <v>display{inline-icon, right, medium} inputs{nodrag} results{thumbnail-square-[80%x35%], center}</v>
      </c>
      <c r="K544" s="32" t="s">
        <v>1497</v>
      </c>
    </row>
    <row r="545" spans="1:18" x14ac:dyDescent="0.25">
      <c r="A545" t="s">
        <v>31</v>
      </c>
      <c r="B545" t="str">
        <f t="shared" si="77"/>
        <v>geopoint_i55</v>
      </c>
      <c r="C545" t="s">
        <v>1493</v>
      </c>
      <c r="E545" t="str">
        <f t="shared" si="78"/>
        <v>I55. display{inline-icon, right, medium} inputs{draggable} results{thumbnail-square-[80%x35%], center}</v>
      </c>
      <c r="F545" t="str">
        <f t="shared" si="79"/>
        <v>geopoint</v>
      </c>
      <c r="G545" t="str">
        <f t="shared" si="80"/>
        <v>I55. display{inline-icon, right, medium} inputs{draggable} results{thumbnail-square-[80%x35%], center}</v>
      </c>
      <c r="H545" t="str">
        <f t="shared" si="81"/>
        <v>geopoint</v>
      </c>
      <c r="J545" t="str">
        <f t="shared" si="71"/>
        <v>display{inline-icon, right, medium} inputs{draggable} results{thumbnail-square-[80%x35%], center}</v>
      </c>
      <c r="K545" s="32" t="s">
        <v>1498</v>
      </c>
    </row>
    <row r="546" spans="1:18" x14ac:dyDescent="0.25">
      <c r="A546" t="s">
        <v>31</v>
      </c>
      <c r="B546" t="str">
        <f t="shared" si="77"/>
        <v>geopoint_i56</v>
      </c>
      <c r="C546" t="s">
        <v>1494</v>
      </c>
      <c r="E546" t="str">
        <f t="shared" si="78"/>
        <v>I56. display{inline-icon, right, medium} inputs{auto-take, nodrag} results{thumbnail-square-[80%x35%], center}</v>
      </c>
      <c r="F546" t="str">
        <f t="shared" si="79"/>
        <v>geopoint</v>
      </c>
      <c r="G546" t="str">
        <f t="shared" si="80"/>
        <v>I56. display{inline-icon, right, medium} inputs{auto-take, nodrag} results{thumbnail-square-[80%x35%], center}</v>
      </c>
      <c r="H546" t="str">
        <f t="shared" si="81"/>
        <v>geopoint</v>
      </c>
      <c r="J546" t="str">
        <f t="shared" si="71"/>
        <v>display{inline-icon, right, medium} inputs{auto-take, nodrag} results{thumbnail-square-[80%x35%], center}</v>
      </c>
      <c r="K546" s="32" t="s">
        <v>1501</v>
      </c>
    </row>
    <row r="547" spans="1:18" x14ac:dyDescent="0.25">
      <c r="A547" t="s">
        <v>31</v>
      </c>
      <c r="B547" t="str">
        <f t="shared" si="77"/>
        <v>geopoint_i57</v>
      </c>
      <c r="C547" t="s">
        <v>1720</v>
      </c>
      <c r="E547" t="str">
        <f t="shared" si="78"/>
        <v>I57. display{inline-icon, right, medium} inputs{auto-take, draggable} results{thumbnail-square-[80%x35%], center}</v>
      </c>
      <c r="F547" t="str">
        <f t="shared" si="79"/>
        <v>geopoint</v>
      </c>
      <c r="G547" t="str">
        <f t="shared" si="80"/>
        <v>I57. display{inline-icon, right, medium} inputs{auto-take, draggable} results{thumbnail-square-[80%x35%], center}</v>
      </c>
      <c r="H547" t="str">
        <f t="shared" si="81"/>
        <v>geopoint</v>
      </c>
      <c r="J547" t="str">
        <f t="shared" si="71"/>
        <v>display{inline-icon, right, medium} inputs{auto-take, draggable} results{thumbnail-square-[80%x35%], center}</v>
      </c>
      <c r="K547" s="32" t="s">
        <v>1502</v>
      </c>
    </row>
    <row r="548" spans="1:18" x14ac:dyDescent="0.25">
      <c r="A548" t="s">
        <v>31</v>
      </c>
      <c r="B548" t="str">
        <f t="shared" si="77"/>
        <v>geopoint_i58</v>
      </c>
      <c r="C548" t="s">
        <v>1721</v>
      </c>
      <c r="E548" t="str">
        <f t="shared" si="78"/>
        <v>I58. display{inline-icon, right, medium} inputs{auto-take, nomap} results{thumbnail-square-[80%x35%], center}</v>
      </c>
      <c r="F548" t="str">
        <f t="shared" si="79"/>
        <v>geopoint</v>
      </c>
      <c r="G548" t="str">
        <f t="shared" si="80"/>
        <v>I58. display{inline-icon, right, medium} inputs{auto-take, nomap} results{thumbnail-square-[80%x35%], center}</v>
      </c>
      <c r="H548" t="str">
        <f t="shared" si="81"/>
        <v>geopoint</v>
      </c>
      <c r="J548" t="str">
        <f t="shared" si="71"/>
        <v>display{inline-icon, right, medium} inputs{auto-take, nomap} results{thumbnail-square-[80%x35%], center}</v>
      </c>
      <c r="K548" s="32" t="s">
        <v>1503</v>
      </c>
    </row>
    <row r="549" spans="1:18" x14ac:dyDescent="0.25">
      <c r="A549" t="s">
        <v>31</v>
      </c>
      <c r="B549" t="str">
        <f t="shared" si="77"/>
        <v>geopoint_i59</v>
      </c>
      <c r="C549" t="s">
        <v>1722</v>
      </c>
      <c r="E549" t="str">
        <f t="shared" si="78"/>
        <v>I59. display{inline-icon, right, &lt;#0099FF/&gt;, medium} inputs{} results{inline-icon, right}</v>
      </c>
      <c r="F549" t="str">
        <f t="shared" si="79"/>
        <v>geopoint</v>
      </c>
      <c r="G549" t="str">
        <f t="shared" si="80"/>
        <v>I59. display{inline-icon, right, &lt;#0099FF/&gt;, medium} inputs{} results{inline-icon, right}</v>
      </c>
      <c r="H549" t="str">
        <f t="shared" si="81"/>
        <v>geopoint</v>
      </c>
      <c r="J549" t="s">
        <v>1694</v>
      </c>
      <c r="K549" s="32" t="s">
        <v>1405</v>
      </c>
    </row>
    <row r="550" spans="1:18" x14ac:dyDescent="0.25">
      <c r="A550" t="s">
        <v>31</v>
      </c>
      <c r="B550" t="str">
        <f t="shared" si="77"/>
        <v>geopoint_i60</v>
      </c>
      <c r="C550" t="s">
        <v>1723</v>
      </c>
      <c r="E550" t="str">
        <f t="shared" si="78"/>
        <v>I60. display{inline-icon, right, &lt;#0099FF/&gt;, medium} inputs{auto-take} results{inline-icon, right}</v>
      </c>
      <c r="F550" t="str">
        <f t="shared" si="79"/>
        <v>geopoint</v>
      </c>
      <c r="G550" t="str">
        <f t="shared" si="80"/>
        <v>I60. display{inline-icon, right, &lt;#0099FF/&gt;, medium} inputs{auto-take} results{inline-icon, right}</v>
      </c>
      <c r="H550" t="str">
        <f t="shared" si="81"/>
        <v>geopoint</v>
      </c>
      <c r="J550" t="s">
        <v>1695</v>
      </c>
      <c r="K550" s="32" t="s">
        <v>1445</v>
      </c>
    </row>
    <row r="551" spans="1:18" x14ac:dyDescent="0.25">
      <c r="A551" t="s">
        <v>31</v>
      </c>
      <c r="B551" t="str">
        <f t="shared" si="77"/>
        <v>geopoint_i61</v>
      </c>
      <c r="C551" t="s">
        <v>1724</v>
      </c>
      <c r="E551" t="str">
        <f t="shared" si="78"/>
        <v>I61. display{inline-icon, right, &lt;#0099FF/&gt;, medium} inputs{nomap} results{inline-icon, right}</v>
      </c>
      <c r="F551" t="str">
        <f t="shared" si="79"/>
        <v>geopoint</v>
      </c>
      <c r="G551" t="str">
        <f t="shared" si="80"/>
        <v>I61. display{inline-icon, right, &lt;#0099FF/&gt;, medium} inputs{nomap} results{inline-icon, right}</v>
      </c>
      <c r="H551" t="str">
        <f t="shared" si="81"/>
        <v>geopoint</v>
      </c>
      <c r="J551" t="s">
        <v>1696</v>
      </c>
      <c r="K551" s="32" t="s">
        <v>1448</v>
      </c>
    </row>
    <row r="552" spans="1:18" x14ac:dyDescent="0.25">
      <c r="A552" t="s">
        <v>31</v>
      </c>
      <c r="B552" t="str">
        <f t="shared" si="77"/>
        <v>geopoint_i62</v>
      </c>
      <c r="C552" t="s">
        <v>1725</v>
      </c>
      <c r="E552" t="str">
        <f t="shared" si="78"/>
        <v>I62. display{inline-icon, right, &lt;#0099FF/&gt;, medium} inputs{nodrag} results{inline-icon, right}</v>
      </c>
      <c r="F552" t="str">
        <f t="shared" si="79"/>
        <v>geopoint</v>
      </c>
      <c r="G552" t="str">
        <f t="shared" si="80"/>
        <v>I62. display{inline-icon, right, &lt;#0099FF/&gt;, medium} inputs{nodrag} results{inline-icon, right}</v>
      </c>
      <c r="H552" t="str">
        <f t="shared" si="81"/>
        <v>geopoint</v>
      </c>
      <c r="J552" t="s">
        <v>1697</v>
      </c>
      <c r="K552" s="32" t="s">
        <v>1452</v>
      </c>
    </row>
    <row r="553" spans="1:18" x14ac:dyDescent="0.25">
      <c r="A553" t="s">
        <v>31</v>
      </c>
      <c r="B553" t="str">
        <f t="shared" si="77"/>
        <v>geopoint_i63</v>
      </c>
      <c r="C553" t="s">
        <v>1726</v>
      </c>
      <c r="E553" t="str">
        <f t="shared" si="78"/>
        <v>I63. display{inline-icon, right, &lt;#0099FF/&gt;, medium} inputs{draggable} results{inline-icon, right}</v>
      </c>
      <c r="F553" t="str">
        <f t="shared" si="79"/>
        <v>geopoint</v>
      </c>
      <c r="G553" t="str">
        <f t="shared" si="80"/>
        <v>I63. display{inline-icon, right, &lt;#0099FF/&gt;, medium} inputs{draggable} results{inline-icon, right}</v>
      </c>
      <c r="H553" t="str">
        <f t="shared" si="81"/>
        <v>geopoint</v>
      </c>
      <c r="J553" t="s">
        <v>1698</v>
      </c>
      <c r="K553" s="32" t="s">
        <v>1406</v>
      </c>
    </row>
    <row r="554" spans="1:18" x14ac:dyDescent="0.25">
      <c r="A554" t="s">
        <v>31</v>
      </c>
      <c r="B554" t="str">
        <f t="shared" si="77"/>
        <v>geopoint_i64</v>
      </c>
      <c r="C554" t="s">
        <v>1727</v>
      </c>
      <c r="E554" t="str">
        <f t="shared" si="78"/>
        <v>I64. display{inline-icon, right, &lt;#0099FF/&gt;, medium} inputs{auto-take, nodrag} results{inline-icon, right}</v>
      </c>
      <c r="F554" t="str">
        <f t="shared" si="79"/>
        <v>geopoint</v>
      </c>
      <c r="G554" t="str">
        <f t="shared" si="80"/>
        <v>I64. display{inline-icon, right, &lt;#0099FF/&gt;, medium} inputs{auto-take, nodrag} results{inline-icon, right}</v>
      </c>
      <c r="H554" t="str">
        <f t="shared" si="81"/>
        <v>geopoint</v>
      </c>
      <c r="J554" t="s">
        <v>1699</v>
      </c>
      <c r="K554" s="32" t="s">
        <v>1459</v>
      </c>
    </row>
    <row r="555" spans="1:18" x14ac:dyDescent="0.25">
      <c r="A555" t="s">
        <v>31</v>
      </c>
      <c r="B555" t="str">
        <f t="shared" ref="B555:B556" si="83">CONCATENATE(SUBSTITUTE(A555," ","_"),"_",C555)</f>
        <v>geopoint_i65</v>
      </c>
      <c r="C555" t="s">
        <v>1728</v>
      </c>
      <c r="E555" t="str">
        <f t="shared" ref="E555:E556" si="84">CONCATENATE(PROPER(C555),". ",J555)</f>
        <v>I65. display{inline-icon, right, &lt;#0099FF/&gt;, medium} inputs{auto-take, draggable} results{inline-icon, right}</v>
      </c>
      <c r="F555" t="str">
        <f t="shared" ref="F555:F556" si="85">A555</f>
        <v>geopoint</v>
      </c>
      <c r="G555" t="str">
        <f t="shared" ref="G555:G556" si="86">CONCATENATE(PROPER(C555),". ",J555)</f>
        <v>I65. display{inline-icon, right, &lt;#0099FF/&gt;, medium} inputs{auto-take, draggable} results{inline-icon, right}</v>
      </c>
      <c r="H555" t="str">
        <f t="shared" ref="H555:H556" si="87">A555</f>
        <v>geopoint</v>
      </c>
      <c r="J555" t="s">
        <v>1700</v>
      </c>
      <c r="K555" s="32" t="s">
        <v>1460</v>
      </c>
    </row>
    <row r="556" spans="1:18" x14ac:dyDescent="0.25">
      <c r="A556" t="s">
        <v>31</v>
      </c>
      <c r="B556" t="str">
        <f t="shared" si="83"/>
        <v>geopoint_i66</v>
      </c>
      <c r="C556" t="s">
        <v>1729</v>
      </c>
      <c r="E556" t="str">
        <f t="shared" si="84"/>
        <v>I66. display{inline-icon, right, &lt;#0099FF/&gt;, medium} inputs{auto-take, nomap} results{inline-icon, right}</v>
      </c>
      <c r="F556" t="str">
        <f t="shared" si="85"/>
        <v>geopoint</v>
      </c>
      <c r="G556" t="str">
        <f t="shared" si="86"/>
        <v>I66. display{inline-icon, right, &lt;#0099FF/&gt;, medium} inputs{auto-take, nomap} results{inline-icon, right}</v>
      </c>
      <c r="H556" t="str">
        <f t="shared" si="87"/>
        <v>geopoint</v>
      </c>
      <c r="J556" t="s">
        <v>1701</v>
      </c>
      <c r="K556" s="32" t="s">
        <v>1461</v>
      </c>
    </row>
    <row r="557" spans="1:18" x14ac:dyDescent="0.25">
      <c r="A557" t="s">
        <v>39</v>
      </c>
      <c r="E557" t="str">
        <f>CONCATENATE(PROPER(C557),". ",D557)</f>
        <v xml:space="preserve">. </v>
      </c>
    </row>
    <row r="558" spans="1:18" x14ac:dyDescent="0.25">
      <c r="A558" t="s">
        <v>39</v>
      </c>
      <c r="E558" t="str">
        <f>CONCATENATE(PROPER(C558),". ",D558)</f>
        <v xml:space="preserve">. </v>
      </c>
      <c r="J558" t="str">
        <f t="shared" si="71"/>
        <v/>
      </c>
    </row>
    <row r="559" spans="1:18" x14ac:dyDescent="0.25">
      <c r="A559" t="s">
        <v>38</v>
      </c>
      <c r="B559" t="str">
        <f>CONCATENATE("bg_section_",C559)</f>
        <v>bg_section_j</v>
      </c>
      <c r="C559" t="s">
        <v>723</v>
      </c>
      <c r="D559" t="s">
        <v>1006</v>
      </c>
      <c r="E559" t="str">
        <f>CONCATENATE(PROPER(C559),". ",D559)</f>
        <v>J. IMAGE appearance</v>
      </c>
      <c r="G559" t="str">
        <f>CONCATENATE(PROPER(C559),". ",D559)</f>
        <v>J. IMAGE appearance</v>
      </c>
      <c r="J559" t="str">
        <f t="shared" ref="J559:J610" si="88">TRIM(CONCATENATE(K559," ",L559," ",M559))</f>
        <v>section</v>
      </c>
      <c r="K559" s="32" t="s">
        <v>43</v>
      </c>
      <c r="R559" t="s">
        <v>199</v>
      </c>
    </row>
    <row r="560" spans="1:18" x14ac:dyDescent="0.25">
      <c r="A560" t="s">
        <v>38</v>
      </c>
      <c r="B560" t="str">
        <f>CONCATENATE("bg_field_",C560)</f>
        <v>bg_field_j</v>
      </c>
      <c r="C560" t="s">
        <v>723</v>
      </c>
      <c r="D560" t="s">
        <v>1006</v>
      </c>
      <c r="E560" t="str">
        <f>CONCATENATE(PROPER(C560),". ",D560)</f>
        <v>J. IMAGE appearance</v>
      </c>
      <c r="G560" t="str">
        <f>CONCATENATE(PROPER(C560),". ",D560)</f>
        <v>J. IMAGE appearance</v>
      </c>
      <c r="J560" t="str">
        <f t="shared" si="88"/>
        <v>field-list</v>
      </c>
      <c r="K560" s="32" t="s">
        <v>40</v>
      </c>
    </row>
    <row r="561" spans="1:12" x14ac:dyDescent="0.25">
      <c r="A561" t="s">
        <v>37</v>
      </c>
      <c r="B561" t="str">
        <f>CONCATENATE(SUBSTITUTE(A561," ","_"),"_",C561)</f>
        <v>note_j</v>
      </c>
      <c r="C561" t="s">
        <v>723</v>
      </c>
      <c r="D561" t="s">
        <v>73</v>
      </c>
      <c r="E561" t="str">
        <f>CONCATENATE(PROPER(C561),". ",D561)</f>
        <v>J. IMAGE</v>
      </c>
      <c r="F561" t="s">
        <v>1000</v>
      </c>
      <c r="G561" t="str">
        <f>CONCATENATE(PROPER(C561),". ",D561)</f>
        <v>J. IMAGE</v>
      </c>
      <c r="H561" t="s">
        <v>1000</v>
      </c>
      <c r="J561" t="str">
        <f t="shared" si="88"/>
        <v/>
      </c>
    </row>
    <row r="562" spans="1:12" x14ac:dyDescent="0.25">
      <c r="A562" t="s">
        <v>28</v>
      </c>
      <c r="B562" t="str">
        <f t="shared" ref="B562:B611" si="89">CONCATENATE(SUBSTITUTE(A562," ","_"),"_",C562)</f>
        <v>image_j1</v>
      </c>
      <c r="C562" t="s">
        <v>724</v>
      </c>
      <c r="E562" t="str">
        <f t="shared" ref="E562:E623" si="90">CONCATENATE(PROPER(C562),". ",J562)</f>
        <v xml:space="preserve">J1. </v>
      </c>
      <c r="F562" t="str">
        <f t="shared" ref="F562:F623" si="91">A562</f>
        <v>image</v>
      </c>
      <c r="G562" t="str">
        <f t="shared" ref="G562:G623" si="92">CONCATENATE(PROPER(C562),". ",J562)</f>
        <v xml:space="preserve">J1. </v>
      </c>
      <c r="H562" t="str">
        <f t="shared" ref="H562:H623" si="93">A562</f>
        <v>image</v>
      </c>
      <c r="J562" t="str">
        <f t="shared" si="88"/>
        <v/>
      </c>
    </row>
    <row r="563" spans="1:12" x14ac:dyDescent="0.25">
      <c r="A563" t="s">
        <v>28</v>
      </c>
      <c r="B563" t="str">
        <f t="shared" si="89"/>
        <v>image_j2</v>
      </c>
      <c r="C563" t="s">
        <v>725</v>
      </c>
      <c r="E563" t="str">
        <f t="shared" si="90"/>
        <v>J2. front_camera</v>
      </c>
      <c r="F563" t="str">
        <f t="shared" si="91"/>
        <v>image</v>
      </c>
      <c r="G563" t="str">
        <f t="shared" si="92"/>
        <v>J2. front_camera</v>
      </c>
      <c r="H563" t="str">
        <f t="shared" si="93"/>
        <v>image</v>
      </c>
      <c r="J563" t="str">
        <f t="shared" si="88"/>
        <v>front_camera</v>
      </c>
      <c r="K563" s="32" t="s">
        <v>54</v>
      </c>
    </row>
    <row r="564" spans="1:12" x14ac:dyDescent="0.25">
      <c r="A564" t="s">
        <v>28</v>
      </c>
      <c r="B564" t="str">
        <f t="shared" si="89"/>
        <v>image_j3</v>
      </c>
      <c r="C564" t="s">
        <v>726</v>
      </c>
      <c r="E564" t="str">
        <f t="shared" si="90"/>
        <v>J3. back_camera</v>
      </c>
      <c r="F564" t="str">
        <f t="shared" si="91"/>
        <v>image</v>
      </c>
      <c r="G564" t="str">
        <f t="shared" si="92"/>
        <v>J3. back_camera</v>
      </c>
      <c r="H564" t="str">
        <f t="shared" si="93"/>
        <v>image</v>
      </c>
      <c r="J564" t="str">
        <f t="shared" si="88"/>
        <v>back_camera</v>
      </c>
      <c r="K564" s="32" t="s">
        <v>56</v>
      </c>
    </row>
    <row r="565" spans="1:12" x14ac:dyDescent="0.25">
      <c r="A565" t="s">
        <v>28</v>
      </c>
      <c r="B565" t="str">
        <f t="shared" si="89"/>
        <v>image_j4</v>
      </c>
      <c r="C565" t="s">
        <v>727</v>
      </c>
      <c r="E565" t="str">
        <f t="shared" si="90"/>
        <v>J4. inline</v>
      </c>
      <c r="F565" t="str">
        <f t="shared" si="91"/>
        <v>image</v>
      </c>
      <c r="G565" t="str">
        <f t="shared" si="92"/>
        <v>J4. inline</v>
      </c>
      <c r="H565" t="str">
        <f t="shared" si="93"/>
        <v>image</v>
      </c>
      <c r="J565" t="str">
        <f t="shared" si="88"/>
        <v>inline</v>
      </c>
      <c r="K565" s="32" t="s">
        <v>53</v>
      </c>
    </row>
    <row r="566" spans="1:12" x14ac:dyDescent="0.25">
      <c r="A566" t="s">
        <v>28</v>
      </c>
      <c r="B566" t="str">
        <f>CONCATENATE(SUBSTITUTE(A566," ","_"),"_",C566)</f>
        <v>image_j5</v>
      </c>
      <c r="C566" t="s">
        <v>728</v>
      </c>
      <c r="E566" t="str">
        <f t="shared" si="90"/>
        <v>J5. inline &lt;#0099FF/&gt;</v>
      </c>
      <c r="F566" t="str">
        <f t="shared" si="91"/>
        <v>image</v>
      </c>
      <c r="G566" t="str">
        <f t="shared" si="92"/>
        <v>J5. inline &lt;#0099FF/&gt;</v>
      </c>
      <c r="H566" t="str">
        <f t="shared" si="93"/>
        <v>image</v>
      </c>
      <c r="J566" t="str">
        <f>TRIM(CONCATENATE(K566," ",L566," ",M566))</f>
        <v>inline &lt;#0099FF/&gt;</v>
      </c>
      <c r="K566" s="32" t="s">
        <v>53</v>
      </c>
      <c r="L566" t="s">
        <v>1083</v>
      </c>
    </row>
    <row r="567" spans="1:12" x14ac:dyDescent="0.25">
      <c r="A567" t="s">
        <v>28</v>
      </c>
      <c r="B567" t="str">
        <f t="shared" si="89"/>
        <v>image_j6</v>
      </c>
      <c r="C567" t="s">
        <v>729</v>
      </c>
      <c r="E567" t="str">
        <f t="shared" si="90"/>
        <v>J6. inline back_camera</v>
      </c>
      <c r="F567" t="str">
        <f t="shared" si="91"/>
        <v>image</v>
      </c>
      <c r="G567" t="str">
        <f t="shared" si="92"/>
        <v>J6. inline back_camera</v>
      </c>
      <c r="H567" t="str">
        <f t="shared" si="93"/>
        <v>image</v>
      </c>
      <c r="J567" t="str">
        <f t="shared" si="88"/>
        <v>inline back_camera</v>
      </c>
      <c r="K567" s="32" t="s">
        <v>57</v>
      </c>
    </row>
    <row r="568" spans="1:12" x14ac:dyDescent="0.25">
      <c r="A568" t="s">
        <v>28</v>
      </c>
      <c r="B568" t="str">
        <f t="shared" si="89"/>
        <v>image_j7</v>
      </c>
      <c r="C568" t="s">
        <v>730</v>
      </c>
      <c r="E568" t="str">
        <f t="shared" si="90"/>
        <v>J7. inline front_camera</v>
      </c>
      <c r="F568" t="str">
        <f t="shared" si="91"/>
        <v>image</v>
      </c>
      <c r="G568" t="str">
        <f t="shared" si="92"/>
        <v>J7. inline front_camera</v>
      </c>
      <c r="H568" t="str">
        <f t="shared" si="93"/>
        <v>image</v>
      </c>
      <c r="J568" t="str">
        <f t="shared" si="88"/>
        <v>inline front_camera</v>
      </c>
      <c r="K568" s="32" t="s">
        <v>55</v>
      </c>
    </row>
    <row r="569" spans="1:12" x14ac:dyDescent="0.25">
      <c r="A569" t="s">
        <v>28</v>
      </c>
      <c r="B569" t="str">
        <f t="shared" si="89"/>
        <v>image_j8</v>
      </c>
      <c r="C569" t="s">
        <v>731</v>
      </c>
      <c r="E569" t="str">
        <f t="shared" si="90"/>
        <v>J8. size-400</v>
      </c>
      <c r="F569" t="str">
        <f t="shared" si="91"/>
        <v>image</v>
      </c>
      <c r="G569" t="str">
        <f t="shared" si="92"/>
        <v>J8. size-400</v>
      </c>
      <c r="H569" t="str">
        <f t="shared" si="93"/>
        <v>image</v>
      </c>
      <c r="J569" t="str">
        <f t="shared" si="88"/>
        <v>size-400</v>
      </c>
      <c r="K569" s="32" t="s">
        <v>1262</v>
      </c>
    </row>
    <row r="570" spans="1:12" x14ac:dyDescent="0.25">
      <c r="A570" t="s">
        <v>28</v>
      </c>
      <c r="B570" t="str">
        <f t="shared" si="89"/>
        <v>image_j9</v>
      </c>
      <c r="C570" t="s">
        <v>732</v>
      </c>
      <c r="E570" t="str">
        <f t="shared" si="90"/>
        <v>J9. inline-nojpg</v>
      </c>
      <c r="F570" t="str">
        <f t="shared" si="91"/>
        <v>image</v>
      </c>
      <c r="G570" t="str">
        <f t="shared" si="92"/>
        <v>J9. inline-nojpg</v>
      </c>
      <c r="H570" t="str">
        <f t="shared" si="93"/>
        <v>image</v>
      </c>
      <c r="J570" t="str">
        <f t="shared" si="88"/>
        <v>inline-nojpg</v>
      </c>
      <c r="K570" s="32" t="s">
        <v>63</v>
      </c>
    </row>
    <row r="571" spans="1:12" x14ac:dyDescent="0.25">
      <c r="A571" t="s">
        <v>28</v>
      </c>
      <c r="B571" t="str">
        <f t="shared" si="89"/>
        <v>image_j10</v>
      </c>
      <c r="C571" t="s">
        <v>733</v>
      </c>
      <c r="E571" t="str">
        <f t="shared" si="90"/>
        <v>J10. inline-onlyjpg</v>
      </c>
      <c r="F571" t="str">
        <f t="shared" si="91"/>
        <v>image</v>
      </c>
      <c r="G571" t="str">
        <f t="shared" si="92"/>
        <v>J10. inline-onlyjpg</v>
      </c>
      <c r="H571" t="str">
        <f t="shared" si="93"/>
        <v>image</v>
      </c>
      <c r="J571" t="str">
        <f t="shared" si="88"/>
        <v>inline-onlyjpg</v>
      </c>
      <c r="K571" s="32" t="s">
        <v>64</v>
      </c>
    </row>
    <row r="572" spans="1:12" x14ac:dyDescent="0.25">
      <c r="A572" t="s">
        <v>28</v>
      </c>
      <c r="B572" t="str">
        <f t="shared" si="89"/>
        <v>image_j11</v>
      </c>
      <c r="C572" t="s">
        <v>734</v>
      </c>
      <c r="E572" t="str">
        <f t="shared" si="90"/>
        <v>J11. signature</v>
      </c>
      <c r="F572" t="str">
        <f t="shared" si="91"/>
        <v>image</v>
      </c>
      <c r="G572" t="str">
        <f t="shared" si="92"/>
        <v>J11. signature</v>
      </c>
      <c r="H572" t="str">
        <f t="shared" si="93"/>
        <v>image</v>
      </c>
      <c r="J572" t="str">
        <f t="shared" si="88"/>
        <v>signature</v>
      </c>
      <c r="K572" s="32" t="s">
        <v>65</v>
      </c>
    </row>
    <row r="573" spans="1:12" x14ac:dyDescent="0.25">
      <c r="A573" t="s">
        <v>28</v>
      </c>
      <c r="B573" t="str">
        <f t="shared" si="89"/>
        <v>image_j12</v>
      </c>
      <c r="C573" t="s">
        <v>735</v>
      </c>
      <c r="E573" t="str">
        <f t="shared" si="90"/>
        <v>J12. signature size-400</v>
      </c>
      <c r="F573" t="str">
        <f t="shared" si="91"/>
        <v>image</v>
      </c>
      <c r="G573" t="str">
        <f t="shared" si="92"/>
        <v>J12. signature size-400</v>
      </c>
      <c r="H573" t="str">
        <f t="shared" si="93"/>
        <v>image</v>
      </c>
      <c r="J573" t="str">
        <f t="shared" si="88"/>
        <v>signature size-400</v>
      </c>
      <c r="K573" s="32" t="s">
        <v>1263</v>
      </c>
    </row>
    <row r="574" spans="1:12" x14ac:dyDescent="0.25">
      <c r="A574" t="s">
        <v>28</v>
      </c>
      <c r="B574" t="str">
        <f t="shared" si="89"/>
        <v>image_j13</v>
      </c>
      <c r="C574" t="s">
        <v>736</v>
      </c>
      <c r="E574" t="str">
        <f t="shared" si="90"/>
        <v>J13. signature-inline</v>
      </c>
      <c r="F574" t="str">
        <f t="shared" si="91"/>
        <v>image</v>
      </c>
      <c r="G574" t="str">
        <f t="shared" si="92"/>
        <v>J13. signature-inline</v>
      </c>
      <c r="H574" t="str">
        <f t="shared" si="93"/>
        <v>image</v>
      </c>
      <c r="J574" t="str">
        <f t="shared" si="88"/>
        <v>signature-inline</v>
      </c>
      <c r="K574" s="32" t="s">
        <v>66</v>
      </c>
    </row>
    <row r="575" spans="1:12" x14ac:dyDescent="0.25">
      <c r="A575" t="s">
        <v>28</v>
      </c>
      <c r="B575" t="str">
        <f>CONCATENATE(SUBSTITUTE(A575," ","_"),"_",C575)</f>
        <v>image_j14</v>
      </c>
      <c r="C575" t="s">
        <v>737</v>
      </c>
      <c r="E575" t="str">
        <f t="shared" si="90"/>
        <v>J14. signature-inline &lt;#0099FF/&gt;</v>
      </c>
      <c r="F575" t="str">
        <f t="shared" si="91"/>
        <v>image</v>
      </c>
      <c r="G575" t="str">
        <f t="shared" si="92"/>
        <v>J14. signature-inline &lt;#0099FF/&gt;</v>
      </c>
      <c r="H575" t="str">
        <f t="shared" si="93"/>
        <v>image</v>
      </c>
      <c r="J575" t="str">
        <f>TRIM(CONCATENATE(K575," ",L575," ",M575))</f>
        <v>signature-inline &lt;#0099FF/&gt;</v>
      </c>
      <c r="K575" s="32" t="s">
        <v>66</v>
      </c>
      <c r="L575" t="s">
        <v>1083</v>
      </c>
    </row>
    <row r="576" spans="1:12" x14ac:dyDescent="0.25">
      <c r="A576" t="s">
        <v>28</v>
      </c>
      <c r="B576" t="str">
        <f t="shared" si="89"/>
        <v>image_j15</v>
      </c>
      <c r="C576" t="s">
        <v>738</v>
      </c>
      <c r="E576" t="str">
        <f t="shared" si="90"/>
        <v>J15. signature-inline size-400</v>
      </c>
      <c r="F576" t="str">
        <f t="shared" si="91"/>
        <v>image</v>
      </c>
      <c r="G576" t="str">
        <f t="shared" si="92"/>
        <v>J15. signature-inline size-400</v>
      </c>
      <c r="H576" t="str">
        <f t="shared" si="93"/>
        <v>image</v>
      </c>
      <c r="J576" t="str">
        <f t="shared" si="88"/>
        <v>signature-inline size-400</v>
      </c>
      <c r="K576" s="32" t="s">
        <v>413</v>
      </c>
    </row>
    <row r="577" spans="1:12" x14ac:dyDescent="0.25">
      <c r="A577" t="s">
        <v>28</v>
      </c>
      <c r="B577" t="str">
        <f t="shared" si="89"/>
        <v>image_j16</v>
      </c>
      <c r="C577" t="s">
        <v>739</v>
      </c>
      <c r="E577" t="str">
        <f t="shared" si="90"/>
        <v>J16. signature-inline-nojpg</v>
      </c>
      <c r="F577" t="str">
        <f t="shared" si="91"/>
        <v>image</v>
      </c>
      <c r="G577" t="str">
        <f t="shared" si="92"/>
        <v>J16. signature-inline-nojpg</v>
      </c>
      <c r="H577" t="str">
        <f t="shared" si="93"/>
        <v>image</v>
      </c>
      <c r="J577" t="str">
        <f t="shared" si="88"/>
        <v>signature-inline-nojpg</v>
      </c>
      <c r="K577" s="32" t="s">
        <v>67</v>
      </c>
    </row>
    <row r="578" spans="1:12" x14ac:dyDescent="0.25">
      <c r="A578" t="s">
        <v>28</v>
      </c>
      <c r="B578" t="str">
        <f t="shared" si="89"/>
        <v>image_j17</v>
      </c>
      <c r="C578" t="s">
        <v>740</v>
      </c>
      <c r="E578" t="str">
        <f t="shared" si="90"/>
        <v>J17. signature-inline-onlyjpg</v>
      </c>
      <c r="F578" t="str">
        <f t="shared" si="91"/>
        <v>image</v>
      </c>
      <c r="G578" t="str">
        <f t="shared" si="92"/>
        <v>J17. signature-inline-onlyjpg</v>
      </c>
      <c r="H578" t="str">
        <f t="shared" si="93"/>
        <v>image</v>
      </c>
      <c r="J578" t="str">
        <f t="shared" si="88"/>
        <v>signature-inline-onlyjpg</v>
      </c>
      <c r="K578" s="32" t="s">
        <v>68</v>
      </c>
    </row>
    <row r="579" spans="1:12" x14ac:dyDescent="0.25">
      <c r="A579" t="s">
        <v>28</v>
      </c>
      <c r="B579" t="str">
        <f t="shared" si="89"/>
        <v>image_j18</v>
      </c>
      <c r="C579" t="s">
        <v>741</v>
      </c>
      <c r="E579" t="str">
        <f t="shared" si="90"/>
        <v>J18. draw</v>
      </c>
      <c r="F579" t="str">
        <f t="shared" si="91"/>
        <v>image</v>
      </c>
      <c r="G579" t="str">
        <f t="shared" si="92"/>
        <v>J18. draw</v>
      </c>
      <c r="H579" t="str">
        <f t="shared" si="93"/>
        <v>image</v>
      </c>
      <c r="J579" t="str">
        <f t="shared" si="88"/>
        <v>draw</v>
      </c>
      <c r="K579" s="32" t="s">
        <v>69</v>
      </c>
    </row>
    <row r="580" spans="1:12" x14ac:dyDescent="0.25">
      <c r="A580" t="s">
        <v>28</v>
      </c>
      <c r="B580" t="str">
        <f>CONCATENATE(SUBSTITUTE(A580," ","_"),"_",C580)</f>
        <v>image_j19</v>
      </c>
      <c r="C580" t="s">
        <v>742</v>
      </c>
      <c r="E580" t="str">
        <f>CONCATENATE(PROPER(C580),". ",J580)</f>
        <v>J19. draw inline</v>
      </c>
      <c r="F580" t="str">
        <f>A580</f>
        <v>image</v>
      </c>
      <c r="G580" t="str">
        <f>CONCATENATE(PROPER(C580),". ",J580)</f>
        <v>J19. draw inline</v>
      </c>
      <c r="H580" t="str">
        <f>A580</f>
        <v>image</v>
      </c>
      <c r="J580" t="str">
        <f>TRIM(CONCATENATE(K580," ",L580," ",M580))</f>
        <v>draw inline</v>
      </c>
      <c r="K580" s="32" t="s">
        <v>1270</v>
      </c>
    </row>
    <row r="581" spans="1:12" x14ac:dyDescent="0.25">
      <c r="A581" t="s">
        <v>28</v>
      </c>
      <c r="B581" t="str">
        <f t="shared" si="89"/>
        <v>image_j20</v>
      </c>
      <c r="C581" t="s">
        <v>743</v>
      </c>
      <c r="E581" t="str">
        <f t="shared" si="90"/>
        <v>J20. annotate</v>
      </c>
      <c r="F581" t="str">
        <f t="shared" si="91"/>
        <v>image</v>
      </c>
      <c r="G581" t="str">
        <f t="shared" si="92"/>
        <v>J20. annotate</v>
      </c>
      <c r="H581" t="str">
        <f t="shared" si="93"/>
        <v>image</v>
      </c>
      <c r="J581" t="str">
        <f t="shared" si="88"/>
        <v>annotate</v>
      </c>
      <c r="K581" s="32" t="s">
        <v>70</v>
      </c>
    </row>
    <row r="582" spans="1:12" x14ac:dyDescent="0.25">
      <c r="A582" t="s">
        <v>28</v>
      </c>
      <c r="B582" t="str">
        <f>CONCATENATE(SUBSTITUTE(A582," ","_"),"_",C582)</f>
        <v>image_j21</v>
      </c>
      <c r="C582" t="s">
        <v>744</v>
      </c>
      <c r="E582" t="str">
        <f t="shared" si="90"/>
        <v>J21. annotate inline &lt;#0099FF/&gt;</v>
      </c>
      <c r="F582" t="str">
        <f t="shared" si="91"/>
        <v>image</v>
      </c>
      <c r="G582" t="str">
        <f t="shared" si="92"/>
        <v>J21. annotate inline &lt;#0099FF/&gt;</v>
      </c>
      <c r="H582" t="str">
        <f t="shared" si="93"/>
        <v>image</v>
      </c>
      <c r="J582" t="str">
        <f>TRIM(CONCATENATE(K582," ",L582," ",M582))</f>
        <v>annotate inline &lt;#0099FF/&gt;</v>
      </c>
      <c r="K582" s="32" t="s">
        <v>180</v>
      </c>
      <c r="L582" t="s">
        <v>1083</v>
      </c>
    </row>
    <row r="583" spans="1:12" x14ac:dyDescent="0.25">
      <c r="A583" t="s">
        <v>28</v>
      </c>
      <c r="B583" t="str">
        <f t="shared" si="89"/>
        <v>image_j22</v>
      </c>
      <c r="C583" t="s">
        <v>745</v>
      </c>
      <c r="E583" t="str">
        <f t="shared" si="90"/>
        <v>J22. annotate back_camera</v>
      </c>
      <c r="F583" t="str">
        <f t="shared" si="91"/>
        <v>image</v>
      </c>
      <c r="G583" t="str">
        <f t="shared" si="92"/>
        <v>J22. annotate back_camera</v>
      </c>
      <c r="H583" t="str">
        <f t="shared" si="93"/>
        <v>image</v>
      </c>
      <c r="J583" t="str">
        <f t="shared" si="88"/>
        <v>annotate back_camera</v>
      </c>
      <c r="K583" s="32" t="s">
        <v>71</v>
      </c>
    </row>
    <row r="584" spans="1:12" x14ac:dyDescent="0.25">
      <c r="A584" t="s">
        <v>28</v>
      </c>
      <c r="B584" t="str">
        <f t="shared" si="89"/>
        <v>image_j23</v>
      </c>
      <c r="C584" t="s">
        <v>746</v>
      </c>
      <c r="E584" t="str">
        <f t="shared" si="90"/>
        <v>J23. annotate front_camera</v>
      </c>
      <c r="F584" t="str">
        <f t="shared" si="91"/>
        <v>image</v>
      </c>
      <c r="G584" t="str">
        <f t="shared" si="92"/>
        <v>J23. annotate front_camera</v>
      </c>
      <c r="H584" t="str">
        <f t="shared" si="93"/>
        <v>image</v>
      </c>
      <c r="J584" t="str">
        <f t="shared" si="88"/>
        <v>annotate front_camera</v>
      </c>
      <c r="K584" s="32" t="s">
        <v>72</v>
      </c>
    </row>
    <row r="585" spans="1:12" x14ac:dyDescent="0.25">
      <c r="A585" t="s">
        <v>28</v>
      </c>
      <c r="B585" t="str">
        <f t="shared" si="89"/>
        <v>image_j24</v>
      </c>
      <c r="C585" t="s">
        <v>747</v>
      </c>
      <c r="E585" t="str">
        <f t="shared" si="90"/>
        <v>J24. annotate inline</v>
      </c>
      <c r="F585" t="str">
        <f t="shared" si="91"/>
        <v>image</v>
      </c>
      <c r="G585" t="str">
        <f t="shared" si="92"/>
        <v>J24. annotate inline</v>
      </c>
      <c r="H585" t="str">
        <f t="shared" si="93"/>
        <v>image</v>
      </c>
      <c r="J585" t="str">
        <f t="shared" si="88"/>
        <v>annotate inline</v>
      </c>
      <c r="K585" s="32" t="s">
        <v>180</v>
      </c>
    </row>
    <row r="586" spans="1:12" x14ac:dyDescent="0.25">
      <c r="A586" t="s">
        <v>28</v>
      </c>
      <c r="B586" t="str">
        <f t="shared" si="89"/>
        <v>image_j25</v>
      </c>
      <c r="C586" t="s">
        <v>748</v>
      </c>
      <c r="E586" t="str">
        <f t="shared" si="90"/>
        <v>J25. annotate size-400</v>
      </c>
      <c r="F586" t="str">
        <f t="shared" si="91"/>
        <v>image</v>
      </c>
      <c r="G586" t="str">
        <f t="shared" si="92"/>
        <v>J25. annotate size-400</v>
      </c>
      <c r="H586" t="str">
        <f t="shared" si="93"/>
        <v>image</v>
      </c>
      <c r="J586" t="str">
        <f t="shared" si="88"/>
        <v>annotate size-400</v>
      </c>
      <c r="K586" s="32" t="s">
        <v>1264</v>
      </c>
    </row>
    <row r="587" spans="1:12" x14ac:dyDescent="0.25">
      <c r="A587" t="s">
        <v>28</v>
      </c>
      <c r="B587" t="str">
        <f t="shared" si="89"/>
        <v>image_j26</v>
      </c>
      <c r="C587" t="s">
        <v>749</v>
      </c>
      <c r="E587" t="str">
        <f t="shared" si="90"/>
        <v>J26. annotate inline size-400</v>
      </c>
      <c r="F587" t="str">
        <f t="shared" si="91"/>
        <v>image</v>
      </c>
      <c r="G587" t="str">
        <f t="shared" si="92"/>
        <v>J26. annotate inline size-400</v>
      </c>
      <c r="H587" t="str">
        <f t="shared" si="93"/>
        <v>image</v>
      </c>
      <c r="J587" t="str">
        <f t="shared" si="88"/>
        <v>annotate inline size-400</v>
      </c>
      <c r="K587" s="32" t="s">
        <v>179</v>
      </c>
    </row>
    <row r="588" spans="1:12" x14ac:dyDescent="0.25">
      <c r="A588" t="s">
        <v>28</v>
      </c>
      <c r="B588" t="str">
        <f t="shared" si="89"/>
        <v>image_j27</v>
      </c>
      <c r="C588" t="s">
        <v>750</v>
      </c>
      <c r="E588" t="str">
        <f t="shared" si="90"/>
        <v>J27. annotate inline-nojpg</v>
      </c>
      <c r="F588" t="str">
        <f t="shared" si="91"/>
        <v>image</v>
      </c>
      <c r="G588" t="str">
        <f t="shared" si="92"/>
        <v>J27. annotate inline-nojpg</v>
      </c>
      <c r="H588" t="str">
        <f t="shared" si="93"/>
        <v>image</v>
      </c>
      <c r="J588" t="str">
        <f t="shared" si="88"/>
        <v>annotate inline-nojpg</v>
      </c>
      <c r="K588" s="32" t="s">
        <v>181</v>
      </c>
    </row>
    <row r="589" spans="1:12" x14ac:dyDescent="0.25">
      <c r="A589" t="s">
        <v>28</v>
      </c>
      <c r="B589" t="str">
        <f t="shared" si="89"/>
        <v>image_j28</v>
      </c>
      <c r="C589" t="s">
        <v>751</v>
      </c>
      <c r="E589" t="str">
        <f t="shared" si="90"/>
        <v>J28. annotate inline-onlyjpg</v>
      </c>
      <c r="F589" t="str">
        <f t="shared" si="91"/>
        <v>image</v>
      </c>
      <c r="G589" t="str">
        <f t="shared" si="92"/>
        <v>J28. annotate inline-onlyjpg</v>
      </c>
      <c r="H589" t="str">
        <f t="shared" si="93"/>
        <v>image</v>
      </c>
      <c r="J589" t="str">
        <f t="shared" si="88"/>
        <v>annotate inline-onlyjpg</v>
      </c>
      <c r="K589" s="32" t="s">
        <v>182</v>
      </c>
    </row>
    <row r="590" spans="1:12" x14ac:dyDescent="0.25">
      <c r="A590" t="s">
        <v>28</v>
      </c>
      <c r="B590" t="str">
        <f t="shared" si="89"/>
        <v>image_j29</v>
      </c>
      <c r="C590" t="s">
        <v>752</v>
      </c>
      <c r="E590" t="str">
        <f t="shared" si="90"/>
        <v>J29. thumbnail-round-[100]</v>
      </c>
      <c r="F590" t="str">
        <f t="shared" si="91"/>
        <v>image</v>
      </c>
      <c r="G590" t="str">
        <f t="shared" si="92"/>
        <v>J29. thumbnail-round-[100]</v>
      </c>
      <c r="H590" t="str">
        <f t="shared" si="93"/>
        <v>image</v>
      </c>
      <c r="J590" t="str">
        <f t="shared" si="88"/>
        <v>thumbnail-round-[100]</v>
      </c>
      <c r="K590" s="32" t="s">
        <v>418</v>
      </c>
    </row>
    <row r="591" spans="1:12" x14ac:dyDescent="0.25">
      <c r="A591" t="s">
        <v>28</v>
      </c>
      <c r="B591" t="str">
        <f t="shared" si="89"/>
        <v>image_j30</v>
      </c>
      <c r="C591" t="s">
        <v>753</v>
      </c>
      <c r="E591" t="str">
        <f t="shared" si="90"/>
        <v>J30. thumbnail-square-[900 x 600]</v>
      </c>
      <c r="F591" t="str">
        <f t="shared" si="91"/>
        <v>image</v>
      </c>
      <c r="G591" t="str">
        <f t="shared" si="92"/>
        <v>J30. thumbnail-square-[900 x 600]</v>
      </c>
      <c r="H591" t="str">
        <f t="shared" si="93"/>
        <v>image</v>
      </c>
      <c r="J591" t="str">
        <f t="shared" si="88"/>
        <v>thumbnail-square-[900 x 600]</v>
      </c>
      <c r="K591" s="32" t="s">
        <v>414</v>
      </c>
    </row>
    <row r="592" spans="1:12" x14ac:dyDescent="0.25">
      <c r="A592" t="s">
        <v>28</v>
      </c>
      <c r="B592" t="str">
        <f t="shared" si="89"/>
        <v>image_j31</v>
      </c>
      <c r="C592" t="s">
        <v>754</v>
      </c>
      <c r="E592" t="str">
        <f t="shared" si="90"/>
        <v>J31. inline-2in1-thumbnail-round-[200]</v>
      </c>
      <c r="F592" t="str">
        <f t="shared" si="91"/>
        <v>image</v>
      </c>
      <c r="G592" t="str">
        <f t="shared" si="92"/>
        <v>J31. inline-2in1-thumbnail-round-[200]</v>
      </c>
      <c r="H592" t="str">
        <f t="shared" si="93"/>
        <v>image</v>
      </c>
      <c r="J592" t="str">
        <f t="shared" si="88"/>
        <v>inline-2in1-thumbnail-round-[200]</v>
      </c>
      <c r="K592" s="32" t="s">
        <v>415</v>
      </c>
    </row>
    <row r="593" spans="1:11" x14ac:dyDescent="0.25">
      <c r="A593" t="s">
        <v>28</v>
      </c>
      <c r="B593" t="str">
        <f t="shared" si="89"/>
        <v>image_j32</v>
      </c>
      <c r="C593" t="s">
        <v>1265</v>
      </c>
      <c r="E593" t="str">
        <f t="shared" si="90"/>
        <v>J32. inline-2in1-thumbnail-square-[900 x 600]</v>
      </c>
      <c r="F593" t="str">
        <f t="shared" si="91"/>
        <v>image</v>
      </c>
      <c r="G593" t="str">
        <f t="shared" si="92"/>
        <v>J32. inline-2in1-thumbnail-square-[900 x 600]</v>
      </c>
      <c r="H593" t="str">
        <f t="shared" si="93"/>
        <v>image</v>
      </c>
      <c r="J593" t="str">
        <f t="shared" si="88"/>
        <v>inline-2in1-thumbnail-square-[900 x 600]</v>
      </c>
      <c r="K593" s="32" t="s">
        <v>416</v>
      </c>
    </row>
    <row r="594" spans="1:11" x14ac:dyDescent="0.25">
      <c r="A594" t="s">
        <v>28</v>
      </c>
      <c r="B594" t="str">
        <f t="shared" si="89"/>
        <v>image_j33</v>
      </c>
      <c r="C594" t="s">
        <v>1266</v>
      </c>
      <c r="E594" t="str">
        <f t="shared" si="90"/>
        <v>J33. editable</v>
      </c>
      <c r="F594" t="str">
        <f t="shared" si="91"/>
        <v>image</v>
      </c>
      <c r="G594" t="str">
        <f t="shared" si="92"/>
        <v>J33. editable</v>
      </c>
      <c r="H594" t="str">
        <f t="shared" si="93"/>
        <v>image</v>
      </c>
      <c r="J594" t="str">
        <f t="shared" si="88"/>
        <v>editable</v>
      </c>
      <c r="K594" s="32" t="s">
        <v>997</v>
      </c>
    </row>
    <row r="595" spans="1:11" x14ac:dyDescent="0.25">
      <c r="A595" t="s">
        <v>28</v>
      </c>
      <c r="B595" t="str">
        <f t="shared" si="89"/>
        <v>image_j34</v>
      </c>
      <c r="C595" t="s">
        <v>1267</v>
      </c>
      <c r="E595" t="str">
        <f t="shared" si="90"/>
        <v>J34. inline editable</v>
      </c>
      <c r="F595" t="str">
        <f t="shared" si="91"/>
        <v>image</v>
      </c>
      <c r="G595" t="str">
        <f t="shared" si="92"/>
        <v>J34. inline editable</v>
      </c>
      <c r="H595" t="str">
        <f t="shared" si="93"/>
        <v>image</v>
      </c>
      <c r="J595" t="str">
        <f t="shared" si="88"/>
        <v>inline editable</v>
      </c>
      <c r="K595" s="32" t="s">
        <v>996</v>
      </c>
    </row>
    <row r="596" spans="1:11" x14ac:dyDescent="0.25">
      <c r="A596" t="s">
        <v>28</v>
      </c>
      <c r="B596" t="str">
        <f t="shared" si="89"/>
        <v>image_j35</v>
      </c>
      <c r="C596" t="s">
        <v>1268</v>
      </c>
      <c r="E596" t="str">
        <f t="shared" si="90"/>
        <v>J35. selfie</v>
      </c>
      <c r="F596" t="str">
        <f t="shared" si="91"/>
        <v>image</v>
      </c>
      <c r="G596" t="str">
        <f t="shared" si="92"/>
        <v>J35. selfie</v>
      </c>
      <c r="H596" t="str">
        <f t="shared" si="93"/>
        <v>image</v>
      </c>
      <c r="J596" t="str">
        <f t="shared" si="88"/>
        <v>selfie</v>
      </c>
      <c r="K596" s="32" t="s">
        <v>1269</v>
      </c>
    </row>
    <row r="597" spans="1:11" x14ac:dyDescent="0.25">
      <c r="A597" t="s">
        <v>28</v>
      </c>
      <c r="B597" t="str">
        <f t="shared" si="89"/>
        <v>image_j36</v>
      </c>
      <c r="C597" t="s">
        <v>1271</v>
      </c>
      <c r="E597" t="str">
        <f t="shared" si="90"/>
        <v>J36. new</v>
      </c>
      <c r="F597" t="str">
        <f t="shared" si="91"/>
        <v>image</v>
      </c>
      <c r="G597" t="str">
        <f t="shared" si="92"/>
        <v>J36. new</v>
      </c>
      <c r="H597" t="str">
        <f t="shared" si="93"/>
        <v>image</v>
      </c>
      <c r="J597" t="str">
        <f t="shared" si="88"/>
        <v>new</v>
      </c>
      <c r="K597" s="32" t="s">
        <v>1128</v>
      </c>
    </row>
    <row r="598" spans="1:11" x14ac:dyDescent="0.25">
      <c r="A598" t="s">
        <v>28</v>
      </c>
      <c r="B598" t="str">
        <f t="shared" si="89"/>
        <v>image_j37</v>
      </c>
      <c r="C598" t="s">
        <v>1272</v>
      </c>
      <c r="E598" t="str">
        <f t="shared" si="90"/>
        <v>J37. inline-select</v>
      </c>
      <c r="F598" t="str">
        <f t="shared" si="91"/>
        <v>image</v>
      </c>
      <c r="G598" t="str">
        <f t="shared" si="92"/>
        <v>J37. inline-select</v>
      </c>
      <c r="H598" t="str">
        <f t="shared" si="93"/>
        <v>image</v>
      </c>
      <c r="J598" t="str">
        <f t="shared" si="88"/>
        <v>inline-select</v>
      </c>
      <c r="K598" s="32" t="s">
        <v>1376</v>
      </c>
    </row>
    <row r="599" spans="1:11" x14ac:dyDescent="0.25">
      <c r="A599" t="s">
        <v>28</v>
      </c>
      <c r="B599" t="str">
        <f t="shared" si="89"/>
        <v>image_j38</v>
      </c>
      <c r="C599" t="s">
        <v>1364</v>
      </c>
      <c r="E599" t="str">
        <f t="shared" si="90"/>
        <v>J38. measure</v>
      </c>
      <c r="F599" t="str">
        <f t="shared" si="91"/>
        <v>image</v>
      </c>
      <c r="G599" t="str">
        <f t="shared" si="92"/>
        <v>J38. measure</v>
      </c>
      <c r="H599" t="str">
        <f t="shared" si="93"/>
        <v>image</v>
      </c>
      <c r="J599" t="str">
        <f t="shared" si="88"/>
        <v>measure</v>
      </c>
      <c r="K599" s="32" t="s">
        <v>1368</v>
      </c>
    </row>
    <row r="600" spans="1:11" x14ac:dyDescent="0.25">
      <c r="A600" t="s">
        <v>28</v>
      </c>
      <c r="B600" t="str">
        <f t="shared" si="89"/>
        <v>image_j39</v>
      </c>
      <c r="C600" t="s">
        <v>1365</v>
      </c>
      <c r="E600" t="str">
        <f t="shared" si="90"/>
        <v>J39. faceid</v>
      </c>
      <c r="F600" t="str">
        <f t="shared" si="91"/>
        <v>image</v>
      </c>
      <c r="G600" t="str">
        <f t="shared" si="92"/>
        <v>J39. faceid</v>
      </c>
      <c r="H600" t="str">
        <f t="shared" si="93"/>
        <v>image</v>
      </c>
      <c r="J600" t="str">
        <f t="shared" si="88"/>
        <v>faceid</v>
      </c>
      <c r="K600" s="32" t="s">
        <v>1361</v>
      </c>
    </row>
    <row r="601" spans="1:11" x14ac:dyDescent="0.25">
      <c r="A601" t="s">
        <v>28</v>
      </c>
      <c r="B601" t="str">
        <f t="shared" si="89"/>
        <v>image_j40</v>
      </c>
      <c r="C601" t="s">
        <v>1366</v>
      </c>
      <c r="E601" t="str">
        <f t="shared" si="90"/>
        <v>J40. inline faceid</v>
      </c>
      <c r="F601" t="str">
        <f t="shared" si="91"/>
        <v>image</v>
      </c>
      <c r="G601" t="str">
        <f t="shared" si="92"/>
        <v>J40. inline faceid</v>
      </c>
      <c r="H601" t="str">
        <f t="shared" si="93"/>
        <v>image</v>
      </c>
      <c r="J601" t="str">
        <f t="shared" si="88"/>
        <v>inline faceid</v>
      </c>
      <c r="K601" s="32" t="s">
        <v>1363</v>
      </c>
    </row>
    <row r="602" spans="1:11" x14ac:dyDescent="0.25">
      <c r="A602" t="s">
        <v>28</v>
      </c>
      <c r="B602" t="str">
        <f t="shared" si="89"/>
        <v>image_j41</v>
      </c>
      <c r="C602" t="s">
        <v>1367</v>
      </c>
      <c r="E602" t="str">
        <f t="shared" si="90"/>
        <v>J41. annotate faceid</v>
      </c>
      <c r="F602" t="str">
        <f t="shared" si="91"/>
        <v>image</v>
      </c>
      <c r="G602" t="str">
        <f t="shared" si="92"/>
        <v>J41. annotate faceid</v>
      </c>
      <c r="H602" t="str">
        <f t="shared" si="93"/>
        <v>image</v>
      </c>
      <c r="J602" t="str">
        <f t="shared" si="88"/>
        <v>annotate faceid</v>
      </c>
      <c r="K602" s="32" t="s">
        <v>1362</v>
      </c>
    </row>
    <row r="603" spans="1:11" x14ac:dyDescent="0.25">
      <c r="A603" t="s">
        <v>28</v>
      </c>
      <c r="B603" t="str">
        <f t="shared" si="89"/>
        <v>image_j42</v>
      </c>
      <c r="C603" t="s">
        <v>1369</v>
      </c>
      <c r="E603" t="str">
        <f t="shared" si="90"/>
        <v>J42. annotate inline faceid</v>
      </c>
      <c r="F603" t="str">
        <f t="shared" si="91"/>
        <v>image</v>
      </c>
      <c r="G603" t="str">
        <f t="shared" si="92"/>
        <v>J42. annotate inline faceid</v>
      </c>
      <c r="H603" t="str">
        <f t="shared" si="93"/>
        <v>image</v>
      </c>
      <c r="J603" t="str">
        <f t="shared" si="88"/>
        <v>annotate inline faceid</v>
      </c>
      <c r="K603" s="32" t="s">
        <v>1372</v>
      </c>
    </row>
    <row r="604" spans="1:11" x14ac:dyDescent="0.25">
      <c r="A604" t="s">
        <v>28</v>
      </c>
      <c r="B604" t="str">
        <f t="shared" si="89"/>
        <v>image_j43</v>
      </c>
      <c r="C604" t="s">
        <v>1370</v>
      </c>
      <c r="E604" t="str">
        <f t="shared" si="90"/>
        <v>J43. ocr(text_j44,text,1line)</v>
      </c>
      <c r="F604" t="str">
        <f t="shared" si="91"/>
        <v>image</v>
      </c>
      <c r="G604" t="str">
        <f t="shared" si="92"/>
        <v>J43. ocr(text_j44,text,1line)</v>
      </c>
      <c r="H604" t="str">
        <f t="shared" si="93"/>
        <v>image</v>
      </c>
      <c r="J604" t="str">
        <f t="shared" si="88"/>
        <v>ocr(text_j44,text,1line)</v>
      </c>
      <c r="K604" s="32" t="str">
        <f>CONCATENATE("ocr(",B605,",text,1line)")</f>
        <v>ocr(text_j44,text,1line)</v>
      </c>
    </row>
    <row r="605" spans="1:11" x14ac:dyDescent="0.25">
      <c r="A605" t="s">
        <v>22</v>
      </c>
      <c r="B605" t="str">
        <f t="shared" si="89"/>
        <v>text_j44</v>
      </c>
      <c r="C605" t="s">
        <v>1371</v>
      </c>
      <c r="E605" t="str">
        <f t="shared" si="90"/>
        <v xml:space="preserve">J44. </v>
      </c>
      <c r="F605" t="str">
        <f t="shared" si="91"/>
        <v>text</v>
      </c>
      <c r="G605" t="str">
        <f t="shared" si="92"/>
        <v xml:space="preserve">J44. </v>
      </c>
      <c r="H605" t="str">
        <f t="shared" si="93"/>
        <v>text</v>
      </c>
      <c r="J605" t="str">
        <f t="shared" si="88"/>
        <v/>
      </c>
    </row>
    <row r="606" spans="1:11" x14ac:dyDescent="0.25">
      <c r="A606" t="s">
        <v>28</v>
      </c>
      <c r="B606" t="str">
        <f t="shared" si="89"/>
        <v>image_j45</v>
      </c>
      <c r="C606" t="s">
        <v>1373</v>
      </c>
      <c r="E606" t="str">
        <f t="shared" si="90"/>
        <v>J45. ocr(text_j46,number)</v>
      </c>
      <c r="F606" t="str">
        <f t="shared" si="91"/>
        <v>image</v>
      </c>
      <c r="G606" t="str">
        <f t="shared" si="92"/>
        <v>J45. ocr(text_j46,number)</v>
      </c>
      <c r="H606" t="str">
        <f t="shared" si="93"/>
        <v>image</v>
      </c>
      <c r="J606" t="str">
        <f t="shared" si="88"/>
        <v>ocr(text_j46,number)</v>
      </c>
      <c r="K606" s="32" t="str">
        <f>CONCATENATE("ocr(",B607,",number)")</f>
        <v>ocr(text_j46,number)</v>
      </c>
    </row>
    <row r="607" spans="1:11" x14ac:dyDescent="0.25">
      <c r="A607" t="s">
        <v>22</v>
      </c>
      <c r="B607" t="str">
        <f t="shared" si="89"/>
        <v>text_j46</v>
      </c>
      <c r="C607" t="s">
        <v>1374</v>
      </c>
      <c r="E607" t="str">
        <f t="shared" si="90"/>
        <v xml:space="preserve">J46. </v>
      </c>
      <c r="F607" t="str">
        <f t="shared" si="91"/>
        <v>text</v>
      </c>
      <c r="G607" t="str">
        <f t="shared" si="92"/>
        <v xml:space="preserve">J46. </v>
      </c>
      <c r="H607" t="str">
        <f t="shared" si="93"/>
        <v>text</v>
      </c>
      <c r="J607" t="str">
        <f t="shared" si="88"/>
        <v/>
      </c>
    </row>
    <row r="608" spans="1:11" x14ac:dyDescent="0.25">
      <c r="A608" t="s">
        <v>28</v>
      </c>
      <c r="B608" t="str">
        <f t="shared" si="89"/>
        <v>image_j47</v>
      </c>
      <c r="C608" t="s">
        <v>1375</v>
      </c>
      <c r="E608" t="str">
        <f t="shared" si="90"/>
        <v>J47. display{inline-icon, right} inputs{} results{inline-icon, right}</v>
      </c>
      <c r="F608" t="str">
        <f t="shared" si="91"/>
        <v>image</v>
      </c>
      <c r="G608" t="str">
        <f t="shared" si="92"/>
        <v>J47. display{inline-icon, right} inputs{} results{inline-icon, right}</v>
      </c>
      <c r="H608" t="str">
        <f t="shared" si="93"/>
        <v>image</v>
      </c>
      <c r="J608" t="str">
        <f t="shared" si="88"/>
        <v>display{inline-icon, right} inputs{} results{inline-icon, right}</v>
      </c>
      <c r="K608" s="32" t="s">
        <v>1505</v>
      </c>
    </row>
    <row r="609" spans="1:11" x14ac:dyDescent="0.25">
      <c r="A609" t="s">
        <v>28</v>
      </c>
      <c r="B609" t="str">
        <f t="shared" si="89"/>
        <v>image_j48</v>
      </c>
      <c r="C609" t="s">
        <v>1536</v>
      </c>
      <c r="E609" t="str">
        <f t="shared" si="90"/>
        <v>J48. display{inline-icon, right, small} inputs{} results{inline-icon, right, hide(filename)}</v>
      </c>
      <c r="F609" t="str">
        <f t="shared" si="91"/>
        <v>image</v>
      </c>
      <c r="G609" t="str">
        <f t="shared" si="92"/>
        <v>J48. display{inline-icon, right, small} inputs{} results{inline-icon, right, hide(filename)}</v>
      </c>
      <c r="H609" t="str">
        <f t="shared" si="93"/>
        <v>image</v>
      </c>
      <c r="J609" t="str">
        <f t="shared" si="88"/>
        <v>display{inline-icon, right, small} inputs{} results{inline-icon, right, hide(filename)}</v>
      </c>
      <c r="K609" s="32" t="s">
        <v>1506</v>
      </c>
    </row>
    <row r="610" spans="1:11" x14ac:dyDescent="0.25">
      <c r="A610" t="s">
        <v>28</v>
      </c>
      <c r="B610" t="str">
        <f t="shared" si="89"/>
        <v>image_j49</v>
      </c>
      <c r="C610" t="s">
        <v>1537</v>
      </c>
      <c r="E610" t="str">
        <f t="shared" si="90"/>
        <v>J49. display{inline-icon, right, medium} inputs{} results{inline-icon, right, hide(camera)}</v>
      </c>
      <c r="F610" t="str">
        <f t="shared" si="91"/>
        <v>image</v>
      </c>
      <c r="G610" t="str">
        <f t="shared" si="92"/>
        <v>J49. display{inline-icon, right, medium} inputs{} results{inline-icon, right, hide(camera)}</v>
      </c>
      <c r="H610" t="str">
        <f t="shared" si="93"/>
        <v>image</v>
      </c>
      <c r="J610" t="str">
        <f t="shared" si="88"/>
        <v>display{inline-icon, right, medium} inputs{} results{inline-icon, right, hide(camera)}</v>
      </c>
      <c r="K610" s="32" t="s">
        <v>1507</v>
      </c>
    </row>
    <row r="611" spans="1:11" x14ac:dyDescent="0.25">
      <c r="A611" t="s">
        <v>28</v>
      </c>
      <c r="B611" t="str">
        <f t="shared" si="89"/>
        <v>image_j50</v>
      </c>
      <c r="C611" t="s">
        <v>1538</v>
      </c>
      <c r="E611" t="str">
        <f t="shared" si="90"/>
        <v>J50. display{inline-icon, right, large} inputs{back_camera} results{inline-icon, right, hide(filename, camera)}</v>
      </c>
      <c r="F611" t="str">
        <f t="shared" si="91"/>
        <v>image</v>
      </c>
      <c r="G611" t="str">
        <f t="shared" si="92"/>
        <v>J50. display{inline-icon, right, large} inputs{back_camera} results{inline-icon, right, hide(filename, camera)}</v>
      </c>
      <c r="H611" t="str">
        <f t="shared" si="93"/>
        <v>image</v>
      </c>
      <c r="J611" t="s">
        <v>1608</v>
      </c>
      <c r="K611" s="32" t="s">
        <v>1508</v>
      </c>
    </row>
    <row r="612" spans="1:11" x14ac:dyDescent="0.25">
      <c r="A612" t="s">
        <v>28</v>
      </c>
      <c r="B612" t="str">
        <f>CONCATENATE(SUBSTITUTE(A612," ","_"),"_",C612)</f>
        <v>image_j51</v>
      </c>
      <c r="C612" t="s">
        <v>1539</v>
      </c>
      <c r="E612" t="str">
        <f t="shared" si="90"/>
        <v>J51. display{inline-icon, right} inputs{front_camera} results{inline-icon, right, size-400}</v>
      </c>
      <c r="F612" t="str">
        <f t="shared" si="91"/>
        <v>image</v>
      </c>
      <c r="G612" t="str">
        <f t="shared" si="92"/>
        <v>J51. display{inline-icon, right} inputs{front_camera} results{inline-icon, right, size-400}</v>
      </c>
      <c r="H612" t="str">
        <f t="shared" si="93"/>
        <v>image</v>
      </c>
      <c r="J612" t="str">
        <f>TRIM(CONCATENATE(K612," ",L612," ",M612))</f>
        <v>display{inline-icon, right} inputs{front_camera} results{inline-icon, right, size-400}</v>
      </c>
      <c r="K612" s="32" t="s">
        <v>1511</v>
      </c>
    </row>
    <row r="613" spans="1:11" x14ac:dyDescent="0.25">
      <c r="A613" t="s">
        <v>28</v>
      </c>
      <c r="B613" t="str">
        <f t="shared" ref="B613:B619" si="94">CONCATENATE(SUBSTITUTE(A613," ","_"),"_",C613)</f>
        <v>image_j52</v>
      </c>
      <c r="C613" t="s">
        <v>1540</v>
      </c>
      <c r="E613" t="str">
        <f t="shared" si="90"/>
        <v>J52. display{inline-icon, right} inputs{signature} results{inline-icon, right}</v>
      </c>
      <c r="F613" t="str">
        <f t="shared" si="91"/>
        <v>image</v>
      </c>
      <c r="G613" t="str">
        <f t="shared" si="92"/>
        <v>J52. display{inline-icon, right} inputs{signature} results{inline-icon, right}</v>
      </c>
      <c r="H613" t="str">
        <f t="shared" si="93"/>
        <v>image</v>
      </c>
      <c r="J613" t="str">
        <f t="shared" ref="J613:J619" si="95">TRIM(CONCATENATE(K613," ",L613," ",M613))</f>
        <v>display{inline-icon, right} inputs{signature} results{inline-icon, right}</v>
      </c>
      <c r="K613" s="32" t="s">
        <v>1510</v>
      </c>
    </row>
    <row r="614" spans="1:11" x14ac:dyDescent="0.25">
      <c r="A614" t="s">
        <v>28</v>
      </c>
      <c r="B614" t="str">
        <f t="shared" si="94"/>
        <v>image_j53</v>
      </c>
      <c r="C614" t="s">
        <v>1541</v>
      </c>
      <c r="E614" t="str">
        <f t="shared" si="90"/>
        <v>J53. display{inline-icon, right, small} inputs{signature} results{inline-icon, right, hide(filename)}</v>
      </c>
      <c r="F614" t="str">
        <f t="shared" si="91"/>
        <v>image</v>
      </c>
      <c r="G614" t="str">
        <f t="shared" si="92"/>
        <v>J53. display{inline-icon, right, small} inputs{signature} results{inline-icon, right, hide(filename)}</v>
      </c>
      <c r="H614" t="str">
        <f t="shared" si="93"/>
        <v>image</v>
      </c>
      <c r="J614" t="str">
        <f t="shared" si="95"/>
        <v>display{inline-icon, right, small} inputs{signature} results{inline-icon, right, hide(filename)}</v>
      </c>
      <c r="K614" s="32" t="s">
        <v>1512</v>
      </c>
    </row>
    <row r="615" spans="1:11" x14ac:dyDescent="0.25">
      <c r="A615" t="s">
        <v>28</v>
      </c>
      <c r="B615" t="str">
        <f t="shared" si="94"/>
        <v>image_j54</v>
      </c>
      <c r="C615" t="s">
        <v>1542</v>
      </c>
      <c r="E615" t="str">
        <f t="shared" si="90"/>
        <v>J54. display{inline-icon, right, medium} inputs{signature} results{inline-icon, right, hide(camera)}</v>
      </c>
      <c r="F615" t="str">
        <f t="shared" si="91"/>
        <v>image</v>
      </c>
      <c r="G615" t="str">
        <f t="shared" si="92"/>
        <v>J54. display{inline-icon, right, medium} inputs{signature} results{inline-icon, right, hide(camera)}</v>
      </c>
      <c r="H615" t="str">
        <f t="shared" si="93"/>
        <v>image</v>
      </c>
      <c r="J615" t="str">
        <f t="shared" si="95"/>
        <v>display{inline-icon, right, medium} inputs{signature} results{inline-icon, right, hide(camera)}</v>
      </c>
      <c r="K615" s="32" t="s">
        <v>1513</v>
      </c>
    </row>
    <row r="616" spans="1:11" x14ac:dyDescent="0.25">
      <c r="A616" t="s">
        <v>28</v>
      </c>
      <c r="B616" t="str">
        <f t="shared" si="94"/>
        <v>image_j55</v>
      </c>
      <c r="C616" t="s">
        <v>1543</v>
      </c>
      <c r="E616" t="str">
        <f t="shared" si="90"/>
        <v>J55. display{inline-icon, right, large} inputs{signature} results{inline-icon, right, hide(filename, camera)}</v>
      </c>
      <c r="F616" t="str">
        <f t="shared" si="91"/>
        <v>image</v>
      </c>
      <c r="G616" t="str">
        <f t="shared" si="92"/>
        <v>J55. display{inline-icon, right, large} inputs{signature} results{inline-icon, right, hide(filename, camera)}</v>
      </c>
      <c r="H616" t="str">
        <f t="shared" si="93"/>
        <v>image</v>
      </c>
      <c r="J616" t="str">
        <f t="shared" si="95"/>
        <v>display{inline-icon, right, large} inputs{signature} results{inline-icon, right, hide(filename, camera)}</v>
      </c>
      <c r="K616" s="32" t="s">
        <v>1515</v>
      </c>
    </row>
    <row r="617" spans="1:11" x14ac:dyDescent="0.25">
      <c r="A617" t="s">
        <v>28</v>
      </c>
      <c r="B617" t="str">
        <f t="shared" si="94"/>
        <v>image_j56</v>
      </c>
      <c r="C617" t="s">
        <v>1544</v>
      </c>
      <c r="E617" t="str">
        <f t="shared" si="90"/>
        <v>J56. display{inline-icon, right} inputs{draw} results{inline-icon, right}</v>
      </c>
      <c r="F617" t="str">
        <f t="shared" si="91"/>
        <v>image</v>
      </c>
      <c r="G617" t="str">
        <f t="shared" si="92"/>
        <v>J56. display{inline-icon, right} inputs{draw} results{inline-icon, right}</v>
      </c>
      <c r="H617" t="str">
        <f t="shared" si="93"/>
        <v>image</v>
      </c>
      <c r="J617" t="str">
        <f t="shared" si="95"/>
        <v>display{inline-icon, right} inputs{draw} results{inline-icon, right}</v>
      </c>
      <c r="K617" s="32" t="s">
        <v>1516</v>
      </c>
    </row>
    <row r="618" spans="1:11" x14ac:dyDescent="0.25">
      <c r="A618" t="s">
        <v>28</v>
      </c>
      <c r="B618" t="str">
        <f t="shared" si="94"/>
        <v>image_j57</v>
      </c>
      <c r="C618" t="s">
        <v>1545</v>
      </c>
      <c r="E618" t="str">
        <f t="shared" si="90"/>
        <v>J57. display{inline-icon, right, small} inputs{draw} results{inline-icon, right, hide(filename)}</v>
      </c>
      <c r="F618" t="str">
        <f t="shared" si="91"/>
        <v>image</v>
      </c>
      <c r="G618" t="str">
        <f t="shared" si="92"/>
        <v>J57. display{inline-icon, right, small} inputs{draw} results{inline-icon, right, hide(filename)}</v>
      </c>
      <c r="H618" t="str">
        <f t="shared" si="93"/>
        <v>image</v>
      </c>
      <c r="J618" t="str">
        <f t="shared" si="95"/>
        <v>display{inline-icon, right, small} inputs{draw} results{inline-icon, right, hide(filename)}</v>
      </c>
      <c r="K618" s="32" t="s">
        <v>1517</v>
      </c>
    </row>
    <row r="619" spans="1:11" x14ac:dyDescent="0.25">
      <c r="A619" t="s">
        <v>28</v>
      </c>
      <c r="B619" t="str">
        <f t="shared" si="94"/>
        <v>image_j58</v>
      </c>
      <c r="C619" t="s">
        <v>1546</v>
      </c>
      <c r="E619" t="str">
        <f t="shared" si="90"/>
        <v>J58. display{inline-icon, right, medium} inputs{draw} results{inline-icon, right, hide(camera)}</v>
      </c>
      <c r="F619" t="str">
        <f t="shared" si="91"/>
        <v>image</v>
      </c>
      <c r="G619" t="str">
        <f t="shared" si="92"/>
        <v>J58. display{inline-icon, right, medium} inputs{draw} results{inline-icon, right, hide(camera)}</v>
      </c>
      <c r="H619" t="str">
        <f t="shared" si="93"/>
        <v>image</v>
      </c>
      <c r="J619" t="str">
        <f t="shared" si="95"/>
        <v>display{inline-icon, right, medium} inputs{draw} results{inline-icon, right, hide(camera)}</v>
      </c>
      <c r="K619" s="32" t="s">
        <v>1518</v>
      </c>
    </row>
    <row r="620" spans="1:11" x14ac:dyDescent="0.25">
      <c r="A620" t="s">
        <v>28</v>
      </c>
      <c r="B620" t="str">
        <f>CONCATENATE(SUBSTITUTE(A620," ","_"),"_",C620)</f>
        <v>image_j59</v>
      </c>
      <c r="C620" t="s">
        <v>1547</v>
      </c>
      <c r="E620" t="str">
        <f t="shared" si="90"/>
        <v>J59. display{inline-icon, right, large} inputs{draw} results{inline-icon, right, hide(filename, camera)}</v>
      </c>
      <c r="F620" t="str">
        <f t="shared" si="91"/>
        <v>image</v>
      </c>
      <c r="G620" t="str">
        <f t="shared" si="92"/>
        <v>J59. display{inline-icon, right, large} inputs{draw} results{inline-icon, right, hide(filename, camera)}</v>
      </c>
      <c r="H620" t="str">
        <f t="shared" si="93"/>
        <v>image</v>
      </c>
      <c r="J620" t="str">
        <f>TRIM(CONCATENATE(K620," ",L620," ",M620))</f>
        <v>display{inline-icon, right, large} inputs{draw} results{inline-icon, right, hide(filename, camera)}</v>
      </c>
      <c r="K620" s="32" t="s">
        <v>1519</v>
      </c>
    </row>
    <row r="621" spans="1:11" x14ac:dyDescent="0.25">
      <c r="A621" t="s">
        <v>28</v>
      </c>
      <c r="B621" t="str">
        <f t="shared" ref="B621:B623" si="96">CONCATENATE(SUBSTITUTE(A621," ","_"),"_",C621)</f>
        <v>image_j60</v>
      </c>
      <c r="C621" t="s">
        <v>1548</v>
      </c>
      <c r="E621" t="str">
        <f t="shared" si="90"/>
        <v>J60. display{inline-icon, right} inputs{annotate} results{inline-icon, right}</v>
      </c>
      <c r="F621" t="str">
        <f t="shared" si="91"/>
        <v>image</v>
      </c>
      <c r="G621" t="str">
        <f t="shared" si="92"/>
        <v>J60. display{inline-icon, right} inputs{annotate} results{inline-icon, right}</v>
      </c>
      <c r="H621" t="str">
        <f t="shared" si="93"/>
        <v>image</v>
      </c>
      <c r="J621" t="str">
        <f t="shared" ref="J621:J623" si="97">TRIM(CONCATENATE(K621," ",L621," ",M621))</f>
        <v>display{inline-icon, right} inputs{annotate} results{inline-icon, right}</v>
      </c>
      <c r="K621" s="32" t="s">
        <v>1521</v>
      </c>
    </row>
    <row r="622" spans="1:11" x14ac:dyDescent="0.25">
      <c r="A622" t="s">
        <v>28</v>
      </c>
      <c r="B622" t="str">
        <f t="shared" si="96"/>
        <v>image_j61</v>
      </c>
      <c r="C622" t="s">
        <v>1549</v>
      </c>
      <c r="E622" t="str">
        <f t="shared" si="90"/>
        <v>J61. display{inline-icon, right, small} inputs{annotate, front_camera} results{inline-icon, right, hide(filename)}</v>
      </c>
      <c r="F622" t="str">
        <f t="shared" si="91"/>
        <v>image</v>
      </c>
      <c r="G622" t="str">
        <f t="shared" si="92"/>
        <v>J61. display{inline-icon, right, small} inputs{annotate, front_camera} results{inline-icon, right, hide(filename)}</v>
      </c>
      <c r="H622" t="str">
        <f t="shared" si="93"/>
        <v>image</v>
      </c>
      <c r="J622" t="str">
        <f t="shared" si="97"/>
        <v>display{inline-icon, right, small} inputs{annotate, front_camera} results{inline-icon, right, hide(filename)}</v>
      </c>
      <c r="K622" s="32" t="s">
        <v>1529</v>
      </c>
    </row>
    <row r="623" spans="1:11" x14ac:dyDescent="0.25">
      <c r="A623" t="s">
        <v>28</v>
      </c>
      <c r="B623" t="str">
        <f t="shared" si="96"/>
        <v>image_j62</v>
      </c>
      <c r="C623" t="s">
        <v>1550</v>
      </c>
      <c r="E623" t="str">
        <f t="shared" si="90"/>
        <v>J62. display{inline-icon, right, medium} inputs{annotate, back_camera} results{inline-icon, right, hide(camera)}</v>
      </c>
      <c r="F623" t="str">
        <f t="shared" si="91"/>
        <v>image</v>
      </c>
      <c r="G623" t="str">
        <f t="shared" si="92"/>
        <v>J62. display{inline-icon, right, medium} inputs{annotate, back_camera} results{inline-icon, right, hide(camera)}</v>
      </c>
      <c r="H623" t="str">
        <f t="shared" si="93"/>
        <v>image</v>
      </c>
      <c r="J623" t="str">
        <f t="shared" si="97"/>
        <v>display{inline-icon, right, medium} inputs{annotate, back_camera} results{inline-icon, right, hide(camera)}</v>
      </c>
      <c r="K623" s="32" t="s">
        <v>1530</v>
      </c>
    </row>
    <row r="624" spans="1:11" x14ac:dyDescent="0.25">
      <c r="A624" t="s">
        <v>28</v>
      </c>
      <c r="B624" t="str">
        <f>CONCATENATE(SUBSTITUTE(A624," ","_"),"_",C624)</f>
        <v>image_j63</v>
      </c>
      <c r="C624" t="s">
        <v>1551</v>
      </c>
      <c r="E624" t="str">
        <f>CONCATENATE(PROPER(C624),". ",J624)</f>
        <v>J63. display{inline-icon, right, large} inputs{annotate} results{inline-icon, right, hide(filename, camera)}</v>
      </c>
      <c r="F624" t="str">
        <f>A624</f>
        <v>image</v>
      </c>
      <c r="G624" t="str">
        <f>CONCATENATE(PROPER(C624),". ",J624)</f>
        <v>J63. display{inline-icon, right, large} inputs{annotate} results{inline-icon, right, hide(filename, camera)}</v>
      </c>
      <c r="H624" t="str">
        <f>A624</f>
        <v>image</v>
      </c>
      <c r="J624" t="str">
        <f>TRIM(CONCATENATE(K624," ",L624," ",M624))</f>
        <v>display{inline-icon, right, large} inputs{annotate} results{inline-icon, right, hide(filename, camera)}</v>
      </c>
      <c r="K624" s="32" t="s">
        <v>1522</v>
      </c>
    </row>
    <row r="625" spans="1:11" x14ac:dyDescent="0.25">
      <c r="A625" t="s">
        <v>28</v>
      </c>
      <c r="B625" t="str">
        <f t="shared" ref="B625:B627" si="98">CONCATENATE(SUBSTITUTE(A625," ","_"),"_",C625)</f>
        <v>image_j64</v>
      </c>
      <c r="C625" t="s">
        <v>1552</v>
      </c>
      <c r="E625" t="str">
        <f t="shared" ref="E625:E638" si="99">CONCATENATE(PROPER(C625),". ",J625)</f>
        <v>J64. display{inline-icon, right} inputs{editable} results{inline-icon, right}</v>
      </c>
      <c r="F625" t="str">
        <f t="shared" ref="F625:F638" si="100">A625</f>
        <v>image</v>
      </c>
      <c r="G625" t="str">
        <f t="shared" ref="G625:G638" si="101">CONCATENATE(PROPER(C625),". ",J625)</f>
        <v>J64. display{inline-icon, right} inputs{editable} results{inline-icon, right}</v>
      </c>
      <c r="H625" t="str">
        <f t="shared" ref="H625:H638" si="102">A625</f>
        <v>image</v>
      </c>
      <c r="J625" t="str">
        <f t="shared" ref="J625:J627" si="103">TRIM(CONCATENATE(K625," ",L625," ",M625))</f>
        <v>display{inline-icon, right} inputs{editable} results{inline-icon, right}</v>
      </c>
      <c r="K625" s="32" t="s">
        <v>1524</v>
      </c>
    </row>
    <row r="626" spans="1:11" x14ac:dyDescent="0.25">
      <c r="A626" t="s">
        <v>28</v>
      </c>
      <c r="B626" t="str">
        <f t="shared" si="98"/>
        <v>image_j65</v>
      </c>
      <c r="C626" t="s">
        <v>1553</v>
      </c>
      <c r="E626" t="str">
        <f t="shared" si="99"/>
        <v>J65. display{inline-icon, right, small} inputs{editable, front_camera} results{inline-icon, right, hide(filename)}</v>
      </c>
      <c r="F626" t="str">
        <f t="shared" si="100"/>
        <v>image</v>
      </c>
      <c r="G626" t="str">
        <f t="shared" si="101"/>
        <v>J65. display{inline-icon, right, small} inputs{editable, front_camera} results{inline-icon, right, hide(filename)}</v>
      </c>
      <c r="H626" t="str">
        <f t="shared" si="102"/>
        <v>image</v>
      </c>
      <c r="J626" t="str">
        <f t="shared" si="103"/>
        <v>display{inline-icon, right, small} inputs{editable, front_camera} results{inline-icon, right, hide(filename)}</v>
      </c>
      <c r="K626" s="32" t="s">
        <v>1527</v>
      </c>
    </row>
    <row r="627" spans="1:11" x14ac:dyDescent="0.25">
      <c r="A627" t="s">
        <v>28</v>
      </c>
      <c r="B627" t="str">
        <f t="shared" si="98"/>
        <v>image_j66</v>
      </c>
      <c r="C627" t="s">
        <v>1554</v>
      </c>
      <c r="E627" t="str">
        <f t="shared" si="99"/>
        <v>J66. display{inline-icon, right, medium} inputs{editable, back_camera} results{inline-icon, right, hide(camera)}</v>
      </c>
      <c r="F627" t="str">
        <f t="shared" si="100"/>
        <v>image</v>
      </c>
      <c r="G627" t="str">
        <f t="shared" si="101"/>
        <v>J66. display{inline-icon, right, medium} inputs{editable, back_camera} results{inline-icon, right, hide(camera)}</v>
      </c>
      <c r="H627" t="str">
        <f t="shared" si="102"/>
        <v>image</v>
      </c>
      <c r="J627" t="str">
        <f t="shared" si="103"/>
        <v>display{inline-icon, right, medium} inputs{editable, back_camera} results{inline-icon, right, hide(camera)}</v>
      </c>
      <c r="K627" s="32" t="s">
        <v>1528</v>
      </c>
    </row>
    <row r="628" spans="1:11" x14ac:dyDescent="0.25">
      <c r="A628" t="s">
        <v>28</v>
      </c>
      <c r="B628" t="str">
        <f>CONCATENATE(SUBSTITUTE(A628," ","_"),"_",C628)</f>
        <v>image_j67</v>
      </c>
      <c r="C628" t="s">
        <v>1555</v>
      </c>
      <c r="E628" t="str">
        <f t="shared" si="99"/>
        <v>J67. display{inline-icon, right, large} inputs{editable} results{inline-icon, right, hide(filename, camera)}</v>
      </c>
      <c r="F628" t="str">
        <f t="shared" si="100"/>
        <v>image</v>
      </c>
      <c r="G628" t="str">
        <f t="shared" si="101"/>
        <v>J67. display{inline-icon, right, large} inputs{editable} results{inline-icon, right, hide(filename, camera)}</v>
      </c>
      <c r="H628" t="str">
        <f t="shared" si="102"/>
        <v>image</v>
      </c>
      <c r="J628" t="str">
        <f>TRIM(CONCATENATE(K628," ",L628," ",M628))</f>
        <v>display{inline-icon, right, large} inputs{editable} results{inline-icon, right, hide(filename, camera)}</v>
      </c>
      <c r="K628" s="32" t="s">
        <v>1525</v>
      </c>
    </row>
    <row r="629" spans="1:11" x14ac:dyDescent="0.25">
      <c r="A629" t="s">
        <v>28</v>
      </c>
      <c r="B629" t="str">
        <f t="shared" ref="B629:B638" si="104">CONCATENATE(SUBSTITUTE(A629," ","_"),"_",C629)</f>
        <v>image_j68</v>
      </c>
      <c r="C629" t="s">
        <v>1556</v>
      </c>
      <c r="E629" t="str">
        <f t="shared" si="99"/>
        <v>J68. display{inline-icon, right} inputs{2in1} results{inline-icon, right}</v>
      </c>
      <c r="F629" t="str">
        <f t="shared" si="100"/>
        <v>image</v>
      </c>
      <c r="G629" t="str">
        <f t="shared" si="101"/>
        <v>J68. display{inline-icon, right} inputs{2in1} results{inline-icon, right}</v>
      </c>
      <c r="H629" t="str">
        <f t="shared" si="102"/>
        <v>image</v>
      </c>
      <c r="J629" t="str">
        <f t="shared" ref="J629:J679" si="105">TRIM(CONCATENATE(K629," ",L629," ",M629))</f>
        <v>display{inline-icon, right} inputs{2in1} results{inline-icon, right}</v>
      </c>
      <c r="K629" s="32" t="s">
        <v>1531</v>
      </c>
    </row>
    <row r="630" spans="1:11" x14ac:dyDescent="0.25">
      <c r="A630" t="s">
        <v>28</v>
      </c>
      <c r="B630" t="str">
        <f t="shared" si="104"/>
        <v>image_j69</v>
      </c>
      <c r="C630" t="s">
        <v>1557</v>
      </c>
      <c r="E630" t="str">
        <f t="shared" si="99"/>
        <v>J69. display{inline-icon, right, small} inputs{2in1, front_camera} results{inline-icon, right, hide(filename)}</v>
      </c>
      <c r="F630" t="str">
        <f t="shared" si="100"/>
        <v>image</v>
      </c>
      <c r="G630" t="str">
        <f t="shared" si="101"/>
        <v>J69. display{inline-icon, right, small} inputs{2in1, front_camera} results{inline-icon, right, hide(filename)}</v>
      </c>
      <c r="H630" t="str">
        <f t="shared" si="102"/>
        <v>image</v>
      </c>
      <c r="J630" t="str">
        <f t="shared" si="105"/>
        <v>display{inline-icon, right, small} inputs{2in1, front_camera} results{inline-icon, right, hide(filename)}</v>
      </c>
      <c r="K630" s="32" t="s">
        <v>1532</v>
      </c>
    </row>
    <row r="631" spans="1:11" x14ac:dyDescent="0.25">
      <c r="A631" t="s">
        <v>28</v>
      </c>
      <c r="B631" t="str">
        <f t="shared" si="104"/>
        <v>image_j70</v>
      </c>
      <c r="C631" t="s">
        <v>1558</v>
      </c>
      <c r="E631" t="str">
        <f t="shared" si="99"/>
        <v>J70. display{inline-icon, right, medium} inputs{2in1, back_camera} results{inline-icon, right, hide(camera)}</v>
      </c>
      <c r="F631" t="str">
        <f t="shared" si="100"/>
        <v>image</v>
      </c>
      <c r="G631" t="str">
        <f t="shared" si="101"/>
        <v>J70. display{inline-icon, right, medium} inputs{2in1, back_camera} results{inline-icon, right, hide(camera)}</v>
      </c>
      <c r="H631" t="str">
        <f t="shared" si="102"/>
        <v>image</v>
      </c>
      <c r="J631" t="str">
        <f t="shared" si="105"/>
        <v>display{inline-icon, right, medium} inputs{2in1, back_camera} results{inline-icon, right, hide(camera)}</v>
      </c>
      <c r="K631" s="32" t="s">
        <v>1533</v>
      </c>
    </row>
    <row r="632" spans="1:11" x14ac:dyDescent="0.25">
      <c r="A632" t="s">
        <v>28</v>
      </c>
      <c r="B632" t="str">
        <f t="shared" si="104"/>
        <v>image_j71</v>
      </c>
      <c r="C632" t="s">
        <v>1559</v>
      </c>
      <c r="E632" t="str">
        <f t="shared" si="99"/>
        <v>J71. display{inline-icon, right, large} inputs{2in1} results{inline-icon, right, hide(filename, camera)}</v>
      </c>
      <c r="F632" t="str">
        <f t="shared" si="100"/>
        <v>image</v>
      </c>
      <c r="G632" t="str">
        <f t="shared" si="101"/>
        <v>J71. display{inline-icon, right, large} inputs{2in1} results{inline-icon, right, hide(filename, camera)}</v>
      </c>
      <c r="H632" t="str">
        <f t="shared" si="102"/>
        <v>image</v>
      </c>
      <c r="J632" t="str">
        <f t="shared" si="105"/>
        <v>display{inline-icon, right, large} inputs{2in1} results{inline-icon, right, hide(filename, camera)}</v>
      </c>
      <c r="K632" s="32" t="s">
        <v>1534</v>
      </c>
    </row>
    <row r="633" spans="1:11" x14ac:dyDescent="0.25">
      <c r="A633" t="s">
        <v>28</v>
      </c>
      <c r="B633" t="str">
        <f>CONCATENATE(SUBSTITUTE(A633," ","_"),"_",C633)</f>
        <v>image_j72</v>
      </c>
      <c r="C633" t="s">
        <v>1560</v>
      </c>
      <c r="E633" t="str">
        <f>CONCATENATE(PROPER(C633),". ",J633)</f>
        <v>J72. display{inline-icon, right, &lt;#0099FF/&gt;, large} inputs{back_camera} results{inline-icon, right, hide(filename), size-400}</v>
      </c>
      <c r="F633" t="str">
        <f>A633</f>
        <v>image</v>
      </c>
      <c r="G633" t="str">
        <f>CONCATENATE(PROPER(C633),". ",J633)</f>
        <v>J72. display{inline-icon, right, &lt;#0099FF/&gt;, large} inputs{back_camera} results{inline-icon, right, hide(filename), size-400}</v>
      </c>
      <c r="H633" t="str">
        <f>A633</f>
        <v>image</v>
      </c>
      <c r="J633" t="str">
        <f>TRIM(CONCATENATE(K633," ",L633," ",M633))</f>
        <v>display{inline-icon, right, &lt;#0099FF/&gt;, large} inputs{back_camera} results{inline-icon, right, hide(filename), size-400}</v>
      </c>
      <c r="K633" s="32" t="s">
        <v>1509</v>
      </c>
    </row>
    <row r="634" spans="1:11" x14ac:dyDescent="0.25">
      <c r="A634" t="s">
        <v>28</v>
      </c>
      <c r="B634" t="str">
        <f t="shared" ref="B634" si="106">CONCATENATE(SUBSTITUTE(A634," ","_"),"_",C634)</f>
        <v>image_j73</v>
      </c>
      <c r="C634" t="s">
        <v>1561</v>
      </c>
      <c r="E634" t="str">
        <f t="shared" ref="E634" si="107">CONCATENATE(PROPER(C634),". ",J634)</f>
        <v>J73. display{inline-icon, right, &lt;#0099FF/&gt;, large} inputs{signature} results{inline-icon, right, hide(filename), size-400}</v>
      </c>
      <c r="F634" t="str">
        <f t="shared" ref="F634" si="108">A634</f>
        <v>image</v>
      </c>
      <c r="G634" t="str">
        <f t="shared" ref="G634" si="109">CONCATENATE(PROPER(C634),". ",J634)</f>
        <v>J73. display{inline-icon, right, &lt;#0099FF/&gt;, large} inputs{signature} results{inline-icon, right, hide(filename), size-400}</v>
      </c>
      <c r="H634" t="str">
        <f t="shared" ref="H634" si="110">A634</f>
        <v>image</v>
      </c>
      <c r="J634" t="str">
        <f t="shared" ref="J634" si="111">TRIM(CONCATENATE(K634," ",L634," ",M634))</f>
        <v>display{inline-icon, right, &lt;#0099FF/&gt;, large} inputs{signature} results{inline-icon, right, hide(filename), size-400}</v>
      </c>
      <c r="K634" s="32" t="s">
        <v>1514</v>
      </c>
    </row>
    <row r="635" spans="1:11" x14ac:dyDescent="0.25">
      <c r="A635" t="s">
        <v>28</v>
      </c>
      <c r="B635" t="str">
        <f>CONCATENATE(SUBSTITUTE(A635," ","_"),"_",C635)</f>
        <v>image_j74</v>
      </c>
      <c r="C635" t="s">
        <v>1562</v>
      </c>
      <c r="E635" t="str">
        <f>CONCATENATE(PROPER(C635),". ",J635)</f>
        <v>J74. display{inline-icon, right, &lt;#0099FF/&gt;, large} inputs{draw} results{inline-icon, right, hide(filename), size-400}</v>
      </c>
      <c r="F635" t="str">
        <f>A635</f>
        <v>image</v>
      </c>
      <c r="G635" t="str">
        <f>CONCATENATE(PROPER(C635),". ",J635)</f>
        <v>J74. display{inline-icon, right, &lt;#0099FF/&gt;, large} inputs{draw} results{inline-icon, right, hide(filename), size-400}</v>
      </c>
      <c r="H635" t="str">
        <f>A635</f>
        <v>image</v>
      </c>
      <c r="J635" t="str">
        <f>TRIM(CONCATENATE(K635," ",L635," ",M635))</f>
        <v>display{inline-icon, right, &lt;#0099FF/&gt;, large} inputs{draw} results{inline-icon, right, hide(filename), size-400}</v>
      </c>
      <c r="K635" s="32" t="s">
        <v>1520</v>
      </c>
    </row>
    <row r="636" spans="1:11" x14ac:dyDescent="0.25">
      <c r="A636" t="s">
        <v>28</v>
      </c>
      <c r="B636" t="str">
        <f>CONCATENATE(SUBSTITUTE(A636," ","_"),"_",C636)</f>
        <v>image_j75</v>
      </c>
      <c r="C636" t="s">
        <v>1563</v>
      </c>
      <c r="E636" t="str">
        <f>CONCATENATE(PROPER(C636),". ",J636)</f>
        <v>J75. display{inline-icon, right, &lt;#0099FF/&gt;, large} inputs{annotate} results{inline-icon, right, hide(filename), size-400}</v>
      </c>
      <c r="F636" t="str">
        <f>A636</f>
        <v>image</v>
      </c>
      <c r="G636" t="str">
        <f>CONCATENATE(PROPER(C636),". ",J636)</f>
        <v>J75. display{inline-icon, right, &lt;#0099FF/&gt;, large} inputs{annotate} results{inline-icon, right, hide(filename), size-400}</v>
      </c>
      <c r="H636" t="str">
        <f>A636</f>
        <v>image</v>
      </c>
      <c r="J636" t="str">
        <f>TRIM(CONCATENATE(K636," ",L636," ",M636))</f>
        <v>display{inline-icon, right, &lt;#0099FF/&gt;, large} inputs{annotate} results{inline-icon, right, hide(filename), size-400}</v>
      </c>
      <c r="K636" s="32" t="s">
        <v>1523</v>
      </c>
    </row>
    <row r="637" spans="1:11" x14ac:dyDescent="0.25">
      <c r="A637" t="s">
        <v>28</v>
      </c>
      <c r="B637" t="str">
        <f>CONCATENATE(SUBSTITUTE(A637," ","_"),"_",C637)</f>
        <v>image_j76</v>
      </c>
      <c r="C637" t="s">
        <v>1564</v>
      </c>
      <c r="E637" t="str">
        <f>CONCATENATE(PROPER(C637),". ",J637)</f>
        <v>J76. display{inline-icon, right, &lt;#0099FF/&gt;, large} inputs{editable} results{inline-icon, right, hide(filename), size-400}</v>
      </c>
      <c r="F637" t="str">
        <f>A637</f>
        <v>image</v>
      </c>
      <c r="G637" t="str">
        <f>CONCATENATE(PROPER(C637),". ",J637)</f>
        <v>J76. display{inline-icon, right, &lt;#0099FF/&gt;, large} inputs{editable} results{inline-icon, right, hide(filename), size-400}</v>
      </c>
      <c r="H637" t="str">
        <f>A637</f>
        <v>image</v>
      </c>
      <c r="J637" t="str">
        <f>TRIM(CONCATENATE(K637," ",L637," ",M637))</f>
        <v>display{inline-icon, right, &lt;#0099FF/&gt;, large} inputs{editable} results{inline-icon, right, hide(filename), size-400}</v>
      </c>
      <c r="K637" s="32" t="s">
        <v>1526</v>
      </c>
    </row>
    <row r="638" spans="1:11" x14ac:dyDescent="0.25">
      <c r="A638" t="s">
        <v>28</v>
      </c>
      <c r="B638" t="str">
        <f t="shared" si="104"/>
        <v>image_j77</v>
      </c>
      <c r="C638" t="s">
        <v>1565</v>
      </c>
      <c r="E638" t="str">
        <f t="shared" si="99"/>
        <v>J77. display{inline-icon, right, &lt;#0099FF/&gt;, large} inputs{2in1} results{inline-icon, right, hide(filename), size-400}</v>
      </c>
      <c r="F638" t="str">
        <f t="shared" si="100"/>
        <v>image</v>
      </c>
      <c r="G638" t="str">
        <f t="shared" si="101"/>
        <v>J77. display{inline-icon, right, &lt;#0099FF/&gt;, large} inputs{2in1} results{inline-icon, right, hide(filename), size-400}</v>
      </c>
      <c r="H638" t="str">
        <f t="shared" si="102"/>
        <v>image</v>
      </c>
      <c r="J638" t="str">
        <f t="shared" si="105"/>
        <v>display{inline-icon, right, &lt;#0099FF/&gt;, large} inputs{2in1} results{inline-icon, right, hide(filename), size-400}</v>
      </c>
      <c r="K638" s="32" t="s">
        <v>1535</v>
      </c>
    </row>
    <row r="639" spans="1:11" x14ac:dyDescent="0.25">
      <c r="A639" t="s">
        <v>39</v>
      </c>
      <c r="E639" t="str">
        <f>CONCATENATE(PROPER(C639),". ",D639)</f>
        <v xml:space="preserve">. </v>
      </c>
      <c r="J639" t="str">
        <f t="shared" si="105"/>
        <v/>
      </c>
    </row>
    <row r="640" spans="1:11" x14ac:dyDescent="0.25">
      <c r="A640" t="s">
        <v>39</v>
      </c>
      <c r="E640" t="str">
        <f>CONCATENATE(PROPER(C640),". ",D640)</f>
        <v xml:space="preserve">. </v>
      </c>
      <c r="J640" t="str">
        <f t="shared" si="105"/>
        <v/>
      </c>
    </row>
    <row r="641" spans="1:18" x14ac:dyDescent="0.25">
      <c r="A641" t="s">
        <v>38</v>
      </c>
      <c r="B641" t="str">
        <f>CONCATENATE("bg_section_",C641)</f>
        <v>bg_section_k</v>
      </c>
      <c r="C641" t="s">
        <v>755</v>
      </c>
      <c r="D641" t="s">
        <v>1007</v>
      </c>
      <c r="E641" t="str">
        <f>CONCATENATE(PROPER(C641),". ",D641)</f>
        <v>K. AUDIO appearance</v>
      </c>
      <c r="G641" t="str">
        <f>CONCATENATE(PROPER(C641),". ",D641)</f>
        <v>K. AUDIO appearance</v>
      </c>
      <c r="J641" t="str">
        <f t="shared" si="105"/>
        <v>section</v>
      </c>
      <c r="K641" s="32" t="s">
        <v>43</v>
      </c>
      <c r="R641" t="s">
        <v>200</v>
      </c>
    </row>
    <row r="642" spans="1:18" x14ac:dyDescent="0.25">
      <c r="A642" t="s">
        <v>38</v>
      </c>
      <c r="B642" t="str">
        <f>CONCATENATE("bg_field_",C642)</f>
        <v>bg_field_k</v>
      </c>
      <c r="C642" t="s">
        <v>755</v>
      </c>
      <c r="D642" t="s">
        <v>1007</v>
      </c>
      <c r="E642" t="str">
        <f>CONCATENATE(PROPER(C642),". ",D642)</f>
        <v>K. AUDIO appearance</v>
      </c>
      <c r="G642" t="str">
        <f>CONCATENATE(PROPER(C642),". ",D642)</f>
        <v>K. AUDIO appearance</v>
      </c>
      <c r="J642" t="str">
        <f t="shared" si="105"/>
        <v>field-list</v>
      </c>
      <c r="K642" s="32" t="s">
        <v>40</v>
      </c>
    </row>
    <row r="643" spans="1:18" x14ac:dyDescent="0.25">
      <c r="A643" t="s">
        <v>37</v>
      </c>
      <c r="B643" t="str">
        <f>CONCATENATE(SUBSTITUTE(A643," ","_"),"_",C643)</f>
        <v>note_k</v>
      </c>
      <c r="C643" t="s">
        <v>755</v>
      </c>
      <c r="D643" t="s">
        <v>74</v>
      </c>
      <c r="E643" t="str">
        <f>CONCATENATE(PROPER(C643),". ",D643)</f>
        <v>K. AUDIO</v>
      </c>
      <c r="F643" t="s">
        <v>1000</v>
      </c>
      <c r="G643" t="str">
        <f>CONCATENATE(PROPER(C643),". ",D643)</f>
        <v>K. AUDIO</v>
      </c>
      <c r="H643" t="s">
        <v>1000</v>
      </c>
      <c r="J643" t="str">
        <f t="shared" si="105"/>
        <v/>
      </c>
    </row>
    <row r="644" spans="1:18" x14ac:dyDescent="0.25">
      <c r="A644" t="s">
        <v>29</v>
      </c>
      <c r="B644" t="str">
        <f t="shared" ref="B644:B703" si="112">CONCATENATE(SUBSTITUTE(A644," ","_"),"_",C644)</f>
        <v>audio_k1</v>
      </c>
      <c r="C644" t="s">
        <v>756</v>
      </c>
      <c r="E644" t="str">
        <f t="shared" ref="E644:E703" si="113">CONCATENATE(PROPER(C644),". ",J644)</f>
        <v>K1. end-stop-10s</v>
      </c>
      <c r="F644" t="str">
        <f t="shared" ref="F644:F703" si="114">A644</f>
        <v>audio</v>
      </c>
      <c r="G644" t="str">
        <f t="shared" ref="G644:G703" si="115">CONCATENATE(PROPER(C644),". ",J644)</f>
        <v>K1. end-stop-10s</v>
      </c>
      <c r="H644" t="str">
        <f t="shared" ref="H644:H703" si="116">A644</f>
        <v>audio</v>
      </c>
      <c r="J644" t="str">
        <f t="shared" si="105"/>
        <v>end-stop-10s</v>
      </c>
      <c r="K644" s="32" t="s">
        <v>392</v>
      </c>
    </row>
    <row r="645" spans="1:18" x14ac:dyDescent="0.25">
      <c r="A645" t="s">
        <v>29</v>
      </c>
      <c r="B645" t="str">
        <f t="shared" si="112"/>
        <v>audio_k2</v>
      </c>
      <c r="C645" t="s">
        <v>757</v>
      </c>
      <c r="E645" t="str">
        <f t="shared" si="113"/>
        <v>K2. inline</v>
      </c>
      <c r="F645" t="str">
        <f t="shared" si="114"/>
        <v>audio</v>
      </c>
      <c r="G645" t="str">
        <f t="shared" si="115"/>
        <v>K2. inline</v>
      </c>
      <c r="H645" t="str">
        <f t="shared" si="116"/>
        <v>audio</v>
      </c>
      <c r="J645" t="str">
        <f t="shared" si="105"/>
        <v>inline</v>
      </c>
      <c r="K645" s="32" t="s">
        <v>447</v>
      </c>
    </row>
    <row r="646" spans="1:18" x14ac:dyDescent="0.25">
      <c r="A646" t="s">
        <v>29</v>
      </c>
      <c r="B646" t="str">
        <f t="shared" si="112"/>
        <v>audio_k3</v>
      </c>
      <c r="C646" t="s">
        <v>758</v>
      </c>
      <c r="E646" t="str">
        <f t="shared" si="113"/>
        <v>K3. inline end-stop-10s</v>
      </c>
      <c r="F646" t="str">
        <f t="shared" si="114"/>
        <v>audio</v>
      </c>
      <c r="G646" t="str">
        <f t="shared" si="115"/>
        <v>K3. inline end-stop-10s</v>
      </c>
      <c r="H646" t="str">
        <f t="shared" si="116"/>
        <v>audio</v>
      </c>
      <c r="J646" t="str">
        <f t="shared" si="105"/>
        <v>inline end-stop-10s</v>
      </c>
      <c r="K646" s="32" t="s">
        <v>448</v>
      </c>
    </row>
    <row r="647" spans="1:18" x14ac:dyDescent="0.25">
      <c r="A647" t="s">
        <v>29</v>
      </c>
      <c r="B647" t="str">
        <f t="shared" si="112"/>
        <v>audio_k4</v>
      </c>
      <c r="C647" t="s">
        <v>759</v>
      </c>
      <c r="E647" t="str">
        <f t="shared" si="113"/>
        <v>K4. inline float_button</v>
      </c>
      <c r="F647" t="str">
        <f t="shared" si="114"/>
        <v>audio</v>
      </c>
      <c r="G647" t="str">
        <f t="shared" si="115"/>
        <v>K4. inline float_button</v>
      </c>
      <c r="H647" t="str">
        <f t="shared" si="116"/>
        <v>audio</v>
      </c>
      <c r="J647" t="str">
        <f t="shared" si="105"/>
        <v>inline float_button</v>
      </c>
      <c r="K647" s="32" t="s">
        <v>442</v>
      </c>
    </row>
    <row r="648" spans="1:18" x14ac:dyDescent="0.25">
      <c r="A648" t="s">
        <v>29</v>
      </c>
      <c r="B648" t="str">
        <f t="shared" si="112"/>
        <v>audio_k5</v>
      </c>
      <c r="C648" t="s">
        <v>760</v>
      </c>
      <c r="E648" t="str">
        <f t="shared" si="113"/>
        <v>K5. inline float_button end-stop-10s</v>
      </c>
      <c r="F648" t="str">
        <f t="shared" si="114"/>
        <v>audio</v>
      </c>
      <c r="G648" t="str">
        <f t="shared" si="115"/>
        <v>K5. inline float_button end-stop-10s</v>
      </c>
      <c r="H648" t="str">
        <f t="shared" si="116"/>
        <v>audio</v>
      </c>
      <c r="J648" t="str">
        <f t="shared" si="105"/>
        <v>inline float_button end-stop-10s</v>
      </c>
      <c r="K648" s="32" t="s">
        <v>287</v>
      </c>
    </row>
    <row r="649" spans="1:18" x14ac:dyDescent="0.25">
      <c r="A649" t="s">
        <v>29</v>
      </c>
      <c r="B649" t="str">
        <f t="shared" si="112"/>
        <v>audio_k6</v>
      </c>
      <c r="C649" t="s">
        <v>761</v>
      </c>
      <c r="E649" t="str">
        <f t="shared" si="113"/>
        <v>K6. inline float_button end-stop-15s-{exit1}</v>
      </c>
      <c r="F649" t="str">
        <f t="shared" si="114"/>
        <v>audio</v>
      </c>
      <c r="G649" t="str">
        <f t="shared" si="115"/>
        <v>K6. inline float_button end-stop-15s-{exit1}</v>
      </c>
      <c r="H649" t="str">
        <f t="shared" si="116"/>
        <v>audio</v>
      </c>
      <c r="J649" t="str">
        <f t="shared" si="105"/>
        <v>inline float_button end-stop-15s-{exit1}</v>
      </c>
      <c r="K649" s="32" t="s">
        <v>393</v>
      </c>
    </row>
    <row r="650" spans="1:18" x14ac:dyDescent="0.25">
      <c r="A650" t="s">
        <v>29</v>
      </c>
      <c r="B650" t="str">
        <f t="shared" si="112"/>
        <v>audio_k7</v>
      </c>
      <c r="C650" t="s">
        <v>762</v>
      </c>
      <c r="E650" t="str">
        <f t="shared" si="113"/>
        <v>K7. inline &lt;#0099FF/&gt;</v>
      </c>
      <c r="F650" t="str">
        <f t="shared" si="114"/>
        <v>audio</v>
      </c>
      <c r="G650" t="str">
        <f t="shared" si="115"/>
        <v>K7. inline &lt;#0099FF/&gt;</v>
      </c>
      <c r="H650" t="str">
        <f t="shared" si="116"/>
        <v>audio</v>
      </c>
      <c r="J650" t="str">
        <f t="shared" si="105"/>
        <v>inline &lt;#0099FF/&gt;</v>
      </c>
      <c r="K650" s="32" t="s">
        <v>447</v>
      </c>
      <c r="L650" t="s">
        <v>1083</v>
      </c>
    </row>
    <row r="651" spans="1:18" x14ac:dyDescent="0.25">
      <c r="A651" t="s">
        <v>29</v>
      </c>
      <c r="B651" t="str">
        <f t="shared" si="112"/>
        <v>audio_k8</v>
      </c>
      <c r="C651" t="s">
        <v>763</v>
      </c>
      <c r="E651" t="str">
        <f t="shared" si="113"/>
        <v>K8. inline end-stop-10s &lt;#0099FF/&gt;</v>
      </c>
      <c r="F651" t="str">
        <f t="shared" si="114"/>
        <v>audio</v>
      </c>
      <c r="G651" t="str">
        <f t="shared" si="115"/>
        <v>K8. inline end-stop-10s &lt;#0099FF/&gt;</v>
      </c>
      <c r="H651" t="str">
        <f t="shared" si="116"/>
        <v>audio</v>
      </c>
      <c r="J651" t="str">
        <f t="shared" si="105"/>
        <v>inline end-stop-10s &lt;#0099FF/&gt;</v>
      </c>
      <c r="K651" s="32" t="s">
        <v>448</v>
      </c>
      <c r="L651" t="s">
        <v>1083</v>
      </c>
    </row>
    <row r="652" spans="1:18" x14ac:dyDescent="0.25">
      <c r="A652" t="s">
        <v>29</v>
      </c>
      <c r="B652" t="str">
        <f t="shared" si="112"/>
        <v>audio_k9</v>
      </c>
      <c r="C652" t="s">
        <v>764</v>
      </c>
      <c r="E652" t="str">
        <f t="shared" si="113"/>
        <v>K9. inline float_button &lt;#0099FF/&gt;</v>
      </c>
      <c r="F652" t="str">
        <f t="shared" si="114"/>
        <v>audio</v>
      </c>
      <c r="G652" t="str">
        <f t="shared" si="115"/>
        <v>K9. inline float_button &lt;#0099FF/&gt;</v>
      </c>
      <c r="H652" t="str">
        <f t="shared" si="116"/>
        <v>audio</v>
      </c>
      <c r="J652" t="str">
        <f t="shared" si="105"/>
        <v>inline float_button &lt;#0099FF/&gt;</v>
      </c>
      <c r="K652" s="32" t="s">
        <v>442</v>
      </c>
      <c r="L652" t="s">
        <v>1083</v>
      </c>
    </row>
    <row r="653" spans="1:18" x14ac:dyDescent="0.25">
      <c r="A653" t="s">
        <v>29</v>
      </c>
      <c r="B653" t="str">
        <f t="shared" si="112"/>
        <v>audio_k10</v>
      </c>
      <c r="C653" t="s">
        <v>765</v>
      </c>
      <c r="E653" t="str">
        <f t="shared" si="113"/>
        <v>K10. inline float_button end-stop-10s &lt;#0099FF/&gt;</v>
      </c>
      <c r="F653" t="str">
        <f t="shared" si="114"/>
        <v>audio</v>
      </c>
      <c r="G653" t="str">
        <f t="shared" si="115"/>
        <v>K10. inline float_button end-stop-10s &lt;#0099FF/&gt;</v>
      </c>
      <c r="H653" t="str">
        <f t="shared" si="116"/>
        <v>audio</v>
      </c>
      <c r="J653" t="str">
        <f t="shared" si="105"/>
        <v>inline float_button end-stop-10s &lt;#0099FF/&gt;</v>
      </c>
      <c r="K653" s="32" t="s">
        <v>287</v>
      </c>
      <c r="L653" t="s">
        <v>1083</v>
      </c>
    </row>
    <row r="654" spans="1:18" x14ac:dyDescent="0.25">
      <c r="A654" t="s">
        <v>29</v>
      </c>
      <c r="B654" t="str">
        <f t="shared" si="112"/>
        <v>audio_k11</v>
      </c>
      <c r="C654" t="s">
        <v>766</v>
      </c>
      <c r="E654" t="str">
        <f t="shared" si="113"/>
        <v>K11. inline float_button end-stop-15s-{exit1} &lt;#0099FF/&gt;</v>
      </c>
      <c r="F654" t="str">
        <f t="shared" si="114"/>
        <v>audio</v>
      </c>
      <c r="G654" t="str">
        <f t="shared" si="115"/>
        <v>K11. inline float_button end-stop-15s-{exit1} &lt;#0099FF/&gt;</v>
      </c>
      <c r="H654" t="str">
        <f t="shared" si="116"/>
        <v>audio</v>
      </c>
      <c r="J654" t="str">
        <f t="shared" si="105"/>
        <v>inline float_button end-stop-15s-{exit1} &lt;#0099FF/&gt;</v>
      </c>
      <c r="K654" s="32" t="s">
        <v>393</v>
      </c>
      <c r="L654" t="s">
        <v>1083</v>
      </c>
    </row>
    <row r="655" spans="1:18" x14ac:dyDescent="0.25">
      <c r="A655" t="s">
        <v>29</v>
      </c>
      <c r="B655" t="str">
        <f t="shared" si="112"/>
        <v>audio_k12</v>
      </c>
      <c r="C655" t="s">
        <v>767</v>
      </c>
      <c r="E655" t="str">
        <f t="shared" si="113"/>
        <v>K12. voice_effect</v>
      </c>
      <c r="F655" t="str">
        <f t="shared" si="114"/>
        <v>audio</v>
      </c>
      <c r="G655" t="str">
        <f t="shared" si="115"/>
        <v>K12. voice_effect</v>
      </c>
      <c r="H655" t="str">
        <f t="shared" si="116"/>
        <v>audio</v>
      </c>
      <c r="J655" t="str">
        <f>TRIM(CONCATENATE(K655," ",L655," ",M655))</f>
        <v>voice_effect</v>
      </c>
      <c r="K655" s="32" t="s">
        <v>449</v>
      </c>
    </row>
    <row r="656" spans="1:18" x14ac:dyDescent="0.25">
      <c r="A656" t="s">
        <v>29</v>
      </c>
      <c r="B656" t="str">
        <f t="shared" si="112"/>
        <v>audio_k13</v>
      </c>
      <c r="C656" t="s">
        <v>768</v>
      </c>
      <c r="E656" t="str">
        <f t="shared" si="113"/>
        <v>K13. voice_effect end-stop-10s</v>
      </c>
      <c r="F656" t="str">
        <f t="shared" si="114"/>
        <v>audio</v>
      </c>
      <c r="G656" t="str">
        <f t="shared" si="115"/>
        <v>K13. voice_effect end-stop-10s</v>
      </c>
      <c r="H656" t="str">
        <f t="shared" si="116"/>
        <v>audio</v>
      </c>
      <c r="J656" t="str">
        <f t="shared" si="105"/>
        <v>voice_effect end-stop-10s</v>
      </c>
      <c r="K656" s="32" t="s">
        <v>443</v>
      </c>
    </row>
    <row r="657" spans="1:12" x14ac:dyDescent="0.25">
      <c r="A657" t="s">
        <v>29</v>
      </c>
      <c r="B657" t="str">
        <f t="shared" si="112"/>
        <v>audio_k14</v>
      </c>
      <c r="C657" t="s">
        <v>769</v>
      </c>
      <c r="E657" t="str">
        <f t="shared" si="113"/>
        <v>K14. inline voice_effect</v>
      </c>
      <c r="F657" t="str">
        <f t="shared" si="114"/>
        <v>audio</v>
      </c>
      <c r="G657" t="str">
        <f t="shared" si="115"/>
        <v>K14. inline voice_effect</v>
      </c>
      <c r="H657" t="str">
        <f t="shared" si="116"/>
        <v>audio</v>
      </c>
      <c r="J657" t="str">
        <f t="shared" si="105"/>
        <v>inline voice_effect</v>
      </c>
      <c r="K657" s="32" t="s">
        <v>288</v>
      </c>
    </row>
    <row r="658" spans="1:12" x14ac:dyDescent="0.25">
      <c r="A658" t="s">
        <v>29</v>
      </c>
      <c r="B658" t="str">
        <f t="shared" si="112"/>
        <v>audio_k15</v>
      </c>
      <c r="C658" t="s">
        <v>770</v>
      </c>
      <c r="E658" t="str">
        <f t="shared" si="113"/>
        <v>K15. inline voice_effect end-stop-10s</v>
      </c>
      <c r="F658" t="str">
        <f t="shared" si="114"/>
        <v>audio</v>
      </c>
      <c r="G658" t="str">
        <f t="shared" si="115"/>
        <v>K15. inline voice_effect end-stop-10s</v>
      </c>
      <c r="H658" t="str">
        <f t="shared" si="116"/>
        <v>audio</v>
      </c>
      <c r="J658" t="str">
        <f t="shared" si="105"/>
        <v>inline voice_effect end-stop-10s</v>
      </c>
      <c r="K658" s="32" t="s">
        <v>444</v>
      </c>
    </row>
    <row r="659" spans="1:12" x14ac:dyDescent="0.25">
      <c r="A659" t="s">
        <v>29</v>
      </c>
      <c r="B659" t="str">
        <f t="shared" si="112"/>
        <v>audio_k16</v>
      </c>
      <c r="C659" t="s">
        <v>771</v>
      </c>
      <c r="E659" t="str">
        <f t="shared" si="113"/>
        <v>K16. inline voice_effect float_button</v>
      </c>
      <c r="F659" t="str">
        <f t="shared" si="114"/>
        <v>audio</v>
      </c>
      <c r="G659" t="str">
        <f t="shared" si="115"/>
        <v>K16. inline voice_effect float_button</v>
      </c>
      <c r="H659" t="str">
        <f t="shared" si="116"/>
        <v>audio</v>
      </c>
      <c r="J659" t="str">
        <f t="shared" si="105"/>
        <v>inline voice_effect float_button</v>
      </c>
      <c r="K659" s="32" t="s">
        <v>445</v>
      </c>
    </row>
    <row r="660" spans="1:12" x14ac:dyDescent="0.25">
      <c r="A660" t="s">
        <v>29</v>
      </c>
      <c r="B660" t="str">
        <f t="shared" si="112"/>
        <v>audio_k17</v>
      </c>
      <c r="C660" t="s">
        <v>772</v>
      </c>
      <c r="E660" t="str">
        <f t="shared" si="113"/>
        <v>K17. inline voice_effect float_button end-stop-10s</v>
      </c>
      <c r="F660" t="str">
        <f t="shared" si="114"/>
        <v>audio</v>
      </c>
      <c r="G660" t="str">
        <f t="shared" si="115"/>
        <v>K17. inline voice_effect float_button end-stop-10s</v>
      </c>
      <c r="H660" t="str">
        <f t="shared" si="116"/>
        <v>audio</v>
      </c>
      <c r="J660" t="str">
        <f t="shared" si="105"/>
        <v>inline voice_effect float_button end-stop-10s</v>
      </c>
      <c r="K660" s="32" t="s">
        <v>289</v>
      </c>
    </row>
    <row r="661" spans="1:12" x14ac:dyDescent="0.25">
      <c r="A661" t="s">
        <v>29</v>
      </c>
      <c r="B661" t="str">
        <f t="shared" si="112"/>
        <v>audio_k18</v>
      </c>
      <c r="C661" t="s">
        <v>773</v>
      </c>
      <c r="E661" t="str">
        <f t="shared" si="113"/>
        <v>K18. inline voice_effect float_button end-stop-10s-{exit1}</v>
      </c>
      <c r="F661" t="str">
        <f t="shared" si="114"/>
        <v>audio</v>
      </c>
      <c r="G661" t="str">
        <f t="shared" si="115"/>
        <v>K18. inline voice_effect float_button end-stop-10s-{exit1}</v>
      </c>
      <c r="H661" t="str">
        <f t="shared" si="116"/>
        <v>audio</v>
      </c>
      <c r="J661" t="str">
        <f t="shared" si="105"/>
        <v>inline voice_effect float_button end-stop-10s-{exit1}</v>
      </c>
      <c r="K661" s="32" t="s">
        <v>394</v>
      </c>
    </row>
    <row r="662" spans="1:12" x14ac:dyDescent="0.25">
      <c r="A662" t="s">
        <v>29</v>
      </c>
      <c r="B662" t="str">
        <f t="shared" si="112"/>
        <v>audio_k19</v>
      </c>
      <c r="C662" t="s">
        <v>774</v>
      </c>
      <c r="E662" t="str">
        <f t="shared" si="113"/>
        <v>K19. inline voice_effect &lt;#0099FF/&gt;</v>
      </c>
      <c r="F662" t="str">
        <f t="shared" si="114"/>
        <v>audio</v>
      </c>
      <c r="G662" t="str">
        <f t="shared" si="115"/>
        <v>K19. inline voice_effect &lt;#0099FF/&gt;</v>
      </c>
      <c r="H662" t="str">
        <f t="shared" si="116"/>
        <v>audio</v>
      </c>
      <c r="J662" t="str">
        <f t="shared" si="105"/>
        <v>inline voice_effect &lt;#0099FF/&gt;</v>
      </c>
      <c r="K662" s="32" t="s">
        <v>1121</v>
      </c>
      <c r="L662" t="s">
        <v>1083</v>
      </c>
    </row>
    <row r="663" spans="1:12" x14ac:dyDescent="0.25">
      <c r="A663" t="s">
        <v>29</v>
      </c>
      <c r="B663" t="str">
        <f t="shared" si="112"/>
        <v>audio_k20</v>
      </c>
      <c r="C663" t="s">
        <v>775</v>
      </c>
      <c r="E663" t="str">
        <f t="shared" si="113"/>
        <v>K20. inline voice_effect end-stop-10s &lt;#0099FF/&gt;</v>
      </c>
      <c r="F663" t="str">
        <f t="shared" si="114"/>
        <v>audio</v>
      </c>
      <c r="G663" t="str">
        <f t="shared" si="115"/>
        <v>K20. inline voice_effect end-stop-10s &lt;#0099FF/&gt;</v>
      </c>
      <c r="H663" t="str">
        <f t="shared" si="116"/>
        <v>audio</v>
      </c>
      <c r="J663" t="str">
        <f t="shared" si="105"/>
        <v>inline voice_effect end-stop-10s &lt;#0099FF/&gt;</v>
      </c>
      <c r="K663" s="32" t="s">
        <v>444</v>
      </c>
      <c r="L663" t="s">
        <v>1083</v>
      </c>
    </row>
    <row r="664" spans="1:12" x14ac:dyDescent="0.25">
      <c r="A664" t="s">
        <v>29</v>
      </c>
      <c r="B664" t="str">
        <f t="shared" si="112"/>
        <v>audio_k21</v>
      </c>
      <c r="C664" t="s">
        <v>776</v>
      </c>
      <c r="E664" t="str">
        <f t="shared" si="113"/>
        <v>K21. inline voice_effect float_button &lt;#0099FF/&gt;</v>
      </c>
      <c r="F664" t="str">
        <f t="shared" si="114"/>
        <v>audio</v>
      </c>
      <c r="G664" t="str">
        <f t="shared" si="115"/>
        <v>K21. inline voice_effect float_button &lt;#0099FF/&gt;</v>
      </c>
      <c r="H664" t="str">
        <f t="shared" si="116"/>
        <v>audio</v>
      </c>
      <c r="J664" t="str">
        <f t="shared" si="105"/>
        <v>inline voice_effect float_button &lt;#0099FF/&gt;</v>
      </c>
      <c r="K664" s="32" t="s">
        <v>445</v>
      </c>
      <c r="L664" t="s">
        <v>1083</v>
      </c>
    </row>
    <row r="665" spans="1:12" x14ac:dyDescent="0.25">
      <c r="A665" t="s">
        <v>29</v>
      </c>
      <c r="B665" t="str">
        <f t="shared" si="112"/>
        <v>audio_k22</v>
      </c>
      <c r="C665" t="s">
        <v>777</v>
      </c>
      <c r="E665" t="str">
        <f t="shared" si="113"/>
        <v>K22. inline voice_effect float_button end-stop-10s &lt;#0099FF/&gt;</v>
      </c>
      <c r="F665" t="str">
        <f t="shared" si="114"/>
        <v>audio</v>
      </c>
      <c r="G665" t="str">
        <f t="shared" si="115"/>
        <v>K22. inline voice_effect float_button end-stop-10s &lt;#0099FF/&gt;</v>
      </c>
      <c r="H665" t="str">
        <f t="shared" si="116"/>
        <v>audio</v>
      </c>
      <c r="J665" t="str">
        <f t="shared" si="105"/>
        <v>inline voice_effect float_button end-stop-10s &lt;#0099FF/&gt;</v>
      </c>
      <c r="K665" s="32" t="s">
        <v>289</v>
      </c>
      <c r="L665" t="s">
        <v>1083</v>
      </c>
    </row>
    <row r="666" spans="1:12" x14ac:dyDescent="0.25">
      <c r="A666" t="s">
        <v>29</v>
      </c>
      <c r="B666" t="str">
        <f t="shared" si="112"/>
        <v>audio_k23</v>
      </c>
      <c r="C666" t="s">
        <v>778</v>
      </c>
      <c r="E666" t="str">
        <f t="shared" si="113"/>
        <v>K23. inline voice_effect float_button end-stop-10s-{exit1} &lt;#0099FF/&gt;</v>
      </c>
      <c r="F666" t="str">
        <f t="shared" si="114"/>
        <v>audio</v>
      </c>
      <c r="G666" t="str">
        <f t="shared" si="115"/>
        <v>K23. inline voice_effect float_button end-stop-10s-{exit1} &lt;#0099FF/&gt;</v>
      </c>
      <c r="H666" t="str">
        <f t="shared" si="116"/>
        <v>audio</v>
      </c>
      <c r="J666" t="str">
        <f t="shared" si="105"/>
        <v>inline voice_effect float_button end-stop-10s-{exit1} &lt;#0099FF/&gt;</v>
      </c>
      <c r="K666" s="32" t="s">
        <v>394</v>
      </c>
      <c r="L666" t="s">
        <v>1083</v>
      </c>
    </row>
    <row r="667" spans="1:12" x14ac:dyDescent="0.25">
      <c r="A667" t="s">
        <v>29</v>
      </c>
      <c r="B667" t="str">
        <f>CONCATENATE(SUBSTITUTE(A667," ","_"),"_",C667)</f>
        <v>audio_k24</v>
      </c>
      <c r="C667" t="s">
        <v>1041</v>
      </c>
      <c r="E667" t="str">
        <f t="shared" si="113"/>
        <v>K24. stt('text_k25')</v>
      </c>
      <c r="F667" t="str">
        <f t="shared" si="114"/>
        <v>audio</v>
      </c>
      <c r="G667" t="str">
        <f t="shared" si="115"/>
        <v>K24. stt('text_k25')</v>
      </c>
      <c r="H667" t="str">
        <f t="shared" si="116"/>
        <v>audio</v>
      </c>
      <c r="J667" t="str">
        <f t="shared" si="105"/>
        <v>stt('text_k25')</v>
      </c>
      <c r="K667" s="32" t="str">
        <f>CONCATENATE("stt('",B668,"')")</f>
        <v>stt('text_k25')</v>
      </c>
    </row>
    <row r="668" spans="1:12" x14ac:dyDescent="0.25">
      <c r="A668" t="s">
        <v>22</v>
      </c>
      <c r="B668" t="str">
        <f>CONCATENATE(SUBSTITUTE(A668," ","_"),"_",C668)</f>
        <v>text_k25</v>
      </c>
      <c r="C668" t="s">
        <v>1042</v>
      </c>
      <c r="E668" t="str">
        <f t="shared" si="113"/>
        <v xml:space="preserve">K25. </v>
      </c>
      <c r="F668" t="str">
        <f t="shared" si="114"/>
        <v>text</v>
      </c>
      <c r="G668" t="str">
        <f t="shared" si="115"/>
        <v xml:space="preserve">K25. </v>
      </c>
      <c r="H668" t="str">
        <f t="shared" si="116"/>
        <v>text</v>
      </c>
      <c r="J668" t="str">
        <f t="shared" si="105"/>
        <v/>
      </c>
    </row>
    <row r="669" spans="1:12" x14ac:dyDescent="0.25">
      <c r="A669" t="s">
        <v>29</v>
      </c>
      <c r="B669" t="str">
        <f>CONCATENATE(SUBSTITUTE(A669," ","_"),"_",C669)</f>
        <v>audio_k26</v>
      </c>
      <c r="C669" t="s">
        <v>1043</v>
      </c>
      <c r="E669" t="str">
        <f t="shared" si="113"/>
        <v>K26. stt('text_k27','vi-VN')</v>
      </c>
      <c r="F669" t="str">
        <f t="shared" si="114"/>
        <v>audio</v>
      </c>
      <c r="G669" t="str">
        <f t="shared" si="115"/>
        <v>K26. stt('text_k27','vi-VN')</v>
      </c>
      <c r="H669" t="str">
        <f t="shared" si="116"/>
        <v>audio</v>
      </c>
      <c r="J669" t="str">
        <f t="shared" si="105"/>
        <v>stt('text_k27','vi-VN')</v>
      </c>
      <c r="K669" s="32" t="str">
        <f>CONCATENATE("stt('",B670,"','vi-VN')")</f>
        <v>stt('text_k27','vi-VN')</v>
      </c>
    </row>
    <row r="670" spans="1:12" x14ac:dyDescent="0.25">
      <c r="A670" t="s">
        <v>22</v>
      </c>
      <c r="B670" t="str">
        <f>CONCATENATE(SUBSTITUTE(A670," ","_"),"_",C670)</f>
        <v>text_k27</v>
      </c>
      <c r="C670" t="s">
        <v>1044</v>
      </c>
      <c r="E670" t="str">
        <f t="shared" si="113"/>
        <v xml:space="preserve">K27. </v>
      </c>
      <c r="F670" t="str">
        <f t="shared" si="114"/>
        <v>text</v>
      </c>
      <c r="G670" t="str">
        <f t="shared" si="115"/>
        <v xml:space="preserve">K27. </v>
      </c>
      <c r="H670" t="str">
        <f t="shared" si="116"/>
        <v>text</v>
      </c>
      <c r="J670" t="str">
        <f t="shared" si="105"/>
        <v/>
      </c>
    </row>
    <row r="671" spans="1:12" x14ac:dyDescent="0.25">
      <c r="A671" t="s">
        <v>29</v>
      </c>
      <c r="B671" t="str">
        <f t="shared" si="112"/>
        <v>audio_k28</v>
      </c>
      <c r="C671" t="s">
        <v>1122</v>
      </c>
      <c r="E671" t="str">
        <f t="shared" si="113"/>
        <v>K28. stt('text_k29') &lt;#0099FF/&gt;</v>
      </c>
      <c r="F671" t="str">
        <f t="shared" si="114"/>
        <v>audio</v>
      </c>
      <c r="G671" t="str">
        <f t="shared" si="115"/>
        <v>K28. stt('text_k29') &lt;#0099FF/&gt;</v>
      </c>
      <c r="H671" t="str">
        <f t="shared" si="116"/>
        <v>audio</v>
      </c>
      <c r="J671" t="str">
        <f t="shared" si="105"/>
        <v>stt('text_k29') &lt;#0099FF/&gt;</v>
      </c>
      <c r="K671" s="32" t="str">
        <f>CONCATENATE("stt('",B672,"')")</f>
        <v>stt('text_k29')</v>
      </c>
      <c r="L671" t="s">
        <v>1083</v>
      </c>
    </row>
    <row r="672" spans="1:12" x14ac:dyDescent="0.25">
      <c r="A672" t="s">
        <v>22</v>
      </c>
      <c r="B672" t="str">
        <f t="shared" si="112"/>
        <v>text_k29</v>
      </c>
      <c r="C672" t="s">
        <v>1123</v>
      </c>
      <c r="E672" t="str">
        <f t="shared" si="113"/>
        <v xml:space="preserve">K29. </v>
      </c>
      <c r="F672" t="str">
        <f t="shared" si="114"/>
        <v>text</v>
      </c>
      <c r="G672" t="str">
        <f t="shared" si="115"/>
        <v xml:space="preserve">K29. </v>
      </c>
      <c r="H672" t="str">
        <f t="shared" si="116"/>
        <v>text</v>
      </c>
      <c r="J672" t="str">
        <f t="shared" si="105"/>
        <v/>
      </c>
    </row>
    <row r="673" spans="1:12" x14ac:dyDescent="0.25">
      <c r="A673" t="s">
        <v>29</v>
      </c>
      <c r="B673" t="str">
        <f t="shared" si="112"/>
        <v>audio_k30</v>
      </c>
      <c r="C673" t="s">
        <v>1124</v>
      </c>
      <c r="E673" t="str">
        <f t="shared" si="113"/>
        <v>K30. stt('text_k31','en') &lt;#0099FF/&gt;</v>
      </c>
      <c r="F673" t="str">
        <f t="shared" si="114"/>
        <v>audio</v>
      </c>
      <c r="G673" t="str">
        <f t="shared" si="115"/>
        <v>K30. stt('text_k31','en') &lt;#0099FF/&gt;</v>
      </c>
      <c r="H673" t="str">
        <f t="shared" si="116"/>
        <v>audio</v>
      </c>
      <c r="J673" t="str">
        <f t="shared" si="105"/>
        <v>stt('text_k31','en') &lt;#0099FF/&gt;</v>
      </c>
      <c r="K673" s="32" t="str">
        <f>CONCATENATE("stt('",B674,"','en')")</f>
        <v>stt('text_k31','en')</v>
      </c>
      <c r="L673" t="s">
        <v>1083</v>
      </c>
    </row>
    <row r="674" spans="1:12" x14ac:dyDescent="0.25">
      <c r="A674" t="s">
        <v>22</v>
      </c>
      <c r="B674" t="str">
        <f t="shared" si="112"/>
        <v>text_k31</v>
      </c>
      <c r="C674" t="s">
        <v>1125</v>
      </c>
      <c r="E674" t="str">
        <f t="shared" si="113"/>
        <v xml:space="preserve">K31. </v>
      </c>
      <c r="F674" t="str">
        <f t="shared" si="114"/>
        <v>text</v>
      </c>
      <c r="G674" t="str">
        <f t="shared" si="115"/>
        <v xml:space="preserve">K31. </v>
      </c>
      <c r="H674" t="str">
        <f t="shared" si="116"/>
        <v>text</v>
      </c>
      <c r="J674" t="str">
        <f t="shared" si="105"/>
        <v/>
      </c>
    </row>
    <row r="675" spans="1:12" x14ac:dyDescent="0.25">
      <c r="A675" t="s">
        <v>29</v>
      </c>
      <c r="B675" t="str">
        <f t="shared" si="112"/>
        <v>audio_k32</v>
      </c>
      <c r="C675" t="s">
        <v>1129</v>
      </c>
      <c r="E675" t="str">
        <f t="shared" si="113"/>
        <v>K32. audio_call-norecord</v>
      </c>
      <c r="F675" t="str">
        <f t="shared" si="114"/>
        <v>audio</v>
      </c>
      <c r="G675" t="str">
        <f t="shared" si="115"/>
        <v>K32. audio_call-norecord</v>
      </c>
      <c r="H675" t="str">
        <f t="shared" si="116"/>
        <v>audio</v>
      </c>
      <c r="J675" t="str">
        <f t="shared" si="105"/>
        <v>audio_call-norecord</v>
      </c>
      <c r="K675" s="32" t="s">
        <v>1126</v>
      </c>
    </row>
    <row r="676" spans="1:12" x14ac:dyDescent="0.25">
      <c r="A676" t="s">
        <v>29</v>
      </c>
      <c r="B676" t="str">
        <f t="shared" si="112"/>
        <v>audio_k33</v>
      </c>
      <c r="C676" t="s">
        <v>1130</v>
      </c>
      <c r="E676" t="str">
        <f t="shared" si="113"/>
        <v>K33. audio_call-record</v>
      </c>
      <c r="F676" t="str">
        <f t="shared" si="114"/>
        <v>audio</v>
      </c>
      <c r="G676" t="str">
        <f t="shared" si="115"/>
        <v>K33. audio_call-record</v>
      </c>
      <c r="H676" t="str">
        <f t="shared" si="116"/>
        <v>audio</v>
      </c>
      <c r="J676" t="str">
        <f t="shared" si="105"/>
        <v>audio_call-record</v>
      </c>
      <c r="K676" s="32" t="s">
        <v>1127</v>
      </c>
    </row>
    <row r="677" spans="1:12" x14ac:dyDescent="0.25">
      <c r="A677" t="s">
        <v>29</v>
      </c>
      <c r="B677" t="str">
        <f t="shared" si="112"/>
        <v>audio_k34</v>
      </c>
      <c r="C677" t="s">
        <v>1131</v>
      </c>
      <c r="E677" t="str">
        <f t="shared" si="113"/>
        <v>K34. audio_call-norecord &lt;#0099FF/&gt;</v>
      </c>
      <c r="F677" t="str">
        <f t="shared" si="114"/>
        <v>audio</v>
      </c>
      <c r="G677" t="str">
        <f t="shared" si="115"/>
        <v>K34. audio_call-norecord &lt;#0099FF/&gt;</v>
      </c>
      <c r="H677" t="str">
        <f t="shared" si="116"/>
        <v>audio</v>
      </c>
      <c r="J677" t="str">
        <f t="shared" si="105"/>
        <v>audio_call-norecord &lt;#0099FF/&gt;</v>
      </c>
      <c r="K677" s="32" t="s">
        <v>1126</v>
      </c>
      <c r="L677" t="s">
        <v>1083</v>
      </c>
    </row>
    <row r="678" spans="1:12" x14ac:dyDescent="0.25">
      <c r="A678" t="s">
        <v>29</v>
      </c>
      <c r="B678" t="str">
        <f t="shared" si="112"/>
        <v>audio_k35</v>
      </c>
      <c r="C678" t="s">
        <v>1132</v>
      </c>
      <c r="E678" t="str">
        <f t="shared" si="113"/>
        <v>K35. audio_call-record &lt;#0099FF/&gt;</v>
      </c>
      <c r="F678" t="str">
        <f t="shared" si="114"/>
        <v>audio</v>
      </c>
      <c r="G678" t="str">
        <f t="shared" si="115"/>
        <v>K35. audio_call-record &lt;#0099FF/&gt;</v>
      </c>
      <c r="H678" t="str">
        <f t="shared" si="116"/>
        <v>audio</v>
      </c>
      <c r="J678" t="str">
        <f t="shared" si="105"/>
        <v>audio_call-record &lt;#0099FF/&gt;</v>
      </c>
      <c r="K678" s="32" t="s">
        <v>1127</v>
      </c>
      <c r="L678" t="s">
        <v>1083</v>
      </c>
    </row>
    <row r="679" spans="1:12" x14ac:dyDescent="0.25">
      <c r="A679" t="s">
        <v>29</v>
      </c>
      <c r="B679" t="str">
        <f t="shared" si="112"/>
        <v>audio_k36</v>
      </c>
      <c r="C679" t="s">
        <v>1133</v>
      </c>
      <c r="E679" t="str">
        <f t="shared" si="113"/>
        <v>K36. new</v>
      </c>
      <c r="F679" t="str">
        <f t="shared" si="114"/>
        <v>audio</v>
      </c>
      <c r="G679" t="str">
        <f t="shared" si="115"/>
        <v>K36. new</v>
      </c>
      <c r="H679" t="str">
        <f t="shared" si="116"/>
        <v>audio</v>
      </c>
      <c r="J679" t="str">
        <f t="shared" si="105"/>
        <v>new</v>
      </c>
      <c r="K679" s="32" t="s">
        <v>1128</v>
      </c>
    </row>
    <row r="680" spans="1:12" x14ac:dyDescent="0.25">
      <c r="A680" t="s">
        <v>29</v>
      </c>
      <c r="B680" t="str">
        <f t="shared" si="112"/>
        <v>audio_k37</v>
      </c>
      <c r="C680" t="s">
        <v>1583</v>
      </c>
      <c r="E680" t="str">
        <f t="shared" si="113"/>
        <v>K37. display{inline-icon, right} inputs{} results{inline-icon, right}</v>
      </c>
      <c r="F680" t="str">
        <f t="shared" si="114"/>
        <v>audio</v>
      </c>
      <c r="G680" t="str">
        <f t="shared" si="115"/>
        <v>K37. display{inline-icon, right} inputs{} results{inline-icon, right}</v>
      </c>
      <c r="H680" t="str">
        <f t="shared" si="116"/>
        <v>audio</v>
      </c>
      <c r="J680" t="s">
        <v>1505</v>
      </c>
      <c r="K680" s="32" t="s">
        <v>1505</v>
      </c>
    </row>
    <row r="681" spans="1:12" x14ac:dyDescent="0.25">
      <c r="A681" t="s">
        <v>29</v>
      </c>
      <c r="B681" t="str">
        <f t="shared" si="112"/>
        <v>audio_k38</v>
      </c>
      <c r="C681" t="s">
        <v>1584</v>
      </c>
      <c r="E681" t="str">
        <f t="shared" si="113"/>
        <v>K38. display{inline-icon, right} inputs{} results{inline-icon, right, voice_effect-Echo}</v>
      </c>
      <c r="F681" t="str">
        <f t="shared" si="114"/>
        <v>audio</v>
      </c>
      <c r="G681" t="str">
        <f t="shared" si="115"/>
        <v>K38. display{inline-icon, right} inputs{} results{inline-icon, right, voice_effect-Echo}</v>
      </c>
      <c r="H681" t="str">
        <f t="shared" si="116"/>
        <v>audio</v>
      </c>
      <c r="J681" t="s">
        <v>1582</v>
      </c>
      <c r="K681" s="32" t="s">
        <v>1582</v>
      </c>
      <c r="L681" t="s">
        <v>1083</v>
      </c>
    </row>
    <row r="682" spans="1:12" x14ac:dyDescent="0.25">
      <c r="A682" t="s">
        <v>29</v>
      </c>
      <c r="B682" t="str">
        <f t="shared" si="112"/>
        <v>audio_k39</v>
      </c>
      <c r="C682" t="s">
        <v>1585</v>
      </c>
      <c r="E682" t="str">
        <f t="shared" si="113"/>
        <v>K39. display{inline-icon, right, small} inputs{} results{inline-icon, right, hide(filename)}</v>
      </c>
      <c r="F682" t="str">
        <f t="shared" si="114"/>
        <v>audio</v>
      </c>
      <c r="G682" t="str">
        <f t="shared" si="115"/>
        <v>K39. display{inline-icon, right, small} inputs{} results{inline-icon, right, hide(filename)}</v>
      </c>
      <c r="H682" t="str">
        <f t="shared" si="116"/>
        <v>audio</v>
      </c>
      <c r="J682" t="s">
        <v>1506</v>
      </c>
      <c r="K682" s="32" t="s">
        <v>1506</v>
      </c>
    </row>
    <row r="683" spans="1:12" x14ac:dyDescent="0.25">
      <c r="A683" t="s">
        <v>29</v>
      </c>
      <c r="B683" t="str">
        <f t="shared" si="112"/>
        <v>audio_k40</v>
      </c>
      <c r="C683" t="s">
        <v>1586</v>
      </c>
      <c r="E683" t="str">
        <f t="shared" si="113"/>
        <v>K40. display{inline-icon, right, medium} inputs{} results{inline-icon, right, hide(size)}</v>
      </c>
      <c r="F683" t="str">
        <f t="shared" si="114"/>
        <v>audio</v>
      </c>
      <c r="G683" t="str">
        <f t="shared" si="115"/>
        <v>K40. display{inline-icon, right, medium} inputs{} results{inline-icon, right, hide(size)}</v>
      </c>
      <c r="H683" t="str">
        <f t="shared" si="116"/>
        <v>audio</v>
      </c>
      <c r="J683" t="s">
        <v>1571</v>
      </c>
      <c r="K683" s="32" t="s">
        <v>1571</v>
      </c>
    </row>
    <row r="684" spans="1:12" x14ac:dyDescent="0.25">
      <c r="A684" t="s">
        <v>29</v>
      </c>
      <c r="B684" t="str">
        <f t="shared" si="112"/>
        <v>audio_k41</v>
      </c>
      <c r="C684" t="s">
        <v>1587</v>
      </c>
      <c r="E684" t="str">
        <f t="shared" si="113"/>
        <v>K41. display{inline-icon, right, large} inputs{} results{inline-icon, right, hide(duration)}</v>
      </c>
      <c r="F684" t="str">
        <f t="shared" si="114"/>
        <v>audio</v>
      </c>
      <c r="G684" t="str">
        <f t="shared" si="115"/>
        <v>K41. display{inline-icon, right, large} inputs{} results{inline-icon, right, hide(duration)}</v>
      </c>
      <c r="H684" t="str">
        <f t="shared" si="116"/>
        <v>audio</v>
      </c>
      <c r="J684" t="s">
        <v>1572</v>
      </c>
      <c r="K684" s="32" t="s">
        <v>1572</v>
      </c>
    </row>
    <row r="685" spans="1:12" x14ac:dyDescent="0.25">
      <c r="A685" t="s">
        <v>29</v>
      </c>
      <c r="B685" t="str">
        <f t="shared" si="112"/>
        <v>audio_k42</v>
      </c>
      <c r="C685" t="s">
        <v>1588</v>
      </c>
      <c r="E685" t="str">
        <f t="shared" si="113"/>
        <v>K42. display{inline-icon, right} inputs{} results{inline-icon, right, hide(review)}</v>
      </c>
      <c r="F685" t="str">
        <f t="shared" si="114"/>
        <v>audio</v>
      </c>
      <c r="G685" t="str">
        <f t="shared" si="115"/>
        <v>K42. display{inline-icon, right} inputs{} results{inline-icon, right, hide(review)}</v>
      </c>
      <c r="H685" t="str">
        <f t="shared" si="116"/>
        <v>audio</v>
      </c>
      <c r="J685" t="s">
        <v>1566</v>
      </c>
      <c r="K685" s="32" t="s">
        <v>1566</v>
      </c>
    </row>
    <row r="686" spans="1:12" x14ac:dyDescent="0.25">
      <c r="A686" t="s">
        <v>29</v>
      </c>
      <c r="B686" t="str">
        <f t="shared" si="112"/>
        <v>audio_k43</v>
      </c>
      <c r="C686" t="s">
        <v>1589</v>
      </c>
      <c r="E686" t="str">
        <f t="shared" si="113"/>
        <v>K43. display{inline-icon, right} inputs{} results{inline-icon, right, hide(capture)}</v>
      </c>
      <c r="F686" t="str">
        <f t="shared" si="114"/>
        <v>audio</v>
      </c>
      <c r="G686" t="str">
        <f t="shared" si="115"/>
        <v>K43. display{inline-icon, right} inputs{} results{inline-icon, right, hide(capture)}</v>
      </c>
      <c r="H686" t="str">
        <f t="shared" si="116"/>
        <v>audio</v>
      </c>
      <c r="J686" t="s">
        <v>1567</v>
      </c>
      <c r="K686" s="32" t="s">
        <v>1567</v>
      </c>
    </row>
    <row r="687" spans="1:12" x14ac:dyDescent="0.25">
      <c r="A687" t="s">
        <v>29</v>
      </c>
      <c r="B687" t="str">
        <f t="shared" si="112"/>
        <v>audio_k44</v>
      </c>
      <c r="C687" t="s">
        <v>1590</v>
      </c>
      <c r="E687" t="str">
        <f t="shared" si="113"/>
        <v>K44. display{inline-icon, right} inputs{auto-start} results{inline-icon, right}</v>
      </c>
      <c r="F687" t="str">
        <f t="shared" si="114"/>
        <v>audio</v>
      </c>
      <c r="G687" t="str">
        <f t="shared" si="115"/>
        <v>K44. display{inline-icon, right} inputs{auto-start} results{inline-icon, right}</v>
      </c>
      <c r="H687" t="str">
        <f t="shared" si="116"/>
        <v>audio</v>
      </c>
      <c r="J687" t="s">
        <v>1569</v>
      </c>
      <c r="K687" s="32" t="s">
        <v>1569</v>
      </c>
      <c r="L687" t="s">
        <v>1083</v>
      </c>
    </row>
    <row r="688" spans="1:12" x14ac:dyDescent="0.25">
      <c r="A688" t="s">
        <v>29</v>
      </c>
      <c r="B688" t="str">
        <f t="shared" si="112"/>
        <v>audio_k45</v>
      </c>
      <c r="C688" t="s">
        <v>1591</v>
      </c>
      <c r="E688" t="str">
        <f t="shared" si="113"/>
        <v>K45. display{inline-icon, right} inputs{auto-stop-5s} results{inline-icon, right}</v>
      </c>
      <c r="F688" t="str">
        <f t="shared" si="114"/>
        <v>audio</v>
      </c>
      <c r="G688" t="str">
        <f t="shared" si="115"/>
        <v>K45. display{inline-icon, right} inputs{auto-stop-5s} results{inline-icon, right}</v>
      </c>
      <c r="H688" t="str">
        <f t="shared" si="116"/>
        <v>audio</v>
      </c>
      <c r="J688" t="s">
        <v>1568</v>
      </c>
      <c r="K688" s="32" t="s">
        <v>1568</v>
      </c>
      <c r="L688" t="s">
        <v>1083</v>
      </c>
    </row>
    <row r="689" spans="1:12" x14ac:dyDescent="0.25">
      <c r="A689" t="s">
        <v>29</v>
      </c>
      <c r="B689" t="str">
        <f t="shared" si="112"/>
        <v>audio_k46</v>
      </c>
      <c r="C689" t="s">
        <v>1592</v>
      </c>
      <c r="E689" t="str">
        <f t="shared" si="113"/>
        <v>K46. display{inline-icon, right} inputs{auto-start, auto-stop-5s} results{inline-icon, right, hide(filename, size, capture)}</v>
      </c>
      <c r="F689" t="str">
        <f t="shared" si="114"/>
        <v>audio</v>
      </c>
      <c r="G689" t="str">
        <f t="shared" si="115"/>
        <v>K46. display{inline-icon, right} inputs{auto-start, auto-stop-5s} results{inline-icon, right, hide(filename, size, capture)}</v>
      </c>
      <c r="H689" t="str">
        <f t="shared" si="116"/>
        <v>audio</v>
      </c>
      <c r="J689" t="s">
        <v>1570</v>
      </c>
      <c r="K689" s="32" t="s">
        <v>1570</v>
      </c>
      <c r="L689" t="s">
        <v>1083</v>
      </c>
    </row>
    <row r="690" spans="1:12" x14ac:dyDescent="0.25">
      <c r="A690" t="s">
        <v>29</v>
      </c>
      <c r="B690" t="str">
        <f t="shared" si="112"/>
        <v>audio_k47</v>
      </c>
      <c r="C690" t="s">
        <v>1593</v>
      </c>
      <c r="E690" t="str">
        <f t="shared" si="113"/>
        <v>K47. display{inline-icon, right} inputs{auto-start, auto-stop-5s} results{inline-icon, right, hide(size, capture), voice_effect-Echo}</v>
      </c>
      <c r="F690" t="str">
        <f t="shared" si="114"/>
        <v>audio</v>
      </c>
      <c r="G690" t="str">
        <f t="shared" si="115"/>
        <v>K47. display{inline-icon, right} inputs{auto-start, auto-stop-5s} results{inline-icon, right, hide(size, capture), voice_effect-Echo}</v>
      </c>
      <c r="H690" t="str">
        <f t="shared" si="116"/>
        <v>audio</v>
      </c>
      <c r="J690" t="s">
        <v>1573</v>
      </c>
      <c r="K690" s="32" t="s">
        <v>1573</v>
      </c>
      <c r="L690" t="s">
        <v>1083</v>
      </c>
    </row>
    <row r="691" spans="1:12" x14ac:dyDescent="0.25">
      <c r="A691" t="s">
        <v>29</v>
      </c>
      <c r="B691" t="str">
        <f t="shared" si="112"/>
        <v>audio_k48</v>
      </c>
      <c r="C691" t="s">
        <v>1594</v>
      </c>
      <c r="E691" t="str">
        <f t="shared" si="113"/>
        <v>K48. display{inline-icon, right} inputs{floating} results{inline-icon, right}</v>
      </c>
      <c r="F691" t="str">
        <f t="shared" si="114"/>
        <v>audio</v>
      </c>
      <c r="G691" t="str">
        <f t="shared" si="115"/>
        <v>K48. display{inline-icon, right} inputs{floating} results{inline-icon, right}</v>
      </c>
      <c r="H691" t="str">
        <f t="shared" si="116"/>
        <v>audio</v>
      </c>
      <c r="J691" t="s">
        <v>1574</v>
      </c>
      <c r="K691" s="32" t="s">
        <v>1574</v>
      </c>
      <c r="L691" t="s">
        <v>1083</v>
      </c>
    </row>
    <row r="692" spans="1:12" x14ac:dyDescent="0.25">
      <c r="A692" t="s">
        <v>29</v>
      </c>
      <c r="B692" t="str">
        <f t="shared" si="112"/>
        <v>audio_k49</v>
      </c>
      <c r="C692" t="s">
        <v>1595</v>
      </c>
      <c r="E692" t="str">
        <f t="shared" si="113"/>
        <v>K49. display{inline-icon, right, small} inputs{floating} results{inline-icon, right, hide(filename)}</v>
      </c>
      <c r="F692" t="str">
        <f t="shared" si="114"/>
        <v>audio</v>
      </c>
      <c r="G692" t="str">
        <f t="shared" si="115"/>
        <v>K49. display{inline-icon, right, small} inputs{floating} results{inline-icon, right, hide(filename)}</v>
      </c>
      <c r="H692" t="str">
        <f t="shared" si="116"/>
        <v>audio</v>
      </c>
      <c r="J692" t="s">
        <v>1575</v>
      </c>
      <c r="K692" s="32" t="s">
        <v>1575</v>
      </c>
    </row>
    <row r="693" spans="1:12" x14ac:dyDescent="0.25">
      <c r="A693" t="s">
        <v>29</v>
      </c>
      <c r="B693" t="str">
        <f t="shared" si="112"/>
        <v>audio_k50</v>
      </c>
      <c r="C693" t="s">
        <v>1596</v>
      </c>
      <c r="E693" t="str">
        <f t="shared" si="113"/>
        <v>K50. display{inline-icon, right, medium} inputs{floating} results{inline-icon, right, hide(size)}</v>
      </c>
      <c r="F693" t="str">
        <f t="shared" si="114"/>
        <v>audio</v>
      </c>
      <c r="G693" t="str">
        <f t="shared" si="115"/>
        <v>K50. display{inline-icon, right, medium} inputs{floating} results{inline-icon, right, hide(size)}</v>
      </c>
      <c r="H693" t="str">
        <f t="shared" si="116"/>
        <v>audio</v>
      </c>
      <c r="J693" t="s">
        <v>1576</v>
      </c>
      <c r="K693" s="32" t="s">
        <v>1576</v>
      </c>
    </row>
    <row r="694" spans="1:12" x14ac:dyDescent="0.25">
      <c r="A694" t="s">
        <v>29</v>
      </c>
      <c r="B694" t="str">
        <f t="shared" si="112"/>
        <v>audio_k51</v>
      </c>
      <c r="C694" t="s">
        <v>1597</v>
      </c>
      <c r="E694" t="str">
        <f t="shared" si="113"/>
        <v>K51. display{inline-icon, right, large} inputs{floating} results{inline-icon, right, hide(duration)}</v>
      </c>
      <c r="F694" t="str">
        <f t="shared" si="114"/>
        <v>audio</v>
      </c>
      <c r="G694" t="str">
        <f t="shared" si="115"/>
        <v>K51. display{inline-icon, right, large} inputs{floating} results{inline-icon, right, hide(duration)}</v>
      </c>
      <c r="H694" t="str">
        <f t="shared" si="116"/>
        <v>audio</v>
      </c>
      <c r="J694" t="s">
        <v>1577</v>
      </c>
      <c r="K694" s="32" t="s">
        <v>1577</v>
      </c>
    </row>
    <row r="695" spans="1:12" x14ac:dyDescent="0.25">
      <c r="A695" t="s">
        <v>29</v>
      </c>
      <c r="B695" t="str">
        <f t="shared" si="112"/>
        <v>audio_k52</v>
      </c>
      <c r="C695" t="s">
        <v>1598</v>
      </c>
      <c r="E695" t="str">
        <f t="shared" si="113"/>
        <v>K52. display{inline-icon, right} inputs{floating, auto-start} results{inline-icon, right}</v>
      </c>
      <c r="F695" t="str">
        <f t="shared" si="114"/>
        <v>audio</v>
      </c>
      <c r="G695" t="str">
        <f t="shared" si="115"/>
        <v>K52. display{inline-icon, right} inputs{floating, auto-start} results{inline-icon, right}</v>
      </c>
      <c r="H695" t="str">
        <f t="shared" si="116"/>
        <v>audio</v>
      </c>
      <c r="J695" t="s">
        <v>1578</v>
      </c>
      <c r="K695" s="32" t="s">
        <v>1578</v>
      </c>
    </row>
    <row r="696" spans="1:12" x14ac:dyDescent="0.25">
      <c r="A696" t="s">
        <v>29</v>
      </c>
      <c r="B696" t="str">
        <f t="shared" si="112"/>
        <v>audio_k53</v>
      </c>
      <c r="C696" t="s">
        <v>1599</v>
      </c>
      <c r="E696" t="str">
        <f t="shared" si="113"/>
        <v>K53. display{inline-icon, right} inputs{floating, auto-stop-5s} results{inline-icon, right}</v>
      </c>
      <c r="F696" t="str">
        <f t="shared" si="114"/>
        <v>audio</v>
      </c>
      <c r="G696" t="str">
        <f t="shared" si="115"/>
        <v>K53. display{inline-icon, right} inputs{floating, auto-stop-5s} results{inline-icon, right}</v>
      </c>
      <c r="H696" t="str">
        <f t="shared" si="116"/>
        <v>audio</v>
      </c>
      <c r="J696" t="s">
        <v>1579</v>
      </c>
      <c r="K696" s="32" t="s">
        <v>1579</v>
      </c>
    </row>
    <row r="697" spans="1:12" x14ac:dyDescent="0.25">
      <c r="A697" t="s">
        <v>29</v>
      </c>
      <c r="B697" t="str">
        <f t="shared" si="112"/>
        <v>audio_k54</v>
      </c>
      <c r="C697" t="s">
        <v>1600</v>
      </c>
      <c r="E697" t="str">
        <f t="shared" si="113"/>
        <v>K54. display{inline-icon, right} inputs{floating, auto-start, auto-stop-5s} results{inline-icon, right}</v>
      </c>
      <c r="F697" t="str">
        <f t="shared" si="114"/>
        <v>audio</v>
      </c>
      <c r="G697" t="str">
        <f t="shared" si="115"/>
        <v>K54. display{inline-icon, right} inputs{floating, auto-start, auto-stop-5s} results{inline-icon, right}</v>
      </c>
      <c r="H697" t="str">
        <f t="shared" si="116"/>
        <v>audio</v>
      </c>
      <c r="J697" t="s">
        <v>1580</v>
      </c>
      <c r="K697" s="32" t="s">
        <v>1580</v>
      </c>
    </row>
    <row r="698" spans="1:12" x14ac:dyDescent="0.25">
      <c r="A698" t="s">
        <v>29</v>
      </c>
      <c r="B698" t="str">
        <f t="shared" si="112"/>
        <v>audio_k55</v>
      </c>
      <c r="C698" t="s">
        <v>1601</v>
      </c>
      <c r="E698" t="str">
        <f t="shared" si="113"/>
        <v>K55. display{inline-icon, right} inputs{floating, auto-start, auto-stop-5s} results{inline-icon, right, hide(size, capture), voice_effect-Echo}</v>
      </c>
      <c r="F698" t="str">
        <f t="shared" si="114"/>
        <v>audio</v>
      </c>
      <c r="G698" t="str">
        <f t="shared" si="115"/>
        <v>K55. display{inline-icon, right} inputs{floating, auto-start, auto-stop-5s} results{inline-icon, right, hide(size, capture), voice_effect-Echo}</v>
      </c>
      <c r="H698" t="str">
        <f t="shared" si="116"/>
        <v>audio</v>
      </c>
      <c r="J698" t="s">
        <v>1581</v>
      </c>
      <c r="K698" s="32" t="s">
        <v>1581</v>
      </c>
    </row>
    <row r="699" spans="1:12" x14ac:dyDescent="0.25">
      <c r="A699" t="s">
        <v>29</v>
      </c>
      <c r="B699" t="str">
        <f t="shared" si="112"/>
        <v>audio_k56</v>
      </c>
      <c r="C699" t="s">
        <v>1689</v>
      </c>
      <c r="E699" t="str">
        <f t="shared" si="113"/>
        <v>K56. display{inline-icon, right, &lt;#0099FF/&gt;} inputs{} results{inline-icon, right}</v>
      </c>
      <c r="F699" t="str">
        <f t="shared" si="114"/>
        <v>audio</v>
      </c>
      <c r="G699" t="str">
        <f t="shared" si="115"/>
        <v>K56. display{inline-icon, right, &lt;#0099FF/&gt;} inputs{} results{inline-icon, right}</v>
      </c>
      <c r="H699" t="str">
        <f t="shared" si="116"/>
        <v>audio</v>
      </c>
      <c r="J699" t="s">
        <v>1602</v>
      </c>
      <c r="K699" s="32" t="s">
        <v>1602</v>
      </c>
    </row>
    <row r="700" spans="1:12" x14ac:dyDescent="0.25">
      <c r="A700" t="s">
        <v>29</v>
      </c>
      <c r="B700" t="str">
        <f t="shared" si="112"/>
        <v>audio_k57</v>
      </c>
      <c r="C700" t="s">
        <v>1690</v>
      </c>
      <c r="E700" t="str">
        <f t="shared" si="113"/>
        <v>K57. display{inline-icon, right, &lt;#0099FF/&gt;} inputs{} results{inline-icon, right, voice_effect-Echo}</v>
      </c>
      <c r="F700" t="str">
        <f t="shared" si="114"/>
        <v>audio</v>
      </c>
      <c r="G700" t="str">
        <f t="shared" si="115"/>
        <v>K57. display{inline-icon, right, &lt;#0099FF/&gt;} inputs{} results{inline-icon, right, voice_effect-Echo}</v>
      </c>
      <c r="H700" t="str">
        <f t="shared" si="116"/>
        <v>audio</v>
      </c>
      <c r="J700" t="s">
        <v>1603</v>
      </c>
      <c r="K700" s="32" t="s">
        <v>1603</v>
      </c>
      <c r="L700" t="s">
        <v>1083</v>
      </c>
    </row>
    <row r="701" spans="1:12" x14ac:dyDescent="0.25">
      <c r="A701" t="s">
        <v>29</v>
      </c>
      <c r="B701" t="str">
        <f t="shared" si="112"/>
        <v>audio_k58</v>
      </c>
      <c r="C701" t="s">
        <v>1691</v>
      </c>
      <c r="E701" t="str">
        <f t="shared" si="113"/>
        <v>K58. display{inline-icon, right, &lt;#0099FF/&gt;} inputs{auto-start, auto-stop-5s} results{inline-icon, right}</v>
      </c>
      <c r="F701" t="str">
        <f t="shared" si="114"/>
        <v>audio</v>
      </c>
      <c r="G701" t="str">
        <f t="shared" si="115"/>
        <v>K58. display{inline-icon, right, &lt;#0099FF/&gt;} inputs{auto-start, auto-stop-5s} results{inline-icon, right}</v>
      </c>
      <c r="H701" t="str">
        <f t="shared" si="116"/>
        <v>audio</v>
      </c>
      <c r="J701" t="s">
        <v>1604</v>
      </c>
      <c r="K701" s="32" t="s">
        <v>1604</v>
      </c>
      <c r="L701" t="s">
        <v>1083</v>
      </c>
    </row>
    <row r="702" spans="1:12" x14ac:dyDescent="0.25">
      <c r="A702" t="s">
        <v>29</v>
      </c>
      <c r="B702" t="str">
        <f t="shared" si="112"/>
        <v>audio_k59</v>
      </c>
      <c r="C702" t="s">
        <v>1692</v>
      </c>
      <c r="E702" t="str">
        <f t="shared" si="113"/>
        <v>K59. display{inline-icon, right, &lt;#0099FF/&gt;} inputs{floating} results{inline-icon, right}</v>
      </c>
      <c r="F702" t="str">
        <f t="shared" si="114"/>
        <v>audio</v>
      </c>
      <c r="G702" t="str">
        <f t="shared" si="115"/>
        <v>K59. display{inline-icon, right, &lt;#0099FF/&gt;} inputs{floating} results{inline-icon, right}</v>
      </c>
      <c r="H702" t="str">
        <f t="shared" si="116"/>
        <v>audio</v>
      </c>
      <c r="J702" t="s">
        <v>1605</v>
      </c>
      <c r="K702" s="32" t="s">
        <v>1605</v>
      </c>
      <c r="L702" t="s">
        <v>1083</v>
      </c>
    </row>
    <row r="703" spans="1:12" x14ac:dyDescent="0.25">
      <c r="A703" t="s">
        <v>29</v>
      </c>
      <c r="B703" t="str">
        <f t="shared" si="112"/>
        <v>audio_k60</v>
      </c>
      <c r="C703" t="s">
        <v>1693</v>
      </c>
      <c r="E703" t="str">
        <f t="shared" si="113"/>
        <v>K60. display{inline-icon, right, &lt;#0099FF/&gt;} inputs{floating, auto-start, auto-stop-5s} results{inline-icon, right, hide(size, capture), voice_effect-Echo}</v>
      </c>
      <c r="F703" t="str">
        <f t="shared" si="114"/>
        <v>audio</v>
      </c>
      <c r="G703" t="str">
        <f t="shared" si="115"/>
        <v>K60. display{inline-icon, right, &lt;#0099FF/&gt;} inputs{floating, auto-start, auto-stop-5s} results{inline-icon, right, hide(size, capture), voice_effect-Echo}</v>
      </c>
      <c r="H703" t="str">
        <f t="shared" si="116"/>
        <v>audio</v>
      </c>
      <c r="J703" t="s">
        <v>1606</v>
      </c>
      <c r="K703" s="32" t="s">
        <v>1606</v>
      </c>
    </row>
    <row r="704" spans="1:12" x14ac:dyDescent="0.25">
      <c r="A704" t="s">
        <v>39</v>
      </c>
      <c r="E704" t="str">
        <f>CONCATENATE(PROPER(C704),". ",D704)</f>
        <v xml:space="preserve">. </v>
      </c>
    </row>
    <row r="705" spans="1:18" x14ac:dyDescent="0.25">
      <c r="A705" t="s">
        <v>39</v>
      </c>
      <c r="E705" t="str">
        <f>CONCATENATE(PROPER(C705),". ",D705)</f>
        <v xml:space="preserve">. </v>
      </c>
      <c r="J705" t="str">
        <f t="shared" ref="J705:J821" si="117">TRIM(CONCATENATE(K705," ",L705," ",M705))</f>
        <v/>
      </c>
    </row>
    <row r="706" spans="1:18" x14ac:dyDescent="0.25">
      <c r="A706" t="s">
        <v>38</v>
      </c>
      <c r="B706" t="str">
        <f>CONCATENATE("bg_section_",C706)</f>
        <v>bg_section_l</v>
      </c>
      <c r="C706" t="s">
        <v>779</v>
      </c>
      <c r="D706" t="s">
        <v>993</v>
      </c>
      <c r="E706" t="str">
        <f>CONCATENATE(PROPER(C706),". ",D706)</f>
        <v>L. VIDEO appearance</v>
      </c>
      <c r="G706" t="str">
        <f>CONCATENATE(PROPER(C706),". ",D706)</f>
        <v>L. VIDEO appearance</v>
      </c>
      <c r="J706" t="str">
        <f t="shared" si="117"/>
        <v>section</v>
      </c>
      <c r="K706" s="32" t="s">
        <v>43</v>
      </c>
      <c r="R706" t="s">
        <v>201</v>
      </c>
    </row>
    <row r="707" spans="1:18" x14ac:dyDescent="0.25">
      <c r="A707" t="s">
        <v>38</v>
      </c>
      <c r="B707" t="str">
        <f>CONCATENATE("bg_field_",C707)</f>
        <v>bg_field_l</v>
      </c>
      <c r="C707" t="s">
        <v>779</v>
      </c>
      <c r="D707" t="s">
        <v>993</v>
      </c>
      <c r="E707" t="str">
        <f>CONCATENATE(PROPER(C707),". ",D707)</f>
        <v>L. VIDEO appearance</v>
      </c>
      <c r="G707" t="str">
        <f>CONCATENATE(PROPER(C707),". ",D707)</f>
        <v>L. VIDEO appearance</v>
      </c>
      <c r="J707" t="str">
        <f t="shared" si="117"/>
        <v>field-list</v>
      </c>
      <c r="K707" s="32" t="s">
        <v>40</v>
      </c>
    </row>
    <row r="708" spans="1:18" x14ac:dyDescent="0.25">
      <c r="A708" t="s">
        <v>37</v>
      </c>
      <c r="B708" t="str">
        <f>CONCATENATE(SUBSTITUTE(A708," ","_"),"_",C708)</f>
        <v>note_l</v>
      </c>
      <c r="C708" t="s">
        <v>779</v>
      </c>
      <c r="D708" t="s">
        <v>75</v>
      </c>
      <c r="E708" t="str">
        <f>CONCATENATE(PROPER(C708),". ",D708)</f>
        <v>L. VIDEO</v>
      </c>
      <c r="F708" t="s">
        <v>1000</v>
      </c>
      <c r="G708" t="str">
        <f>CONCATENATE(PROPER(C708),". ",D708)</f>
        <v>L. VIDEO</v>
      </c>
      <c r="H708" t="s">
        <v>1000</v>
      </c>
      <c r="J708" t="str">
        <f t="shared" si="117"/>
        <v/>
      </c>
    </row>
    <row r="709" spans="1:18" x14ac:dyDescent="0.25">
      <c r="A709" t="s">
        <v>30</v>
      </c>
      <c r="B709" t="str">
        <f t="shared" ref="B709:B738" si="118">CONCATENATE(SUBSTITUTE(A709," ","_"),"_",C709)</f>
        <v>video_l1</v>
      </c>
      <c r="C709" t="s">
        <v>780</v>
      </c>
      <c r="E709" t="str">
        <f t="shared" ref="E709:E738" si="119">CONCATENATE(PROPER(C709),". ",J709)</f>
        <v>L1. inline</v>
      </c>
      <c r="F709" t="str">
        <f t="shared" ref="F709:F738" si="120">A709</f>
        <v>video</v>
      </c>
      <c r="G709" t="str">
        <f t="shared" ref="G709:G738" si="121">CONCATENATE(PROPER(C709),". ",J709)</f>
        <v>L1. inline</v>
      </c>
      <c r="H709" t="str">
        <f t="shared" ref="H709:H738" si="122">A709</f>
        <v>video</v>
      </c>
      <c r="J709" t="str">
        <f t="shared" si="117"/>
        <v>inline</v>
      </c>
      <c r="K709" s="32" t="s">
        <v>53</v>
      </c>
    </row>
    <row r="710" spans="1:18" x14ac:dyDescent="0.25">
      <c r="A710" t="s">
        <v>30</v>
      </c>
      <c r="B710" t="str">
        <f t="shared" si="118"/>
        <v>video_l2</v>
      </c>
      <c r="C710" t="s">
        <v>781</v>
      </c>
      <c r="E710" t="str">
        <f t="shared" si="119"/>
        <v>L2. inline &lt;#0099FF/&gt;</v>
      </c>
      <c r="F710" t="str">
        <f t="shared" si="120"/>
        <v>video</v>
      </c>
      <c r="G710" t="str">
        <f t="shared" si="121"/>
        <v>L2. inline &lt;#0099FF/&gt;</v>
      </c>
      <c r="H710" t="str">
        <f t="shared" si="122"/>
        <v>video</v>
      </c>
      <c r="J710" t="str">
        <f t="shared" si="117"/>
        <v>inline &lt;#0099FF/&gt;</v>
      </c>
      <c r="K710" s="32" t="s">
        <v>464</v>
      </c>
    </row>
    <row r="711" spans="1:18" x14ac:dyDescent="0.25">
      <c r="A711" t="s">
        <v>30</v>
      </c>
      <c r="B711" t="str">
        <f t="shared" si="118"/>
        <v>video_l3</v>
      </c>
      <c r="C711" t="s">
        <v>1483</v>
      </c>
      <c r="E711" t="str">
        <f t="shared" si="119"/>
        <v>L3. size-360</v>
      </c>
      <c r="F711" t="str">
        <f t="shared" si="120"/>
        <v>video</v>
      </c>
      <c r="G711" t="str">
        <f t="shared" si="121"/>
        <v>L3. size-360</v>
      </c>
      <c r="H711" t="str">
        <f t="shared" si="122"/>
        <v>video</v>
      </c>
      <c r="J711" t="str">
        <f t="shared" si="117"/>
        <v>size-360</v>
      </c>
      <c r="K711" s="32" t="s">
        <v>296</v>
      </c>
    </row>
    <row r="712" spans="1:18" x14ac:dyDescent="0.25">
      <c r="A712" t="s">
        <v>30</v>
      </c>
      <c r="B712" t="str">
        <f t="shared" si="118"/>
        <v>video_l4</v>
      </c>
      <c r="C712" t="s">
        <v>1484</v>
      </c>
      <c r="E712" t="str">
        <f t="shared" si="119"/>
        <v>L4. inline size-720</v>
      </c>
      <c r="F712" t="str">
        <f t="shared" si="120"/>
        <v>video</v>
      </c>
      <c r="G712" t="str">
        <f t="shared" si="121"/>
        <v>L4. inline size-720</v>
      </c>
      <c r="H712" t="str">
        <f t="shared" si="122"/>
        <v>video</v>
      </c>
      <c r="J712" t="str">
        <f t="shared" si="117"/>
        <v>inline size-720</v>
      </c>
      <c r="K712" s="32" t="s">
        <v>295</v>
      </c>
    </row>
    <row r="713" spans="1:18" x14ac:dyDescent="0.25">
      <c r="A713" t="s">
        <v>30</v>
      </c>
      <c r="B713" t="str">
        <f t="shared" si="118"/>
        <v>video_l5</v>
      </c>
      <c r="C713" t="s">
        <v>1485</v>
      </c>
      <c r="E713" t="str">
        <f t="shared" si="119"/>
        <v>L5. inline &lt;#0099FF/&gt; size-1440</v>
      </c>
      <c r="F713" t="str">
        <f t="shared" si="120"/>
        <v>video</v>
      </c>
      <c r="G713" t="str">
        <f t="shared" si="121"/>
        <v>L5. inline &lt;#0099FF/&gt; size-1440</v>
      </c>
      <c r="H713" t="str">
        <f t="shared" si="122"/>
        <v>video</v>
      </c>
      <c r="J713" t="str">
        <f t="shared" si="117"/>
        <v>inline &lt;#0099FF/&gt; size-1440</v>
      </c>
      <c r="K713" s="32" t="s">
        <v>465</v>
      </c>
    </row>
    <row r="714" spans="1:18" x14ac:dyDescent="0.25">
      <c r="A714" t="s">
        <v>30</v>
      </c>
      <c r="B714" t="str">
        <f t="shared" si="118"/>
        <v>video_l6</v>
      </c>
      <c r="C714" t="s">
        <v>782</v>
      </c>
      <c r="E714" t="str">
        <f t="shared" si="119"/>
        <v>L6. auto-start-recording</v>
      </c>
      <c r="F714" t="str">
        <f t="shared" si="120"/>
        <v>video</v>
      </c>
      <c r="G714" t="str">
        <f t="shared" si="121"/>
        <v>L6. auto-start-recording</v>
      </c>
      <c r="H714" t="str">
        <f t="shared" si="122"/>
        <v>video</v>
      </c>
      <c r="J714" t="str">
        <f t="shared" si="117"/>
        <v>auto-start-recording</v>
      </c>
      <c r="K714" s="32" t="s">
        <v>290</v>
      </c>
    </row>
    <row r="715" spans="1:18" x14ac:dyDescent="0.25">
      <c r="A715" t="s">
        <v>30</v>
      </c>
      <c r="B715" t="str">
        <f t="shared" si="118"/>
        <v>video_l7</v>
      </c>
      <c r="C715" t="s">
        <v>783</v>
      </c>
      <c r="E715" t="str">
        <f t="shared" si="119"/>
        <v>L7. inline auto-start-recording</v>
      </c>
      <c r="F715" t="str">
        <f t="shared" si="120"/>
        <v>video</v>
      </c>
      <c r="G715" t="str">
        <f t="shared" si="121"/>
        <v>L7. inline auto-start-recording</v>
      </c>
      <c r="H715" t="str">
        <f t="shared" si="122"/>
        <v>video</v>
      </c>
      <c r="J715" t="str">
        <f t="shared" si="117"/>
        <v>inline auto-start-recording</v>
      </c>
      <c r="K715" s="32" t="s">
        <v>294</v>
      </c>
    </row>
    <row r="716" spans="1:18" x14ac:dyDescent="0.25">
      <c r="A716" t="s">
        <v>30</v>
      </c>
      <c r="B716" t="str">
        <f t="shared" si="118"/>
        <v>video_l8</v>
      </c>
      <c r="C716" t="s">
        <v>784</v>
      </c>
      <c r="E716" t="str">
        <f t="shared" si="119"/>
        <v>L8. inline &lt;#0099FF/&gt; auto-start-recording</v>
      </c>
      <c r="F716" t="str">
        <f t="shared" si="120"/>
        <v>video</v>
      </c>
      <c r="G716" t="str">
        <f t="shared" si="121"/>
        <v>L8. inline &lt;#0099FF/&gt; auto-start-recording</v>
      </c>
      <c r="H716" t="str">
        <f t="shared" si="122"/>
        <v>video</v>
      </c>
      <c r="J716" t="str">
        <f t="shared" si="117"/>
        <v>inline &lt;#0099FF/&gt; auto-start-recording</v>
      </c>
      <c r="K716" s="32" t="s">
        <v>466</v>
      </c>
    </row>
    <row r="717" spans="1:18" x14ac:dyDescent="0.25">
      <c r="A717" t="s">
        <v>30</v>
      </c>
      <c r="B717" t="str">
        <f t="shared" si="118"/>
        <v>video_l9</v>
      </c>
      <c r="C717" t="s">
        <v>785</v>
      </c>
      <c r="E717" t="str">
        <f t="shared" si="119"/>
        <v>L9. end-stop-10s</v>
      </c>
      <c r="F717" t="str">
        <f t="shared" si="120"/>
        <v>video</v>
      </c>
      <c r="G717" t="str">
        <f t="shared" si="121"/>
        <v>L9. end-stop-10s</v>
      </c>
      <c r="H717" t="str">
        <f t="shared" si="122"/>
        <v>video</v>
      </c>
      <c r="J717" t="str">
        <f t="shared" si="117"/>
        <v>end-stop-10s</v>
      </c>
      <c r="K717" s="32" t="s">
        <v>291</v>
      </c>
    </row>
    <row r="718" spans="1:18" x14ac:dyDescent="0.25">
      <c r="A718" t="s">
        <v>30</v>
      </c>
      <c r="B718" t="str">
        <f t="shared" si="118"/>
        <v>video_l10</v>
      </c>
      <c r="C718" t="s">
        <v>786</v>
      </c>
      <c r="E718" t="str">
        <f t="shared" si="119"/>
        <v>L10. inline end-stop-20s</v>
      </c>
      <c r="F718" t="str">
        <f t="shared" si="120"/>
        <v>video</v>
      </c>
      <c r="G718" t="str">
        <f t="shared" si="121"/>
        <v>L10. inline end-stop-20s</v>
      </c>
      <c r="H718" t="str">
        <f t="shared" si="122"/>
        <v>video</v>
      </c>
      <c r="J718" t="str">
        <f t="shared" si="117"/>
        <v>inline end-stop-20s</v>
      </c>
      <c r="K718" s="32" t="s">
        <v>293</v>
      </c>
    </row>
    <row r="719" spans="1:18" x14ac:dyDescent="0.25">
      <c r="A719" t="s">
        <v>30</v>
      </c>
      <c r="B719" t="str">
        <f t="shared" si="118"/>
        <v>video_l11</v>
      </c>
      <c r="C719" t="s">
        <v>787</v>
      </c>
      <c r="E719" t="str">
        <f t="shared" si="119"/>
        <v>L11. inline &lt;#0099FF/&gt; end-stop-5s</v>
      </c>
      <c r="F719" t="str">
        <f t="shared" si="120"/>
        <v>video</v>
      </c>
      <c r="G719" t="str">
        <f t="shared" si="121"/>
        <v>L11. inline &lt;#0099FF/&gt; end-stop-5s</v>
      </c>
      <c r="H719" t="str">
        <f t="shared" si="122"/>
        <v>video</v>
      </c>
      <c r="J719" t="str">
        <f t="shared" si="117"/>
        <v>inline &lt;#0099FF/&gt; end-stop-5s</v>
      </c>
      <c r="K719" s="32" t="s">
        <v>467</v>
      </c>
    </row>
    <row r="720" spans="1:18" x14ac:dyDescent="0.25">
      <c r="A720" t="s">
        <v>30</v>
      </c>
      <c r="B720" t="str">
        <f t="shared" si="118"/>
        <v>video_l12</v>
      </c>
      <c r="C720" t="s">
        <v>788</v>
      </c>
      <c r="E720" t="str">
        <f t="shared" si="119"/>
        <v>L12. inline auto-start-recording end-stop-10s</v>
      </c>
      <c r="F720" t="str">
        <f t="shared" si="120"/>
        <v>video</v>
      </c>
      <c r="G720" t="str">
        <f t="shared" si="121"/>
        <v>L12. inline auto-start-recording end-stop-10s</v>
      </c>
      <c r="H720" t="str">
        <f t="shared" si="122"/>
        <v>video</v>
      </c>
      <c r="J720" t="str">
        <f t="shared" si="117"/>
        <v>inline auto-start-recording end-stop-10s</v>
      </c>
      <c r="K720" s="32" t="s">
        <v>292</v>
      </c>
    </row>
    <row r="721" spans="1:11" x14ac:dyDescent="0.25">
      <c r="A721" t="s">
        <v>30</v>
      </c>
      <c r="B721" t="str">
        <f t="shared" si="118"/>
        <v>video_l13</v>
      </c>
      <c r="C721" t="s">
        <v>789</v>
      </c>
      <c r="E721" t="str">
        <f t="shared" si="119"/>
        <v>L13. inline &lt;#0099FF/&gt; auto-start-recording end-stop-10s</v>
      </c>
      <c r="F721" t="str">
        <f t="shared" si="120"/>
        <v>video</v>
      </c>
      <c r="G721" t="str">
        <f t="shared" si="121"/>
        <v>L13. inline &lt;#0099FF/&gt; auto-start-recording end-stop-10s</v>
      </c>
      <c r="H721" t="str">
        <f t="shared" si="122"/>
        <v>video</v>
      </c>
      <c r="J721" t="str">
        <f t="shared" si="117"/>
        <v>inline &lt;#0099FF/&gt; auto-start-recording end-stop-10s</v>
      </c>
      <c r="K721" s="32" t="s">
        <v>468</v>
      </c>
    </row>
    <row r="722" spans="1:11" x14ac:dyDescent="0.25">
      <c r="A722" t="s">
        <v>30</v>
      </c>
      <c r="B722" t="str">
        <f t="shared" si="118"/>
        <v>video_l14</v>
      </c>
      <c r="C722" t="s">
        <v>790</v>
      </c>
      <c r="E722" t="str">
        <f t="shared" si="119"/>
        <v>L14. inline thumbnail-square-[900x600]</v>
      </c>
      <c r="F722" t="str">
        <f t="shared" si="120"/>
        <v>video</v>
      </c>
      <c r="G722" t="str">
        <f t="shared" si="121"/>
        <v>L14. inline thumbnail-square-[900x600]</v>
      </c>
      <c r="H722" t="str">
        <f t="shared" si="122"/>
        <v>video</v>
      </c>
      <c r="J722" t="str">
        <f t="shared" si="117"/>
        <v>inline thumbnail-square-[900x600]</v>
      </c>
      <c r="K722" s="32" t="s">
        <v>417</v>
      </c>
    </row>
    <row r="723" spans="1:11" x14ac:dyDescent="0.25">
      <c r="A723" t="s">
        <v>30</v>
      </c>
      <c r="B723" t="str">
        <f t="shared" si="118"/>
        <v>video_l15</v>
      </c>
      <c r="C723" t="s">
        <v>1611</v>
      </c>
      <c r="E723" t="str">
        <f t="shared" si="119"/>
        <v>L15. display{inline-icon, right} inputs{} results{inline-icon, right}</v>
      </c>
      <c r="F723" t="str">
        <f t="shared" si="120"/>
        <v>video</v>
      </c>
      <c r="G723" t="str">
        <f t="shared" si="121"/>
        <v>L15. display{inline-icon, right} inputs{} results{inline-icon, right}</v>
      </c>
      <c r="H723" t="str">
        <f t="shared" si="122"/>
        <v>video</v>
      </c>
      <c r="J723" t="s">
        <v>1505</v>
      </c>
      <c r="K723" s="32" t="s">
        <v>1505</v>
      </c>
    </row>
    <row r="724" spans="1:11" x14ac:dyDescent="0.25">
      <c r="A724" t="s">
        <v>30</v>
      </c>
      <c r="B724" t="str">
        <f t="shared" si="118"/>
        <v>video_l16</v>
      </c>
      <c r="C724" t="s">
        <v>1612</v>
      </c>
      <c r="E724" t="str">
        <f t="shared" si="119"/>
        <v>L16. display{inline-icon, right, small} inputs{} results{inline-icon, right, hide(filename)}</v>
      </c>
      <c r="F724" t="str">
        <f t="shared" si="120"/>
        <v>video</v>
      </c>
      <c r="G724" t="str">
        <f t="shared" si="121"/>
        <v>L16. display{inline-icon, right, small} inputs{} results{inline-icon, right, hide(filename)}</v>
      </c>
      <c r="H724" t="str">
        <f t="shared" si="122"/>
        <v>video</v>
      </c>
      <c r="J724" t="s">
        <v>1506</v>
      </c>
      <c r="K724" s="32" t="s">
        <v>1506</v>
      </c>
    </row>
    <row r="725" spans="1:11" x14ac:dyDescent="0.25">
      <c r="A725" t="s">
        <v>30</v>
      </c>
      <c r="B725" t="str">
        <f t="shared" si="118"/>
        <v>video_l17</v>
      </c>
      <c r="C725" t="s">
        <v>1613</v>
      </c>
      <c r="E725" t="str">
        <f t="shared" si="119"/>
        <v>L17. display{inline-icon, right, medium} inputs{} results{inline-icon, right, hide(size)}</v>
      </c>
      <c r="F725" t="str">
        <f t="shared" si="120"/>
        <v>video</v>
      </c>
      <c r="G725" t="str">
        <f t="shared" si="121"/>
        <v>L17. display{inline-icon, right, medium} inputs{} results{inline-icon, right, hide(size)}</v>
      </c>
      <c r="H725" t="str">
        <f t="shared" si="122"/>
        <v>video</v>
      </c>
      <c r="J725" t="s">
        <v>1571</v>
      </c>
      <c r="K725" s="32" t="s">
        <v>1571</v>
      </c>
    </row>
    <row r="726" spans="1:11" x14ac:dyDescent="0.25">
      <c r="A726" t="s">
        <v>30</v>
      </c>
      <c r="B726" t="str">
        <f t="shared" si="118"/>
        <v>video_l18</v>
      </c>
      <c r="C726" t="s">
        <v>1614</v>
      </c>
      <c r="E726" t="str">
        <f t="shared" si="119"/>
        <v>L18. display{inline-icon, right, large} inputs{} results{inline-icon, right, hide(duration)}</v>
      </c>
      <c r="F726" t="str">
        <f t="shared" si="120"/>
        <v>video</v>
      </c>
      <c r="G726" t="str">
        <f t="shared" si="121"/>
        <v>L18. display{inline-icon, right, large} inputs{} results{inline-icon, right, hide(duration)}</v>
      </c>
      <c r="H726" t="str">
        <f t="shared" si="122"/>
        <v>video</v>
      </c>
      <c r="J726" t="s">
        <v>1572</v>
      </c>
      <c r="K726" s="32" t="s">
        <v>1572</v>
      </c>
    </row>
    <row r="727" spans="1:11" x14ac:dyDescent="0.25">
      <c r="A727" t="s">
        <v>30</v>
      </c>
      <c r="B727" t="str">
        <f t="shared" si="118"/>
        <v>video_l19</v>
      </c>
      <c r="C727" t="s">
        <v>1615</v>
      </c>
      <c r="E727" t="str">
        <f t="shared" si="119"/>
        <v>L19. display{inline-icon, right} inputs{} results{inline-icon, right, hide(review)}</v>
      </c>
      <c r="F727" t="str">
        <f t="shared" si="120"/>
        <v>video</v>
      </c>
      <c r="G727" t="str">
        <f t="shared" si="121"/>
        <v>L19. display{inline-icon, right} inputs{} results{inline-icon, right, hide(review)}</v>
      </c>
      <c r="H727" t="str">
        <f t="shared" si="122"/>
        <v>video</v>
      </c>
      <c r="J727" t="s">
        <v>1566</v>
      </c>
      <c r="K727" s="32" t="s">
        <v>1566</v>
      </c>
    </row>
    <row r="728" spans="1:11" x14ac:dyDescent="0.25">
      <c r="A728" t="s">
        <v>30</v>
      </c>
      <c r="B728" t="str">
        <f t="shared" si="118"/>
        <v>video_l20</v>
      </c>
      <c r="C728" t="s">
        <v>1616</v>
      </c>
      <c r="E728" t="str">
        <f t="shared" si="119"/>
        <v>L20. display{inline-icon, right} inputs{back_camera} results{inline-icon, right, hide(capture)}</v>
      </c>
      <c r="F728" t="str">
        <f t="shared" si="120"/>
        <v>video</v>
      </c>
      <c r="G728" t="str">
        <f t="shared" si="121"/>
        <v>L20. display{inline-icon, right} inputs{back_camera} results{inline-icon, right, hide(capture)}</v>
      </c>
      <c r="H728" t="str">
        <f t="shared" si="122"/>
        <v>video</v>
      </c>
      <c r="J728" t="s">
        <v>1607</v>
      </c>
      <c r="K728" s="32" t="s">
        <v>1607</v>
      </c>
    </row>
    <row r="729" spans="1:11" x14ac:dyDescent="0.25">
      <c r="A729" t="s">
        <v>30</v>
      </c>
      <c r="B729" t="str">
        <f t="shared" si="118"/>
        <v>video_l21</v>
      </c>
      <c r="C729" t="s">
        <v>1617</v>
      </c>
      <c r="E729" t="str">
        <f t="shared" si="119"/>
        <v>L21. display{inline-icon, right} inputs{front_camera} results{inline-icon, right, size-400}</v>
      </c>
      <c r="F729" t="str">
        <f t="shared" si="120"/>
        <v>video</v>
      </c>
      <c r="G729" t="str">
        <f t="shared" si="121"/>
        <v>L21. display{inline-icon, right} inputs{front_camera} results{inline-icon, right, size-400}</v>
      </c>
      <c r="H729" t="str">
        <f t="shared" si="122"/>
        <v>video</v>
      </c>
      <c r="J729" t="s">
        <v>1511</v>
      </c>
      <c r="K729" s="32" t="s">
        <v>1511</v>
      </c>
    </row>
    <row r="730" spans="1:11" x14ac:dyDescent="0.25">
      <c r="A730" t="s">
        <v>30</v>
      </c>
      <c r="B730" t="str">
        <f t="shared" si="118"/>
        <v>video_l22</v>
      </c>
      <c r="C730" t="s">
        <v>1618</v>
      </c>
      <c r="E730" t="str">
        <f t="shared" si="119"/>
        <v>L22. display{inline-icon, right} inputs{auto-start} results{inline-icon, right}</v>
      </c>
      <c r="F730" t="str">
        <f t="shared" si="120"/>
        <v>video</v>
      </c>
      <c r="G730" t="str">
        <f t="shared" si="121"/>
        <v>L22. display{inline-icon, right} inputs{auto-start} results{inline-icon, right}</v>
      </c>
      <c r="H730" t="str">
        <f t="shared" si="122"/>
        <v>video</v>
      </c>
      <c r="J730" t="s">
        <v>1569</v>
      </c>
      <c r="K730" s="32" t="s">
        <v>1569</v>
      </c>
    </row>
    <row r="731" spans="1:11" x14ac:dyDescent="0.25">
      <c r="A731" t="s">
        <v>30</v>
      </c>
      <c r="B731" t="str">
        <f t="shared" si="118"/>
        <v>video_l23</v>
      </c>
      <c r="C731" t="s">
        <v>1619</v>
      </c>
      <c r="E731" t="str">
        <f t="shared" si="119"/>
        <v>L23. display{inline-icon, right} inputs{auto-stop-5s} results{inline-icon, right}</v>
      </c>
      <c r="F731" t="str">
        <f t="shared" si="120"/>
        <v>video</v>
      </c>
      <c r="G731" t="str">
        <f t="shared" si="121"/>
        <v>L23. display{inline-icon, right} inputs{auto-stop-5s} results{inline-icon, right}</v>
      </c>
      <c r="H731" t="str">
        <f t="shared" si="122"/>
        <v>video</v>
      </c>
      <c r="J731" t="s">
        <v>1568</v>
      </c>
      <c r="K731" s="32" t="s">
        <v>1568</v>
      </c>
    </row>
    <row r="732" spans="1:11" x14ac:dyDescent="0.25">
      <c r="A732" t="s">
        <v>30</v>
      </c>
      <c r="B732" t="str">
        <f t="shared" si="118"/>
        <v>video_l24</v>
      </c>
      <c r="C732" t="s">
        <v>1620</v>
      </c>
      <c r="E732" t="str">
        <f t="shared" si="119"/>
        <v>L24. display{inline-icon, right} inputs{back_camera, auto-start, auto-stop-5s} results{inline-icon, right, hide(size, capture), size-400}</v>
      </c>
      <c r="F732" t="str">
        <f t="shared" si="120"/>
        <v>video</v>
      </c>
      <c r="G732" t="str">
        <f t="shared" si="121"/>
        <v>L24. display{inline-icon, right} inputs{back_camera, auto-start, auto-stop-5s} results{inline-icon, right, hide(size, capture), size-400}</v>
      </c>
      <c r="H732" t="str">
        <f t="shared" si="122"/>
        <v>video</v>
      </c>
      <c r="J732" t="s">
        <v>1609</v>
      </c>
      <c r="K732" s="32" t="s">
        <v>1609</v>
      </c>
    </row>
    <row r="733" spans="1:11" x14ac:dyDescent="0.25">
      <c r="A733" t="s">
        <v>30</v>
      </c>
      <c r="B733" t="str">
        <f t="shared" si="118"/>
        <v>video_l25</v>
      </c>
      <c r="C733" t="s">
        <v>1621</v>
      </c>
      <c r="E733" t="str">
        <f t="shared" si="119"/>
        <v>L25. display{inline-icon, right} inputs{2in1} results{inline-icon, right}</v>
      </c>
      <c r="F733" t="str">
        <f t="shared" si="120"/>
        <v>video</v>
      </c>
      <c r="G733" t="str">
        <f t="shared" si="121"/>
        <v>L25. display{inline-icon, right} inputs{2in1} results{inline-icon, right}</v>
      </c>
      <c r="H733" t="str">
        <f t="shared" si="122"/>
        <v>video</v>
      </c>
      <c r="J733" t="s">
        <v>1531</v>
      </c>
      <c r="K733" s="32" t="s">
        <v>1531</v>
      </c>
    </row>
    <row r="734" spans="1:11" x14ac:dyDescent="0.25">
      <c r="A734" t="s">
        <v>30</v>
      </c>
      <c r="B734" t="str">
        <f t="shared" si="118"/>
        <v>video_l26</v>
      </c>
      <c r="C734" t="s">
        <v>1622</v>
      </c>
      <c r="E734" t="str">
        <f t="shared" si="119"/>
        <v>L26. display{inline-icon, right} inputs{2in1, back_camera, auto-start, auto-stop-5s} results{inline-icon, right, hide(filename, size, capture), size-400}</v>
      </c>
      <c r="F734" t="str">
        <f t="shared" si="120"/>
        <v>video</v>
      </c>
      <c r="G734" t="str">
        <f t="shared" si="121"/>
        <v>L26. display{inline-icon, right} inputs{2in1, back_camera, auto-start, auto-stop-5s} results{inline-icon, right, hide(filename, size, capture), size-400}</v>
      </c>
      <c r="H734" t="str">
        <f t="shared" si="122"/>
        <v>video</v>
      </c>
      <c r="J734" t="s">
        <v>1610</v>
      </c>
      <c r="K734" s="32" t="s">
        <v>1610</v>
      </c>
    </row>
    <row r="735" spans="1:11" x14ac:dyDescent="0.25">
      <c r="A735" t="s">
        <v>30</v>
      </c>
      <c r="B735" t="str">
        <f t="shared" si="118"/>
        <v>video_l27</v>
      </c>
      <c r="C735" t="s">
        <v>1623</v>
      </c>
      <c r="E735" t="str">
        <f t="shared" si="119"/>
        <v>L27. display{inline-icon, right, &lt;#0099FF/&gt;} inputs{} results{inline-icon, right}</v>
      </c>
      <c r="F735" t="str">
        <f t="shared" si="120"/>
        <v>video</v>
      </c>
      <c r="G735" t="str">
        <f t="shared" si="121"/>
        <v>L27. display{inline-icon, right, &lt;#0099FF/&gt;} inputs{} results{inline-icon, right}</v>
      </c>
      <c r="H735" t="str">
        <f t="shared" si="122"/>
        <v>video</v>
      </c>
      <c r="J735" t="s">
        <v>1602</v>
      </c>
      <c r="K735" s="32" t="s">
        <v>1602</v>
      </c>
    </row>
    <row r="736" spans="1:11" x14ac:dyDescent="0.25">
      <c r="A736" t="s">
        <v>30</v>
      </c>
      <c r="B736" t="str">
        <f t="shared" si="118"/>
        <v>video_l28</v>
      </c>
      <c r="C736" t="s">
        <v>1624</v>
      </c>
      <c r="E736" t="str">
        <f t="shared" si="119"/>
        <v>L28. display{inline-icon, right, &lt;#0099FF/&gt;} inputs{back_camera, auto-start, auto-stop-5s} results{inline-icon, right, hide(size, capture), size-400}</v>
      </c>
      <c r="F736" t="str">
        <f t="shared" si="120"/>
        <v>video</v>
      </c>
      <c r="G736" t="str">
        <f t="shared" si="121"/>
        <v>L28. display{inline-icon, right, &lt;#0099FF/&gt;} inputs{back_camera, auto-start, auto-stop-5s} results{inline-icon, right, hide(size, capture), size-400}</v>
      </c>
      <c r="H736" t="str">
        <f t="shared" si="122"/>
        <v>video</v>
      </c>
      <c r="J736" t="s">
        <v>1627</v>
      </c>
      <c r="K736" s="32" t="s">
        <v>1627</v>
      </c>
    </row>
    <row r="737" spans="1:18" x14ac:dyDescent="0.25">
      <c r="A737" t="s">
        <v>30</v>
      </c>
      <c r="B737" t="str">
        <f t="shared" si="118"/>
        <v>video_l29</v>
      </c>
      <c r="C737" t="s">
        <v>1625</v>
      </c>
      <c r="E737" t="str">
        <f t="shared" si="119"/>
        <v>L29. display{inline-icon, right, &lt;#0099FF/&gt;} inputs{2in1} results{inline-icon, right}</v>
      </c>
      <c r="F737" t="str">
        <f t="shared" si="120"/>
        <v>video</v>
      </c>
      <c r="G737" t="str">
        <f t="shared" si="121"/>
        <v>L29. display{inline-icon, right, &lt;#0099FF/&gt;} inputs{2in1} results{inline-icon, right}</v>
      </c>
      <c r="H737" t="str">
        <f t="shared" si="122"/>
        <v>video</v>
      </c>
      <c r="J737" t="s">
        <v>1628</v>
      </c>
      <c r="K737" s="32" t="s">
        <v>1628</v>
      </c>
    </row>
    <row r="738" spans="1:18" x14ac:dyDescent="0.25">
      <c r="A738" t="s">
        <v>30</v>
      </c>
      <c r="B738" t="str">
        <f t="shared" si="118"/>
        <v>video_l30</v>
      </c>
      <c r="C738" t="s">
        <v>1626</v>
      </c>
      <c r="E738" t="str">
        <f t="shared" si="119"/>
        <v>L30. display{inline-icon, right, &lt;#0099FF/&gt;} inputs{2in1, back_camera, auto-start, auto-stop-5s} results{inline-icon, right, hide(filename, size, capture), size-400}</v>
      </c>
      <c r="F738" t="str">
        <f t="shared" si="120"/>
        <v>video</v>
      </c>
      <c r="G738" t="str">
        <f t="shared" si="121"/>
        <v>L30. display{inline-icon, right, &lt;#0099FF/&gt;} inputs{2in1, back_camera, auto-start, auto-stop-5s} results{inline-icon, right, hide(filename, size, capture), size-400}</v>
      </c>
      <c r="H738" t="str">
        <f t="shared" si="122"/>
        <v>video</v>
      </c>
      <c r="J738" t="s">
        <v>1629</v>
      </c>
      <c r="K738" s="32" t="s">
        <v>1629</v>
      </c>
    </row>
    <row r="739" spans="1:18" x14ac:dyDescent="0.25">
      <c r="A739" t="s">
        <v>39</v>
      </c>
      <c r="E739" t="str">
        <f>CONCATENATE(PROPER(C739),". ",D739)</f>
        <v xml:space="preserve">. </v>
      </c>
    </row>
    <row r="740" spans="1:18" x14ac:dyDescent="0.25">
      <c r="A740" t="s">
        <v>39</v>
      </c>
      <c r="E740" t="str">
        <f>CONCATENATE(PROPER(C740),". ",D740)</f>
        <v xml:space="preserve">. </v>
      </c>
      <c r="J740" t="str">
        <f t="shared" si="117"/>
        <v/>
      </c>
    </row>
    <row r="741" spans="1:18" x14ac:dyDescent="0.25">
      <c r="A741" t="s">
        <v>38</v>
      </c>
      <c r="B741" t="str">
        <f>CONCATENATE("bg_section_",C741)</f>
        <v>bg_section_m</v>
      </c>
      <c r="C741" t="s">
        <v>791</v>
      </c>
      <c r="D741" t="s">
        <v>1008</v>
      </c>
      <c r="E741" t="str">
        <f>CONCATENATE(PROPER(C741),". ",D741)</f>
        <v>M. DATE appearance</v>
      </c>
      <c r="G741" t="str">
        <f>CONCATENATE(PROPER(C741),". ",D741)</f>
        <v>M. DATE appearance</v>
      </c>
      <c r="J741" t="str">
        <f t="shared" si="117"/>
        <v>section</v>
      </c>
      <c r="K741" s="32" t="s">
        <v>43</v>
      </c>
      <c r="R741" t="s">
        <v>202</v>
      </c>
    </row>
    <row r="742" spans="1:18" x14ac:dyDescent="0.25">
      <c r="A742" t="s">
        <v>38</v>
      </c>
      <c r="B742" t="str">
        <f>CONCATENATE("bg_field_",C742)</f>
        <v>bg_field_m</v>
      </c>
      <c r="C742" t="s">
        <v>791</v>
      </c>
      <c r="D742" t="s">
        <v>1008</v>
      </c>
      <c r="E742" t="str">
        <f>CONCATENATE(PROPER(C742),". ",D742)</f>
        <v>M. DATE appearance</v>
      </c>
      <c r="G742" t="str">
        <f>CONCATENATE(PROPER(C742),". ",D742)</f>
        <v>M. DATE appearance</v>
      </c>
      <c r="J742" t="str">
        <f t="shared" si="117"/>
        <v>field-list</v>
      </c>
      <c r="K742" s="32" t="s">
        <v>40</v>
      </c>
    </row>
    <row r="743" spans="1:18" x14ac:dyDescent="0.25">
      <c r="A743" t="s">
        <v>37</v>
      </c>
      <c r="B743" t="str">
        <f>CONCATENATE(SUBSTITUTE(A743," ","_"),"_",C743)</f>
        <v>note_m</v>
      </c>
      <c r="C743" t="s">
        <v>791</v>
      </c>
      <c r="D743" t="s">
        <v>76</v>
      </c>
      <c r="E743" t="str">
        <f>CONCATENATE(PROPER(C743),". ",D743)</f>
        <v>M. DATE</v>
      </c>
      <c r="F743" t="s">
        <v>1000</v>
      </c>
      <c r="G743" t="str">
        <f>CONCATENATE(PROPER(C743),". ",D743)</f>
        <v>M. DATE</v>
      </c>
      <c r="H743" t="s">
        <v>1000</v>
      </c>
      <c r="J743" t="str">
        <f t="shared" si="117"/>
        <v/>
      </c>
    </row>
    <row r="744" spans="1:18" x14ac:dyDescent="0.25">
      <c r="A744" t="s">
        <v>25</v>
      </c>
      <c r="B744" t="str">
        <f t="shared" ref="B744:B784" si="123">CONCATENATE(SUBSTITUTE(A744," ","_"),"_",C744)</f>
        <v>date_m1</v>
      </c>
      <c r="C744" t="s">
        <v>792</v>
      </c>
      <c r="E744" t="str">
        <f t="shared" ref="E744:E787" si="124">CONCATENATE(PROPER(C744),". ",J744)</f>
        <v>M1. inline</v>
      </c>
      <c r="F744" t="str">
        <f t="shared" ref="F744:F784" si="125">A744</f>
        <v>date</v>
      </c>
      <c r="G744" t="str">
        <f t="shared" ref="G744:G787" si="126">CONCATENATE(PROPER(C744),". ",J744)</f>
        <v>M1. inline</v>
      </c>
      <c r="H744" t="str">
        <f t="shared" ref="H744:H784" si="127">A744</f>
        <v>date</v>
      </c>
      <c r="J744" t="str">
        <f t="shared" si="117"/>
        <v>inline</v>
      </c>
      <c r="K744" s="32" t="s">
        <v>253</v>
      </c>
    </row>
    <row r="745" spans="1:18" x14ac:dyDescent="0.25">
      <c r="A745" t="s">
        <v>25</v>
      </c>
      <c r="B745" t="str">
        <f t="shared" si="123"/>
        <v>date_m2</v>
      </c>
      <c r="C745" t="s">
        <v>793</v>
      </c>
      <c r="E745" t="str">
        <f t="shared" si="124"/>
        <v>M2. inline &lt;#0099FF/&gt;</v>
      </c>
      <c r="F745" t="str">
        <f t="shared" si="125"/>
        <v>date</v>
      </c>
      <c r="G745" t="str">
        <f t="shared" si="126"/>
        <v>M2. inline &lt;#0099FF/&gt;</v>
      </c>
      <c r="H745" t="str">
        <f t="shared" si="127"/>
        <v>date</v>
      </c>
      <c r="J745" t="str">
        <f t="shared" si="117"/>
        <v>inline &lt;#0099FF/&gt;</v>
      </c>
      <c r="K745" s="32" t="s">
        <v>53</v>
      </c>
      <c r="L745" t="s">
        <v>1083</v>
      </c>
    </row>
    <row r="746" spans="1:18" x14ac:dyDescent="0.25">
      <c r="A746" t="s">
        <v>25</v>
      </c>
      <c r="B746" t="str">
        <f t="shared" si="123"/>
        <v>date_m3</v>
      </c>
      <c r="C746" t="s">
        <v>794</v>
      </c>
      <c r="E746" t="str">
        <f t="shared" si="124"/>
        <v>M3. inline-1line</v>
      </c>
      <c r="F746" t="str">
        <f t="shared" si="125"/>
        <v>date</v>
      </c>
      <c r="G746" t="str">
        <f t="shared" si="126"/>
        <v>M3. inline-1line</v>
      </c>
      <c r="H746" t="str">
        <f t="shared" si="127"/>
        <v>date</v>
      </c>
      <c r="J746" t="str">
        <f t="shared" si="117"/>
        <v>inline-1line</v>
      </c>
      <c r="K746" s="32" t="s">
        <v>297</v>
      </c>
    </row>
    <row r="747" spans="1:18" x14ac:dyDescent="0.25">
      <c r="A747" t="s">
        <v>25</v>
      </c>
      <c r="B747" t="str">
        <f t="shared" si="123"/>
        <v>date_m4</v>
      </c>
      <c r="C747" t="s">
        <v>795</v>
      </c>
      <c r="E747" t="str">
        <f t="shared" si="124"/>
        <v>M4. inline-1line-0000FF</v>
      </c>
      <c r="F747" t="str">
        <f t="shared" si="125"/>
        <v>date</v>
      </c>
      <c r="G747" t="str">
        <f t="shared" si="126"/>
        <v>M4. inline-1line-0000FF</v>
      </c>
      <c r="H747" t="str">
        <f t="shared" si="127"/>
        <v>date</v>
      </c>
      <c r="J747" t="str">
        <f t="shared" si="117"/>
        <v>inline-1line-0000FF</v>
      </c>
      <c r="K747" s="32" t="s">
        <v>298</v>
      </c>
    </row>
    <row r="748" spans="1:18" x14ac:dyDescent="0.25">
      <c r="A748" t="s">
        <v>25</v>
      </c>
      <c r="B748" t="str">
        <f t="shared" si="123"/>
        <v>date_m5</v>
      </c>
      <c r="C748" t="s">
        <v>796</v>
      </c>
      <c r="E748" t="str">
        <f t="shared" si="124"/>
        <v>M5. inline-1line-0000FF-FFFF00</v>
      </c>
      <c r="F748" t="str">
        <f t="shared" si="125"/>
        <v>date</v>
      </c>
      <c r="G748" t="str">
        <f t="shared" si="126"/>
        <v>M5. inline-1line-0000FF-FFFF00</v>
      </c>
      <c r="H748" t="str">
        <f t="shared" si="127"/>
        <v>date</v>
      </c>
      <c r="J748" t="str">
        <f t="shared" si="117"/>
        <v>inline-1line-0000FF-FFFF00</v>
      </c>
      <c r="K748" s="32" t="s">
        <v>299</v>
      </c>
    </row>
    <row r="749" spans="1:18" x14ac:dyDescent="0.25">
      <c r="A749" t="s">
        <v>25</v>
      </c>
      <c r="B749" t="str">
        <f t="shared" si="123"/>
        <v>date_m6</v>
      </c>
      <c r="C749" t="s">
        <v>797</v>
      </c>
      <c r="E749" t="str">
        <f t="shared" si="124"/>
        <v>M6. inline-onlyresult</v>
      </c>
      <c r="F749" t="str">
        <f t="shared" si="125"/>
        <v>date</v>
      </c>
      <c r="G749" t="str">
        <f t="shared" si="126"/>
        <v>M6. inline-onlyresult</v>
      </c>
      <c r="H749" t="str">
        <f t="shared" si="127"/>
        <v>date</v>
      </c>
      <c r="J749" t="str">
        <f t="shared" si="117"/>
        <v>inline-onlyresult</v>
      </c>
      <c r="K749" s="32" t="s">
        <v>300</v>
      </c>
    </row>
    <row r="750" spans="1:18" x14ac:dyDescent="0.25">
      <c r="A750" t="s">
        <v>25</v>
      </c>
      <c r="B750" t="str">
        <f t="shared" si="123"/>
        <v>date_m7</v>
      </c>
      <c r="C750" t="s">
        <v>798</v>
      </c>
      <c r="E750" t="str">
        <f t="shared" si="124"/>
        <v>M7. inline-onlyresult &lt;#0099FF/&gt;</v>
      </c>
      <c r="F750" t="str">
        <f t="shared" si="125"/>
        <v>date</v>
      </c>
      <c r="G750" t="str">
        <f t="shared" si="126"/>
        <v>M7. inline-onlyresult &lt;#0099FF/&gt;</v>
      </c>
      <c r="H750" t="str">
        <f t="shared" si="127"/>
        <v>date</v>
      </c>
      <c r="J750" t="str">
        <f t="shared" si="117"/>
        <v>inline-onlyresult &lt;#0099FF/&gt;</v>
      </c>
      <c r="K750" s="32" t="s">
        <v>1160</v>
      </c>
      <c r="L750" t="s">
        <v>1083</v>
      </c>
    </row>
    <row r="751" spans="1:18" x14ac:dyDescent="0.25">
      <c r="A751" t="s">
        <v>25</v>
      </c>
      <c r="B751" t="str">
        <f t="shared" si="123"/>
        <v>date_m8</v>
      </c>
      <c r="C751" t="s">
        <v>799</v>
      </c>
      <c r="E751" t="str">
        <f t="shared" si="124"/>
        <v>M8. inline-1line year</v>
      </c>
      <c r="F751" t="str">
        <f t="shared" si="125"/>
        <v>date</v>
      </c>
      <c r="G751" t="str">
        <f t="shared" si="126"/>
        <v>M8. inline-1line year</v>
      </c>
      <c r="H751" t="str">
        <f t="shared" si="127"/>
        <v>date</v>
      </c>
      <c r="J751" t="str">
        <f t="shared" si="117"/>
        <v>inline-1line year</v>
      </c>
      <c r="K751" s="32" t="s">
        <v>112</v>
      </c>
    </row>
    <row r="752" spans="1:18" x14ac:dyDescent="0.25">
      <c r="A752" t="s">
        <v>25</v>
      </c>
      <c r="B752" t="str">
        <f t="shared" si="123"/>
        <v>date_m9</v>
      </c>
      <c r="C752" t="s">
        <v>800</v>
      </c>
      <c r="E752" t="str">
        <f t="shared" si="124"/>
        <v>M9. inline-1line month</v>
      </c>
      <c r="F752" t="str">
        <f t="shared" si="125"/>
        <v>date</v>
      </c>
      <c r="G752" t="str">
        <f t="shared" si="126"/>
        <v>M9. inline-1line month</v>
      </c>
      <c r="H752" t="str">
        <f t="shared" si="127"/>
        <v>date</v>
      </c>
      <c r="J752" t="str">
        <f t="shared" si="117"/>
        <v>inline-1line month</v>
      </c>
      <c r="K752" s="32" t="s">
        <v>301</v>
      </c>
    </row>
    <row r="753" spans="1:11" x14ac:dyDescent="0.25">
      <c r="A753" t="s">
        <v>25</v>
      </c>
      <c r="B753" t="str">
        <f t="shared" si="123"/>
        <v>date_m10</v>
      </c>
      <c r="C753" t="s">
        <v>801</v>
      </c>
      <c r="E753" t="str">
        <f t="shared" si="124"/>
        <v>M10. inline-1line day</v>
      </c>
      <c r="F753" t="str">
        <f t="shared" si="125"/>
        <v>date</v>
      </c>
      <c r="G753" t="str">
        <f t="shared" si="126"/>
        <v>M10. inline-1line day</v>
      </c>
      <c r="H753" t="str">
        <f t="shared" si="127"/>
        <v>date</v>
      </c>
      <c r="J753" t="str">
        <f t="shared" si="117"/>
        <v>inline-1line day</v>
      </c>
      <c r="K753" s="32" t="s">
        <v>109</v>
      </c>
    </row>
    <row r="754" spans="1:11" x14ac:dyDescent="0.25">
      <c r="A754" t="s">
        <v>25</v>
      </c>
      <c r="B754" t="str">
        <f t="shared" si="123"/>
        <v>date_m11</v>
      </c>
      <c r="C754" t="s">
        <v>802</v>
      </c>
      <c r="E754" t="str">
        <f t="shared" si="124"/>
        <v>M11. inline-1line day-month</v>
      </c>
      <c r="F754" t="str">
        <f t="shared" si="125"/>
        <v>date</v>
      </c>
      <c r="G754" t="str">
        <f t="shared" si="126"/>
        <v>M11. inline-1line day-month</v>
      </c>
      <c r="H754" t="str">
        <f t="shared" si="127"/>
        <v>date</v>
      </c>
      <c r="J754" t="str">
        <f t="shared" si="117"/>
        <v>inline-1line day-month</v>
      </c>
      <c r="K754" s="32" t="s">
        <v>111</v>
      </c>
    </row>
    <row r="755" spans="1:11" x14ac:dyDescent="0.25">
      <c r="A755" t="s">
        <v>25</v>
      </c>
      <c r="B755" t="str">
        <f t="shared" si="123"/>
        <v>date_m12</v>
      </c>
      <c r="C755" t="s">
        <v>803</v>
      </c>
      <c r="E755" t="str">
        <f t="shared" si="124"/>
        <v>M12. inline-1line day-year</v>
      </c>
      <c r="F755" t="str">
        <f t="shared" si="125"/>
        <v>date</v>
      </c>
      <c r="G755" t="str">
        <f t="shared" si="126"/>
        <v>M12. inline-1line day-year</v>
      </c>
      <c r="H755" t="str">
        <f t="shared" si="127"/>
        <v>date</v>
      </c>
      <c r="J755" t="str">
        <f t="shared" si="117"/>
        <v>inline-1line day-year</v>
      </c>
      <c r="K755" s="32" t="s">
        <v>302</v>
      </c>
    </row>
    <row r="756" spans="1:11" x14ac:dyDescent="0.25">
      <c r="A756" t="s">
        <v>25</v>
      </c>
      <c r="B756" t="str">
        <f t="shared" si="123"/>
        <v>date_m13</v>
      </c>
      <c r="C756" t="s">
        <v>804</v>
      </c>
      <c r="E756" t="str">
        <f t="shared" si="124"/>
        <v>M13. inline-1line month-year</v>
      </c>
      <c r="F756" t="str">
        <f t="shared" si="125"/>
        <v>date</v>
      </c>
      <c r="G756" t="str">
        <f t="shared" si="126"/>
        <v>M13. inline-1line month-year</v>
      </c>
      <c r="H756" t="str">
        <f t="shared" si="127"/>
        <v>date</v>
      </c>
      <c r="J756" t="str">
        <f t="shared" si="117"/>
        <v>inline-1line month-year</v>
      </c>
      <c r="K756" s="32" t="s">
        <v>110</v>
      </c>
    </row>
    <row r="757" spans="1:11" x14ac:dyDescent="0.25">
      <c r="A757" t="s">
        <v>25</v>
      </c>
      <c r="B757" t="str">
        <f t="shared" si="123"/>
        <v>date_m14</v>
      </c>
      <c r="C757" t="s">
        <v>805</v>
      </c>
      <c r="E757" t="str">
        <f t="shared" si="124"/>
        <v>M14. inline-1line y_range(2000-2046)</v>
      </c>
      <c r="F757" t="str">
        <f t="shared" si="125"/>
        <v>date</v>
      </c>
      <c r="G757" t="str">
        <f t="shared" si="126"/>
        <v>M14. inline-1line y_range(2000-2046)</v>
      </c>
      <c r="H757" t="str">
        <f t="shared" si="127"/>
        <v>date</v>
      </c>
      <c r="J757" t="str">
        <f t="shared" si="117"/>
        <v>inline-1line y_range(2000-2046)</v>
      </c>
      <c r="K757" s="32" t="s">
        <v>446</v>
      </c>
    </row>
    <row r="758" spans="1:11" x14ac:dyDescent="0.25">
      <c r="A758" t="s">
        <v>25</v>
      </c>
      <c r="B758" t="str">
        <f t="shared" si="123"/>
        <v>date_m15</v>
      </c>
      <c r="C758" t="s">
        <v>806</v>
      </c>
      <c r="E758" t="str">
        <f t="shared" si="124"/>
        <v>M15. inline-[%e-%b-%y ]</v>
      </c>
      <c r="F758" t="str">
        <f t="shared" si="125"/>
        <v>date</v>
      </c>
      <c r="G758" t="str">
        <f t="shared" si="126"/>
        <v>M15. inline-[%e-%b-%y ]</v>
      </c>
      <c r="H758" t="str">
        <f t="shared" si="127"/>
        <v>date</v>
      </c>
      <c r="J758" t="str">
        <f t="shared" si="117"/>
        <v>inline-[%e-%b-%y ]</v>
      </c>
      <c r="K758" s="32" t="s">
        <v>313</v>
      </c>
    </row>
    <row r="759" spans="1:11" x14ac:dyDescent="0.25">
      <c r="A759" t="s">
        <v>25</v>
      </c>
      <c r="B759" t="str">
        <f t="shared" si="123"/>
        <v>date_m16</v>
      </c>
      <c r="C759" t="s">
        <v>807</v>
      </c>
      <c r="E759" t="str">
        <f t="shared" si="124"/>
        <v>M16. inline-[%e-%b-%Y ]</v>
      </c>
      <c r="F759" t="str">
        <f t="shared" si="125"/>
        <v>date</v>
      </c>
      <c r="G759" t="str">
        <f t="shared" si="126"/>
        <v>M16. inline-[%e-%b-%Y ]</v>
      </c>
      <c r="H759" t="str">
        <f t="shared" si="127"/>
        <v>date</v>
      </c>
      <c r="J759" t="str">
        <f t="shared" si="117"/>
        <v>inline-[%e-%b-%Y ]</v>
      </c>
      <c r="K759" s="32" t="s">
        <v>312</v>
      </c>
    </row>
    <row r="760" spans="1:11" x14ac:dyDescent="0.25">
      <c r="A760" t="s">
        <v>25</v>
      </c>
      <c r="B760" t="str">
        <f t="shared" si="123"/>
        <v>date_m17</v>
      </c>
      <c r="C760" t="s">
        <v>808</v>
      </c>
      <c r="E760" t="str">
        <f t="shared" si="124"/>
        <v>M17. inline-[%d-%b-%y ]</v>
      </c>
      <c r="F760" t="str">
        <f t="shared" si="125"/>
        <v>date</v>
      </c>
      <c r="G760" t="str">
        <f t="shared" si="126"/>
        <v>M17. inline-[%d-%b-%y ]</v>
      </c>
      <c r="H760" t="str">
        <f t="shared" si="127"/>
        <v>date</v>
      </c>
      <c r="J760" t="str">
        <f t="shared" si="117"/>
        <v>inline-[%d-%b-%y ]</v>
      </c>
      <c r="K760" s="32" t="s">
        <v>314</v>
      </c>
    </row>
    <row r="761" spans="1:11" x14ac:dyDescent="0.25">
      <c r="A761" t="s">
        <v>25</v>
      </c>
      <c r="B761" t="str">
        <f t="shared" si="123"/>
        <v>date_m18</v>
      </c>
      <c r="C761" t="s">
        <v>809</v>
      </c>
      <c r="E761" t="str">
        <f t="shared" si="124"/>
        <v>M18. inline-[%d-%b-%Y ]</v>
      </c>
      <c r="F761" t="str">
        <f t="shared" si="125"/>
        <v>date</v>
      </c>
      <c r="G761" t="str">
        <f t="shared" si="126"/>
        <v>M18. inline-[%d-%b-%Y ]</v>
      </c>
      <c r="H761" t="str">
        <f t="shared" si="127"/>
        <v>date</v>
      </c>
      <c r="J761" t="str">
        <f t="shared" si="117"/>
        <v>inline-[%d-%b-%Y ]</v>
      </c>
      <c r="K761" s="32" t="s">
        <v>315</v>
      </c>
    </row>
    <row r="762" spans="1:11" x14ac:dyDescent="0.25">
      <c r="A762" t="s">
        <v>25</v>
      </c>
      <c r="B762" t="str">
        <f t="shared" si="123"/>
        <v>date_m19</v>
      </c>
      <c r="C762" t="s">
        <v>810</v>
      </c>
      <c r="E762" t="str">
        <f t="shared" si="124"/>
        <v>M19. inline-[%e-%n-%y ]</v>
      </c>
      <c r="F762" t="str">
        <f t="shared" si="125"/>
        <v>date</v>
      </c>
      <c r="G762" t="str">
        <f t="shared" si="126"/>
        <v>M19. inline-[%e-%n-%y ]</v>
      </c>
      <c r="H762" t="str">
        <f t="shared" si="127"/>
        <v>date</v>
      </c>
      <c r="J762" t="str">
        <f t="shared" si="117"/>
        <v>inline-[%e-%n-%y ]</v>
      </c>
      <c r="K762" s="32" t="s">
        <v>316</v>
      </c>
    </row>
    <row r="763" spans="1:11" x14ac:dyDescent="0.25">
      <c r="A763" t="s">
        <v>25</v>
      </c>
      <c r="B763" t="str">
        <f t="shared" si="123"/>
        <v>date_m20</v>
      </c>
      <c r="C763" t="s">
        <v>811</v>
      </c>
      <c r="E763" t="str">
        <f t="shared" si="124"/>
        <v>M20. inline-[%e-%n-%Y ]</v>
      </c>
      <c r="F763" t="str">
        <f t="shared" si="125"/>
        <v>date</v>
      </c>
      <c r="G763" t="str">
        <f t="shared" si="126"/>
        <v>M20. inline-[%e-%n-%Y ]</v>
      </c>
      <c r="H763" t="str">
        <f t="shared" si="127"/>
        <v>date</v>
      </c>
      <c r="J763" t="str">
        <f t="shared" si="117"/>
        <v>inline-[%e-%n-%Y ]</v>
      </c>
      <c r="K763" s="32" t="s">
        <v>317</v>
      </c>
    </row>
    <row r="764" spans="1:11" x14ac:dyDescent="0.25">
      <c r="A764" t="s">
        <v>25</v>
      </c>
      <c r="B764" t="str">
        <f t="shared" si="123"/>
        <v>date_m21</v>
      </c>
      <c r="C764" t="s">
        <v>812</v>
      </c>
      <c r="E764" t="str">
        <f t="shared" si="124"/>
        <v>M21. inline-[%d-%n-%y ]</v>
      </c>
      <c r="F764" t="str">
        <f t="shared" si="125"/>
        <v>date</v>
      </c>
      <c r="G764" t="str">
        <f t="shared" si="126"/>
        <v>M21. inline-[%d-%n-%y ]</v>
      </c>
      <c r="H764" t="str">
        <f t="shared" si="127"/>
        <v>date</v>
      </c>
      <c r="J764" t="str">
        <f t="shared" si="117"/>
        <v>inline-[%d-%n-%y ]</v>
      </c>
      <c r="K764" s="32" t="s">
        <v>318</v>
      </c>
    </row>
    <row r="765" spans="1:11" x14ac:dyDescent="0.25">
      <c r="A765" t="s">
        <v>25</v>
      </c>
      <c r="B765" t="str">
        <f t="shared" si="123"/>
        <v>date_m22</v>
      </c>
      <c r="C765" t="s">
        <v>813</v>
      </c>
      <c r="E765" t="str">
        <f t="shared" si="124"/>
        <v>M22. inline-[%d-%n-%Y ]</v>
      </c>
      <c r="F765" t="str">
        <f t="shared" si="125"/>
        <v>date</v>
      </c>
      <c r="G765" t="str">
        <f t="shared" si="126"/>
        <v>M22. inline-[%d-%n-%Y ]</v>
      </c>
      <c r="H765" t="str">
        <f t="shared" si="127"/>
        <v>date</v>
      </c>
      <c r="J765" t="str">
        <f t="shared" si="117"/>
        <v>inline-[%d-%n-%Y ]</v>
      </c>
      <c r="K765" s="32" t="s">
        <v>319</v>
      </c>
    </row>
    <row r="766" spans="1:11" x14ac:dyDescent="0.25">
      <c r="A766" t="s">
        <v>25</v>
      </c>
      <c r="B766" t="str">
        <f t="shared" si="123"/>
        <v>date_m23</v>
      </c>
      <c r="C766" t="s">
        <v>814</v>
      </c>
      <c r="E766" t="str">
        <f t="shared" si="124"/>
        <v>M23. inline-[%e-%m-%y ]</v>
      </c>
      <c r="F766" t="str">
        <f t="shared" si="125"/>
        <v>date</v>
      </c>
      <c r="G766" t="str">
        <f t="shared" si="126"/>
        <v>M23. inline-[%e-%m-%y ]</v>
      </c>
      <c r="H766" t="str">
        <f t="shared" si="127"/>
        <v>date</v>
      </c>
      <c r="J766" t="str">
        <f t="shared" si="117"/>
        <v>inline-[%e-%m-%y ]</v>
      </c>
      <c r="K766" s="32" t="s">
        <v>320</v>
      </c>
    </row>
    <row r="767" spans="1:11" x14ac:dyDescent="0.25">
      <c r="A767" t="s">
        <v>25</v>
      </c>
      <c r="B767" t="str">
        <f t="shared" si="123"/>
        <v>date_m24</v>
      </c>
      <c r="C767" t="s">
        <v>815</v>
      </c>
      <c r="E767" t="str">
        <f t="shared" si="124"/>
        <v>M24. inline-[%e-%m-%Y ]</v>
      </c>
      <c r="F767" t="str">
        <f t="shared" si="125"/>
        <v>date</v>
      </c>
      <c r="G767" t="str">
        <f t="shared" si="126"/>
        <v>M24. inline-[%e-%m-%Y ]</v>
      </c>
      <c r="H767" t="str">
        <f t="shared" si="127"/>
        <v>date</v>
      </c>
      <c r="J767" t="str">
        <f t="shared" si="117"/>
        <v>inline-[%e-%m-%Y ]</v>
      </c>
      <c r="K767" s="32" t="s">
        <v>321</v>
      </c>
    </row>
    <row r="768" spans="1:11" x14ac:dyDescent="0.25">
      <c r="A768" t="s">
        <v>25</v>
      </c>
      <c r="B768" t="str">
        <f t="shared" si="123"/>
        <v>date_m25</v>
      </c>
      <c r="C768" t="s">
        <v>816</v>
      </c>
      <c r="E768" t="str">
        <f t="shared" si="124"/>
        <v>M25. inline-[%d-%m-%y ]</v>
      </c>
      <c r="F768" t="str">
        <f t="shared" si="125"/>
        <v>date</v>
      </c>
      <c r="G768" t="str">
        <f t="shared" si="126"/>
        <v>M25. inline-[%d-%m-%y ]</v>
      </c>
      <c r="H768" t="str">
        <f t="shared" si="127"/>
        <v>date</v>
      </c>
      <c r="J768" t="str">
        <f t="shared" si="117"/>
        <v>inline-[%d-%m-%y ]</v>
      </c>
      <c r="K768" s="32" t="s">
        <v>322</v>
      </c>
    </row>
    <row r="769" spans="1:11" x14ac:dyDescent="0.25">
      <c r="A769" t="s">
        <v>25</v>
      </c>
      <c r="B769" t="str">
        <f t="shared" si="123"/>
        <v>date_m26</v>
      </c>
      <c r="C769" t="s">
        <v>817</v>
      </c>
      <c r="E769" t="str">
        <f t="shared" si="124"/>
        <v>M26. inline-[%d-%m-%Y ]</v>
      </c>
      <c r="F769" t="str">
        <f t="shared" si="125"/>
        <v>date</v>
      </c>
      <c r="G769" t="str">
        <f t="shared" si="126"/>
        <v>M26. inline-[%d-%m-%Y ]</v>
      </c>
      <c r="H769" t="str">
        <f t="shared" si="127"/>
        <v>date</v>
      </c>
      <c r="J769" t="str">
        <f t="shared" si="117"/>
        <v>inline-[%d-%m-%Y ]</v>
      </c>
      <c r="K769" s="32" t="s">
        <v>323</v>
      </c>
    </row>
    <row r="770" spans="1:11" x14ac:dyDescent="0.25">
      <c r="A770" t="s">
        <v>25</v>
      </c>
      <c r="B770" t="str">
        <f t="shared" si="123"/>
        <v>date_m27</v>
      </c>
      <c r="C770" t="s">
        <v>818</v>
      </c>
      <c r="E770" t="str">
        <f t="shared" si="124"/>
        <v>M27. inline-[%a, %e-%b-%y ]</v>
      </c>
      <c r="F770" t="str">
        <f t="shared" si="125"/>
        <v>date</v>
      </c>
      <c r="G770" t="str">
        <f t="shared" si="126"/>
        <v>M27. inline-[%a, %e-%b-%y ]</v>
      </c>
      <c r="H770" t="str">
        <f t="shared" si="127"/>
        <v>date</v>
      </c>
      <c r="J770" t="str">
        <f t="shared" si="117"/>
        <v>inline-[%a, %e-%b-%y ]</v>
      </c>
      <c r="K770" s="32" t="s">
        <v>324</v>
      </c>
    </row>
    <row r="771" spans="1:11" x14ac:dyDescent="0.25">
      <c r="A771" t="s">
        <v>25</v>
      </c>
      <c r="B771" t="str">
        <f t="shared" si="123"/>
        <v>date_m28</v>
      </c>
      <c r="C771" t="s">
        <v>819</v>
      </c>
      <c r="E771" t="str">
        <f t="shared" si="124"/>
        <v>M28. inline-[%a, %e-%b-%Y ]</v>
      </c>
      <c r="F771" t="str">
        <f t="shared" si="125"/>
        <v>date</v>
      </c>
      <c r="G771" t="str">
        <f t="shared" si="126"/>
        <v>M28. inline-[%a, %e-%b-%Y ]</v>
      </c>
      <c r="H771" t="str">
        <f t="shared" si="127"/>
        <v>date</v>
      </c>
      <c r="J771" t="str">
        <f t="shared" si="117"/>
        <v>inline-[%a, %e-%b-%Y ]</v>
      </c>
      <c r="K771" s="32" t="s">
        <v>325</v>
      </c>
    </row>
    <row r="772" spans="1:11" x14ac:dyDescent="0.25">
      <c r="A772" t="s">
        <v>25</v>
      </c>
      <c r="B772" t="str">
        <f t="shared" si="123"/>
        <v>date_m29</v>
      </c>
      <c r="C772" t="s">
        <v>820</v>
      </c>
      <c r="E772" t="str">
        <f t="shared" si="124"/>
        <v>M29. inline-[%a, %d-%b-%y ]</v>
      </c>
      <c r="F772" t="str">
        <f t="shared" si="125"/>
        <v>date</v>
      </c>
      <c r="G772" t="str">
        <f t="shared" si="126"/>
        <v>M29. inline-[%a, %d-%b-%y ]</v>
      </c>
      <c r="H772" t="str">
        <f t="shared" si="127"/>
        <v>date</v>
      </c>
      <c r="J772" t="str">
        <f t="shared" si="117"/>
        <v>inline-[%a, %d-%b-%y ]</v>
      </c>
      <c r="K772" s="32" t="s">
        <v>326</v>
      </c>
    </row>
    <row r="773" spans="1:11" x14ac:dyDescent="0.25">
      <c r="A773" t="s">
        <v>25</v>
      </c>
      <c r="B773" t="str">
        <f t="shared" si="123"/>
        <v>date_m30</v>
      </c>
      <c r="C773" t="s">
        <v>821</v>
      </c>
      <c r="E773" t="str">
        <f t="shared" si="124"/>
        <v>M30. inline-[%a, %d-%b-%Y ]</v>
      </c>
      <c r="F773" t="str">
        <f t="shared" si="125"/>
        <v>date</v>
      </c>
      <c r="G773" t="str">
        <f t="shared" si="126"/>
        <v>M30. inline-[%a, %d-%b-%Y ]</v>
      </c>
      <c r="H773" t="str">
        <f t="shared" si="127"/>
        <v>date</v>
      </c>
      <c r="J773" t="str">
        <f t="shared" si="117"/>
        <v>inline-[%a, %d-%b-%Y ]</v>
      </c>
      <c r="K773" s="32" t="s">
        <v>327</v>
      </c>
    </row>
    <row r="774" spans="1:11" x14ac:dyDescent="0.25">
      <c r="A774" t="s">
        <v>25</v>
      </c>
      <c r="B774" t="str">
        <f t="shared" si="123"/>
        <v>date_m31</v>
      </c>
      <c r="C774" t="s">
        <v>822</v>
      </c>
      <c r="E774" t="str">
        <f t="shared" si="124"/>
        <v>M31. inline-[%a, %e-%n-%y ]</v>
      </c>
      <c r="F774" t="str">
        <f t="shared" si="125"/>
        <v>date</v>
      </c>
      <c r="G774" t="str">
        <f t="shared" si="126"/>
        <v>M31. inline-[%a, %e-%n-%y ]</v>
      </c>
      <c r="H774" t="str">
        <f t="shared" si="127"/>
        <v>date</v>
      </c>
      <c r="J774" t="str">
        <f t="shared" si="117"/>
        <v>inline-[%a, %e-%n-%y ]</v>
      </c>
      <c r="K774" s="32" t="s">
        <v>328</v>
      </c>
    </row>
    <row r="775" spans="1:11" x14ac:dyDescent="0.25">
      <c r="A775" t="s">
        <v>25</v>
      </c>
      <c r="B775" t="str">
        <f t="shared" si="123"/>
        <v>date_m32</v>
      </c>
      <c r="C775" t="s">
        <v>823</v>
      </c>
      <c r="E775" t="str">
        <f t="shared" si="124"/>
        <v>M32. inline-[%a, %e-%n-%Y ]</v>
      </c>
      <c r="F775" t="str">
        <f t="shared" si="125"/>
        <v>date</v>
      </c>
      <c r="G775" t="str">
        <f t="shared" si="126"/>
        <v>M32. inline-[%a, %e-%n-%Y ]</v>
      </c>
      <c r="H775" t="str">
        <f t="shared" si="127"/>
        <v>date</v>
      </c>
      <c r="J775" t="str">
        <f t="shared" si="117"/>
        <v>inline-[%a, %e-%n-%Y ]</v>
      </c>
      <c r="K775" s="32" t="s">
        <v>303</v>
      </c>
    </row>
    <row r="776" spans="1:11" x14ac:dyDescent="0.25">
      <c r="A776" t="s">
        <v>25</v>
      </c>
      <c r="B776" t="str">
        <f t="shared" si="123"/>
        <v>date_m33</v>
      </c>
      <c r="C776" t="s">
        <v>824</v>
      </c>
      <c r="E776" t="str">
        <f t="shared" si="124"/>
        <v>M33. inline-[%a, %d-%n-%y ]</v>
      </c>
      <c r="F776" t="str">
        <f t="shared" si="125"/>
        <v>date</v>
      </c>
      <c r="G776" t="str">
        <f t="shared" si="126"/>
        <v>M33. inline-[%a, %d-%n-%y ]</v>
      </c>
      <c r="H776" t="str">
        <f t="shared" si="127"/>
        <v>date</v>
      </c>
      <c r="J776" t="str">
        <f t="shared" si="117"/>
        <v>inline-[%a, %d-%n-%y ]</v>
      </c>
      <c r="K776" s="32" t="s">
        <v>329</v>
      </c>
    </row>
    <row r="777" spans="1:11" x14ac:dyDescent="0.25">
      <c r="A777" t="s">
        <v>25</v>
      </c>
      <c r="B777" t="str">
        <f t="shared" si="123"/>
        <v>date_m34</v>
      </c>
      <c r="C777" t="s">
        <v>825</v>
      </c>
      <c r="E777" t="str">
        <f t="shared" si="124"/>
        <v>M34. inline-[%a, %d-%n-%Y ]</v>
      </c>
      <c r="F777" t="str">
        <f t="shared" si="125"/>
        <v>date</v>
      </c>
      <c r="G777" t="str">
        <f t="shared" si="126"/>
        <v>M34. inline-[%a, %d-%n-%Y ]</v>
      </c>
      <c r="H777" t="str">
        <f t="shared" si="127"/>
        <v>date</v>
      </c>
      <c r="J777" t="str">
        <f t="shared" si="117"/>
        <v>inline-[%a, %d-%n-%Y ]</v>
      </c>
      <c r="K777" s="32" t="s">
        <v>330</v>
      </c>
    </row>
    <row r="778" spans="1:11" x14ac:dyDescent="0.25">
      <c r="A778" t="s">
        <v>25</v>
      </c>
      <c r="B778" t="str">
        <f t="shared" si="123"/>
        <v>date_m35</v>
      </c>
      <c r="C778" t="s">
        <v>826</v>
      </c>
      <c r="E778" t="str">
        <f t="shared" si="124"/>
        <v>M35. inline-[%a, %e-%m-%y ]</v>
      </c>
      <c r="F778" t="str">
        <f t="shared" si="125"/>
        <v>date</v>
      </c>
      <c r="G778" t="str">
        <f t="shared" si="126"/>
        <v>M35. inline-[%a, %e-%m-%y ]</v>
      </c>
      <c r="H778" t="str">
        <f t="shared" si="127"/>
        <v>date</v>
      </c>
      <c r="J778" t="str">
        <f t="shared" si="117"/>
        <v>inline-[%a, %e-%m-%y ]</v>
      </c>
      <c r="K778" s="32" t="s">
        <v>331</v>
      </c>
    </row>
    <row r="779" spans="1:11" x14ac:dyDescent="0.25">
      <c r="A779" t="s">
        <v>25</v>
      </c>
      <c r="B779" t="str">
        <f t="shared" si="123"/>
        <v>date_m36</v>
      </c>
      <c r="C779" t="s">
        <v>827</v>
      </c>
      <c r="E779" t="str">
        <f t="shared" si="124"/>
        <v>M36. inline-[%a, %e-%m-%Y ]</v>
      </c>
      <c r="F779" t="str">
        <f t="shared" si="125"/>
        <v>date</v>
      </c>
      <c r="G779" t="str">
        <f t="shared" si="126"/>
        <v>M36. inline-[%a, %e-%m-%Y ]</v>
      </c>
      <c r="H779" t="str">
        <f t="shared" si="127"/>
        <v>date</v>
      </c>
      <c r="J779" t="str">
        <f t="shared" si="117"/>
        <v>inline-[%a, %e-%m-%Y ]</v>
      </c>
      <c r="K779" s="32" t="s">
        <v>332</v>
      </c>
    </row>
    <row r="780" spans="1:11" x14ac:dyDescent="0.25">
      <c r="A780" t="s">
        <v>25</v>
      </c>
      <c r="B780" t="str">
        <f t="shared" si="123"/>
        <v>date_m37</v>
      </c>
      <c r="C780" t="s">
        <v>828</v>
      </c>
      <c r="E780" t="str">
        <f t="shared" si="124"/>
        <v>M37. inline-[%a, %d-%m-%y ]</v>
      </c>
      <c r="F780" t="str">
        <f t="shared" si="125"/>
        <v>date</v>
      </c>
      <c r="G780" t="str">
        <f t="shared" si="126"/>
        <v>M37. inline-[%a, %d-%m-%y ]</v>
      </c>
      <c r="H780" t="str">
        <f t="shared" si="127"/>
        <v>date</v>
      </c>
      <c r="J780" t="str">
        <f t="shared" si="117"/>
        <v>inline-[%a, %d-%m-%y ]</v>
      </c>
      <c r="K780" s="32" t="s">
        <v>333</v>
      </c>
    </row>
    <row r="781" spans="1:11" x14ac:dyDescent="0.25">
      <c r="A781" t="s">
        <v>25</v>
      </c>
      <c r="B781" t="str">
        <f t="shared" si="123"/>
        <v>date_m38</v>
      </c>
      <c r="C781" t="s">
        <v>829</v>
      </c>
      <c r="E781" t="str">
        <f t="shared" si="124"/>
        <v>M38. inline-[%a, %d-%m-%Y ]</v>
      </c>
      <c r="F781" t="str">
        <f t="shared" si="125"/>
        <v>date</v>
      </c>
      <c r="G781" t="str">
        <f t="shared" si="126"/>
        <v>M38. inline-[%a, %d-%m-%Y ]</v>
      </c>
      <c r="H781" t="str">
        <f t="shared" si="127"/>
        <v>date</v>
      </c>
      <c r="J781" t="str">
        <f t="shared" si="117"/>
        <v>inline-[%a, %d-%m-%Y ]</v>
      </c>
      <c r="K781" s="32" t="s">
        <v>334</v>
      </c>
    </row>
    <row r="782" spans="1:11" x14ac:dyDescent="0.25">
      <c r="A782" t="s">
        <v>25</v>
      </c>
      <c r="B782" t="str">
        <f t="shared" si="123"/>
        <v>date_m39</v>
      </c>
      <c r="C782" t="s">
        <v>830</v>
      </c>
      <c r="E782" t="str">
        <f t="shared" si="124"/>
        <v>M39. ethiopian</v>
      </c>
      <c r="F782" t="str">
        <f t="shared" si="125"/>
        <v>date</v>
      </c>
      <c r="G782" t="str">
        <f t="shared" si="126"/>
        <v>M39. ethiopian</v>
      </c>
      <c r="H782" t="str">
        <f t="shared" si="127"/>
        <v>date</v>
      </c>
      <c r="J782" t="str">
        <f t="shared" si="117"/>
        <v>ethiopian</v>
      </c>
      <c r="K782" s="32" t="s">
        <v>1162</v>
      </c>
    </row>
    <row r="783" spans="1:11" x14ac:dyDescent="0.25">
      <c r="A783" t="s">
        <v>25</v>
      </c>
      <c r="B783" t="str">
        <f t="shared" si="123"/>
        <v>date_m40</v>
      </c>
      <c r="C783" t="s">
        <v>831</v>
      </c>
      <c r="E783" t="str">
        <f t="shared" si="124"/>
        <v>M40. coptic</v>
      </c>
      <c r="F783" t="str">
        <f t="shared" si="125"/>
        <v>date</v>
      </c>
      <c r="G783" t="str">
        <f t="shared" si="126"/>
        <v>M40. coptic</v>
      </c>
      <c r="H783" t="str">
        <f t="shared" si="127"/>
        <v>date</v>
      </c>
      <c r="J783" t="str">
        <f t="shared" si="117"/>
        <v>coptic</v>
      </c>
      <c r="K783" s="32" t="s">
        <v>1163</v>
      </c>
    </row>
    <row r="784" spans="1:11" x14ac:dyDescent="0.25">
      <c r="A784" t="s">
        <v>25</v>
      </c>
      <c r="B784" t="str">
        <f t="shared" si="123"/>
        <v>date_m41</v>
      </c>
      <c r="C784" t="s">
        <v>832</v>
      </c>
      <c r="E784" t="str">
        <f t="shared" si="124"/>
        <v>M41. islamic</v>
      </c>
      <c r="F784" t="str">
        <f t="shared" si="125"/>
        <v>date</v>
      </c>
      <c r="G784" t="str">
        <f t="shared" si="126"/>
        <v>M41. islamic</v>
      </c>
      <c r="H784" t="str">
        <f t="shared" si="127"/>
        <v>date</v>
      </c>
      <c r="J784" t="str">
        <f t="shared" si="117"/>
        <v>islamic</v>
      </c>
      <c r="K784" s="32" t="s">
        <v>1164</v>
      </c>
    </row>
    <row r="785" spans="1:18" x14ac:dyDescent="0.25">
      <c r="A785" t="s">
        <v>25</v>
      </c>
      <c r="B785" t="str">
        <f>CONCATENATE(SUBSTITUTE(A785," ","_"),"_",C785)</f>
        <v>date_m42</v>
      </c>
      <c r="C785" t="s">
        <v>833</v>
      </c>
      <c r="E785" t="str">
        <f t="shared" si="124"/>
        <v>M42. no-calendar</v>
      </c>
      <c r="F785" s="41" t="s">
        <v>1179</v>
      </c>
      <c r="G785" t="str">
        <f t="shared" si="126"/>
        <v>M42. no-calendar</v>
      </c>
      <c r="H785" s="41" t="s">
        <v>1179</v>
      </c>
      <c r="J785" t="str">
        <f>TRIM(CONCATENATE(K785," ",L785," ",M785))</f>
        <v>no-calendar</v>
      </c>
      <c r="K785" s="32" t="s">
        <v>1165</v>
      </c>
    </row>
    <row r="786" spans="1:18" x14ac:dyDescent="0.25">
      <c r="A786" t="s">
        <v>25</v>
      </c>
      <c r="B786" t="str">
        <f>CONCATENATE(SUBSTITUTE(A786," ","_"),"_",C786)</f>
        <v>date_m43</v>
      </c>
      <c r="C786" t="s">
        <v>834</v>
      </c>
      <c r="E786" t="str">
        <f t="shared" si="124"/>
        <v>M43. year</v>
      </c>
      <c r="F786" s="41" t="s">
        <v>1179</v>
      </c>
      <c r="G786" t="str">
        <f t="shared" si="126"/>
        <v>M43. year</v>
      </c>
      <c r="H786" s="41" t="s">
        <v>1179</v>
      </c>
      <c r="J786" t="str">
        <f>TRIM(CONCATENATE(K786," ",L786," ",M786))</f>
        <v>year</v>
      </c>
      <c r="K786" s="32" t="s">
        <v>1166</v>
      </c>
    </row>
    <row r="787" spans="1:18" x14ac:dyDescent="0.25">
      <c r="A787" t="s">
        <v>25</v>
      </c>
      <c r="B787" t="str">
        <f>CONCATENATE(SUBSTITUTE(A787," ","_"),"_",C787)</f>
        <v>date_m44</v>
      </c>
      <c r="C787" t="s">
        <v>1161</v>
      </c>
      <c r="E787" t="str">
        <f t="shared" si="124"/>
        <v>M44. month-year</v>
      </c>
      <c r="F787" s="41" t="s">
        <v>1179</v>
      </c>
      <c r="G787" t="str">
        <f t="shared" si="126"/>
        <v>M44. month-year</v>
      </c>
      <c r="H787" s="41" t="s">
        <v>1179</v>
      </c>
      <c r="J787" t="str">
        <f>TRIM(CONCATENATE(K787," ",L787," ",M787))</f>
        <v>month-year</v>
      </c>
      <c r="K787" s="32" t="s">
        <v>1167</v>
      </c>
    </row>
    <row r="788" spans="1:18" x14ac:dyDescent="0.25">
      <c r="A788" t="s">
        <v>39</v>
      </c>
      <c r="E788" t="str">
        <f>CONCATENATE(PROPER(C788),". ",D788)</f>
        <v xml:space="preserve">. </v>
      </c>
      <c r="J788" t="str">
        <f t="shared" si="117"/>
        <v/>
      </c>
    </row>
    <row r="789" spans="1:18" x14ac:dyDescent="0.25">
      <c r="A789" t="s">
        <v>39</v>
      </c>
      <c r="E789" t="str">
        <f>CONCATENATE(PROPER(C789),". ",D789)</f>
        <v xml:space="preserve">. </v>
      </c>
      <c r="J789" t="str">
        <f t="shared" si="117"/>
        <v/>
      </c>
    </row>
    <row r="790" spans="1:18" x14ac:dyDescent="0.25">
      <c r="A790" t="s">
        <v>38</v>
      </c>
      <c r="B790" t="str">
        <f>CONCATENATE("bg_section_",C790)</f>
        <v>bg_section_n</v>
      </c>
      <c r="C790" t="s">
        <v>835</v>
      </c>
      <c r="D790" t="s">
        <v>1009</v>
      </c>
      <c r="E790" t="str">
        <f>CONCATENATE(PROPER(C790),". ",D790)</f>
        <v>N. TIME appearance</v>
      </c>
      <c r="G790" t="str">
        <f>CONCATENATE(PROPER(C790),". ",D790)</f>
        <v>N. TIME appearance</v>
      </c>
      <c r="J790" t="str">
        <f t="shared" si="117"/>
        <v>section</v>
      </c>
      <c r="K790" s="32" t="s">
        <v>43</v>
      </c>
      <c r="R790" t="s">
        <v>203</v>
      </c>
    </row>
    <row r="791" spans="1:18" x14ac:dyDescent="0.25">
      <c r="A791" t="s">
        <v>38</v>
      </c>
      <c r="B791" t="str">
        <f>CONCATENATE("bg_field_",C791)</f>
        <v>bg_field_n</v>
      </c>
      <c r="C791" t="s">
        <v>835</v>
      </c>
      <c r="D791" t="s">
        <v>1009</v>
      </c>
      <c r="E791" t="str">
        <f>CONCATENATE(PROPER(C791),". ",D791)</f>
        <v>N. TIME appearance</v>
      </c>
      <c r="G791" t="str">
        <f>CONCATENATE(PROPER(C791),". ",D791)</f>
        <v>N. TIME appearance</v>
      </c>
      <c r="J791" t="str">
        <f t="shared" si="117"/>
        <v>field-list</v>
      </c>
      <c r="K791" s="32" t="s">
        <v>40</v>
      </c>
    </row>
    <row r="792" spans="1:18" x14ac:dyDescent="0.25">
      <c r="A792" t="s">
        <v>37</v>
      </c>
      <c r="B792" t="str">
        <f>CONCATENATE(SUBSTITUTE(A792," ","_"),"_",C792)</f>
        <v>note_n</v>
      </c>
      <c r="C792" t="s">
        <v>835</v>
      </c>
      <c r="D792" t="s">
        <v>77</v>
      </c>
      <c r="E792" t="str">
        <f>CONCATENATE(PROPER(C792),". ",D792)</f>
        <v>N. TIME</v>
      </c>
      <c r="F792" t="s">
        <v>1000</v>
      </c>
      <c r="G792" t="str">
        <f>CONCATENATE(PROPER(C792),". ",D792)</f>
        <v>N. TIME</v>
      </c>
      <c r="H792" t="s">
        <v>1000</v>
      </c>
      <c r="J792" t="str">
        <f t="shared" si="117"/>
        <v/>
      </c>
    </row>
    <row r="793" spans="1:18" x14ac:dyDescent="0.25">
      <c r="A793" t="s">
        <v>26</v>
      </c>
      <c r="B793" t="str">
        <f t="shared" ref="B793:B809" si="128">CONCATENATE(SUBSTITUTE(A793," ","_"),"_",C793)</f>
        <v>time_n1</v>
      </c>
      <c r="C793" t="s">
        <v>836</v>
      </c>
      <c r="E793" t="str">
        <f t="shared" ref="E793:E812" si="129">CONCATENATE(PROPER(C793),". ",J793)</f>
        <v>N1. inline</v>
      </c>
      <c r="F793" t="str">
        <f t="shared" ref="F793:F811" si="130">A793</f>
        <v>time</v>
      </c>
      <c r="G793" t="str">
        <f t="shared" ref="G793:G812" si="131">CONCATENATE(PROPER(C793),". ",J793)</f>
        <v>N1. inline</v>
      </c>
      <c r="H793" t="str">
        <f t="shared" ref="H793:H811" si="132">A793</f>
        <v>time</v>
      </c>
      <c r="J793" t="str">
        <f t="shared" si="117"/>
        <v>inline</v>
      </c>
      <c r="K793" s="32" t="s">
        <v>253</v>
      </c>
    </row>
    <row r="794" spans="1:18" x14ac:dyDescent="0.25">
      <c r="A794" t="s">
        <v>26</v>
      </c>
      <c r="B794" t="str">
        <f t="shared" si="128"/>
        <v>time_n2</v>
      </c>
      <c r="C794" t="s">
        <v>837</v>
      </c>
      <c r="E794" t="str">
        <f t="shared" si="129"/>
        <v>N2. inline &lt;#0099FF/&gt;</v>
      </c>
      <c r="F794" t="str">
        <f t="shared" si="130"/>
        <v>time</v>
      </c>
      <c r="G794" t="str">
        <f t="shared" si="131"/>
        <v>N2. inline &lt;#0099FF/&gt;</v>
      </c>
      <c r="H794" t="str">
        <f t="shared" si="132"/>
        <v>time</v>
      </c>
      <c r="J794" t="str">
        <f t="shared" si="117"/>
        <v>inline &lt;#0099FF/&gt;</v>
      </c>
      <c r="K794" s="32" t="s">
        <v>53</v>
      </c>
      <c r="L794" t="s">
        <v>1155</v>
      </c>
    </row>
    <row r="795" spans="1:18" x14ac:dyDescent="0.25">
      <c r="A795" t="s">
        <v>26</v>
      </c>
      <c r="B795" t="str">
        <f t="shared" si="128"/>
        <v>time_n3</v>
      </c>
      <c r="C795" t="s">
        <v>838</v>
      </c>
      <c r="E795" t="str">
        <f t="shared" si="129"/>
        <v>N3. inline-1line</v>
      </c>
      <c r="F795" t="str">
        <f t="shared" si="130"/>
        <v>time</v>
      </c>
      <c r="G795" t="str">
        <f t="shared" si="131"/>
        <v>N3. inline-1line</v>
      </c>
      <c r="H795" t="str">
        <f t="shared" si="132"/>
        <v>time</v>
      </c>
      <c r="J795" t="str">
        <f t="shared" si="117"/>
        <v>inline-1line</v>
      </c>
      <c r="K795" s="32" t="s">
        <v>297</v>
      </c>
    </row>
    <row r="796" spans="1:18" x14ac:dyDescent="0.25">
      <c r="A796" t="s">
        <v>26</v>
      </c>
      <c r="B796" t="str">
        <f t="shared" si="128"/>
        <v>time_n4</v>
      </c>
      <c r="C796" t="s">
        <v>839</v>
      </c>
      <c r="E796" t="str">
        <f t="shared" si="129"/>
        <v>N4. inline-1line-0000FF</v>
      </c>
      <c r="F796" t="str">
        <f t="shared" si="130"/>
        <v>time</v>
      </c>
      <c r="G796" t="str">
        <f t="shared" si="131"/>
        <v>N4. inline-1line-0000FF</v>
      </c>
      <c r="H796" t="str">
        <f t="shared" si="132"/>
        <v>time</v>
      </c>
      <c r="J796" t="str">
        <f t="shared" si="117"/>
        <v>inline-1line-0000FF</v>
      </c>
      <c r="K796" s="32" t="s">
        <v>298</v>
      </c>
    </row>
    <row r="797" spans="1:18" x14ac:dyDescent="0.25">
      <c r="A797" t="s">
        <v>26</v>
      </c>
      <c r="B797" t="str">
        <f t="shared" si="128"/>
        <v>time_n5</v>
      </c>
      <c r="C797" t="s">
        <v>840</v>
      </c>
      <c r="E797" t="str">
        <f t="shared" si="129"/>
        <v>N5. inline-1line-0000FF-FFFF00</v>
      </c>
      <c r="F797" t="str">
        <f t="shared" si="130"/>
        <v>time</v>
      </c>
      <c r="G797" t="str">
        <f t="shared" si="131"/>
        <v>N5. inline-1line-0000FF-FFFF00</v>
      </c>
      <c r="H797" t="str">
        <f t="shared" si="132"/>
        <v>time</v>
      </c>
      <c r="J797" t="str">
        <f t="shared" si="117"/>
        <v>inline-1line-0000FF-FFFF00</v>
      </c>
      <c r="K797" s="32" t="s">
        <v>299</v>
      </c>
    </row>
    <row r="798" spans="1:18" x14ac:dyDescent="0.25">
      <c r="A798" t="s">
        <v>26</v>
      </c>
      <c r="B798" t="str">
        <f t="shared" si="128"/>
        <v>time_n6</v>
      </c>
      <c r="C798" t="s">
        <v>841</v>
      </c>
      <c r="E798" t="str">
        <f t="shared" si="129"/>
        <v>N6. inline-onlyresult</v>
      </c>
      <c r="F798" t="str">
        <f t="shared" si="130"/>
        <v>time</v>
      </c>
      <c r="G798" t="str">
        <f t="shared" si="131"/>
        <v>N6. inline-onlyresult</v>
      </c>
      <c r="H798" t="str">
        <f t="shared" si="132"/>
        <v>time</v>
      </c>
      <c r="J798" t="str">
        <f t="shared" si="117"/>
        <v>inline-onlyresult</v>
      </c>
      <c r="K798" s="32" t="s">
        <v>300</v>
      </c>
    </row>
    <row r="799" spans="1:18" x14ac:dyDescent="0.25">
      <c r="A799" t="s">
        <v>26</v>
      </c>
      <c r="B799" t="str">
        <f t="shared" si="128"/>
        <v>time_n7</v>
      </c>
      <c r="C799" t="s">
        <v>842</v>
      </c>
      <c r="E799" t="str">
        <f t="shared" si="129"/>
        <v>N7. inline-onlyresult &lt;#0099FF/&gt;</v>
      </c>
      <c r="F799" t="str">
        <f t="shared" si="130"/>
        <v>time</v>
      </c>
      <c r="G799" t="str">
        <f t="shared" si="131"/>
        <v>N7. inline-onlyresult &lt;#0099FF/&gt;</v>
      </c>
      <c r="H799" t="str">
        <f t="shared" si="132"/>
        <v>time</v>
      </c>
      <c r="J799" t="str">
        <f t="shared" si="117"/>
        <v>inline-onlyresult &lt;#0099FF/&gt;</v>
      </c>
      <c r="K799" s="32" t="s">
        <v>300</v>
      </c>
      <c r="L799" t="s">
        <v>1155</v>
      </c>
    </row>
    <row r="800" spans="1:18" x14ac:dyDescent="0.25">
      <c r="A800" t="s">
        <v>26</v>
      </c>
      <c r="B800" t="str">
        <f t="shared" si="128"/>
        <v>time_n8</v>
      </c>
      <c r="C800" t="s">
        <v>843</v>
      </c>
      <c r="E800" t="str">
        <f t="shared" si="129"/>
        <v>N8. inline-[%3]</v>
      </c>
      <c r="F800" t="str">
        <f t="shared" si="130"/>
        <v>time</v>
      </c>
      <c r="G800" t="str">
        <f t="shared" si="131"/>
        <v>N8. inline-[%3]</v>
      </c>
      <c r="H800" t="str">
        <f t="shared" si="132"/>
        <v>time</v>
      </c>
      <c r="J800" t="str">
        <f t="shared" si="117"/>
        <v>inline-[%3]</v>
      </c>
      <c r="K800" s="32" t="s">
        <v>306</v>
      </c>
    </row>
    <row r="801" spans="1:18" x14ac:dyDescent="0.25">
      <c r="A801" t="s">
        <v>26</v>
      </c>
      <c r="B801" t="str">
        <f t="shared" si="128"/>
        <v>time_n9</v>
      </c>
      <c r="C801" t="s">
        <v>844</v>
      </c>
      <c r="E801" t="str">
        <f t="shared" si="129"/>
        <v>N9. inline-[%S]</v>
      </c>
      <c r="F801" t="str">
        <f t="shared" si="130"/>
        <v>time</v>
      </c>
      <c r="G801" t="str">
        <f t="shared" si="131"/>
        <v>N9. inline-[%S]</v>
      </c>
      <c r="H801" t="str">
        <f t="shared" si="132"/>
        <v>time</v>
      </c>
      <c r="J801" t="str">
        <f t="shared" si="117"/>
        <v>inline-[%S]</v>
      </c>
      <c r="K801" s="32" t="s">
        <v>307</v>
      </c>
    </row>
    <row r="802" spans="1:18" x14ac:dyDescent="0.25">
      <c r="A802" t="s">
        <v>26</v>
      </c>
      <c r="B802" t="str">
        <f t="shared" si="128"/>
        <v>time_n10</v>
      </c>
      <c r="C802" t="s">
        <v>845</v>
      </c>
      <c r="E802" t="str">
        <f t="shared" si="129"/>
        <v>N10. inline-[%M]</v>
      </c>
      <c r="F802" t="str">
        <f t="shared" si="130"/>
        <v>time</v>
      </c>
      <c r="G802" t="str">
        <f t="shared" si="131"/>
        <v>N10. inline-[%M]</v>
      </c>
      <c r="H802" t="str">
        <f t="shared" si="132"/>
        <v>time</v>
      </c>
      <c r="J802" t="str">
        <f t="shared" si="117"/>
        <v>inline-[%M]</v>
      </c>
      <c r="K802" s="32" t="s">
        <v>308</v>
      </c>
    </row>
    <row r="803" spans="1:18" x14ac:dyDescent="0.25">
      <c r="A803" t="s">
        <v>26</v>
      </c>
      <c r="B803" t="str">
        <f t="shared" si="128"/>
        <v>time_n11</v>
      </c>
      <c r="C803" t="s">
        <v>846</v>
      </c>
      <c r="E803" t="str">
        <f t="shared" si="129"/>
        <v>N11. inline-[%h]</v>
      </c>
      <c r="F803" t="str">
        <f t="shared" si="130"/>
        <v>time</v>
      </c>
      <c r="G803" t="str">
        <f t="shared" si="131"/>
        <v>N11. inline-[%h]</v>
      </c>
      <c r="H803" t="str">
        <f t="shared" si="132"/>
        <v>time</v>
      </c>
      <c r="J803" t="str">
        <f t="shared" si="117"/>
        <v>inline-[%h]</v>
      </c>
      <c r="K803" s="32" t="s">
        <v>309</v>
      </c>
    </row>
    <row r="804" spans="1:18" x14ac:dyDescent="0.25">
      <c r="A804" t="s">
        <v>26</v>
      </c>
      <c r="B804" t="str">
        <f t="shared" si="128"/>
        <v>time_n12</v>
      </c>
      <c r="C804" t="s">
        <v>847</v>
      </c>
      <c r="E804" t="str">
        <f t="shared" si="129"/>
        <v>N12. inline-[%H]</v>
      </c>
      <c r="F804" t="str">
        <f t="shared" si="130"/>
        <v>time</v>
      </c>
      <c r="G804" t="str">
        <f t="shared" si="131"/>
        <v>N12. inline-[%H]</v>
      </c>
      <c r="H804" t="str">
        <f t="shared" si="132"/>
        <v>time</v>
      </c>
      <c r="J804" t="str">
        <f t="shared" si="117"/>
        <v>inline-[%H]</v>
      </c>
      <c r="K804" s="32" t="s">
        <v>310</v>
      </c>
    </row>
    <row r="805" spans="1:18" x14ac:dyDescent="0.25">
      <c r="A805" t="s">
        <v>26</v>
      </c>
      <c r="B805" t="str">
        <f t="shared" si="128"/>
        <v>time_n13</v>
      </c>
      <c r="C805" t="s">
        <v>848</v>
      </c>
      <c r="E805" t="str">
        <f t="shared" si="129"/>
        <v>N13. inline-[%H-%M-%S ]</v>
      </c>
      <c r="F805" t="str">
        <f t="shared" si="130"/>
        <v>time</v>
      </c>
      <c r="G805" t="str">
        <f t="shared" si="131"/>
        <v>N13. inline-[%H-%M-%S ]</v>
      </c>
      <c r="H805" t="str">
        <f t="shared" si="132"/>
        <v>time</v>
      </c>
      <c r="J805" t="str">
        <f t="shared" si="117"/>
        <v>inline-[%H-%M-%S ]</v>
      </c>
      <c r="K805" s="32" t="s">
        <v>304</v>
      </c>
    </row>
    <row r="806" spans="1:18" x14ac:dyDescent="0.25">
      <c r="A806" t="s">
        <v>26</v>
      </c>
      <c r="B806" t="str">
        <f t="shared" si="128"/>
        <v>time_n14</v>
      </c>
      <c r="C806" t="s">
        <v>849</v>
      </c>
      <c r="E806" t="str">
        <f t="shared" si="129"/>
        <v>N14. inline-[%H-%M-%3 ]</v>
      </c>
      <c r="F806" t="str">
        <f t="shared" si="130"/>
        <v>time</v>
      </c>
      <c r="G806" t="str">
        <f t="shared" si="131"/>
        <v>N14. inline-[%H-%M-%3 ]</v>
      </c>
      <c r="H806" t="str">
        <f t="shared" si="132"/>
        <v>time</v>
      </c>
      <c r="J806" t="str">
        <f t="shared" si="117"/>
        <v>inline-[%H-%M-%3 ]</v>
      </c>
      <c r="K806" s="32" t="s">
        <v>305</v>
      </c>
    </row>
    <row r="807" spans="1:18" x14ac:dyDescent="0.25">
      <c r="A807" t="s">
        <v>26</v>
      </c>
      <c r="B807" t="str">
        <f t="shared" si="128"/>
        <v>time_n15</v>
      </c>
      <c r="C807" t="s">
        <v>850</v>
      </c>
      <c r="E807" t="str">
        <f t="shared" si="129"/>
        <v>N15. inline-[%h-%M-%S ]</v>
      </c>
      <c r="F807" t="str">
        <f t="shared" si="130"/>
        <v>time</v>
      </c>
      <c r="G807" t="str">
        <f t="shared" si="131"/>
        <v>N15. inline-[%h-%M-%S ]</v>
      </c>
      <c r="H807" t="str">
        <f t="shared" si="132"/>
        <v>time</v>
      </c>
      <c r="J807" t="str">
        <f t="shared" si="117"/>
        <v>inline-[%h-%M-%S ]</v>
      </c>
      <c r="K807" s="32" t="s">
        <v>311</v>
      </c>
    </row>
    <row r="808" spans="1:18" x14ac:dyDescent="0.25">
      <c r="A808" t="s">
        <v>26</v>
      </c>
      <c r="B808" t="str">
        <f t="shared" si="128"/>
        <v>time_n16</v>
      </c>
      <c r="C808" t="s">
        <v>1153</v>
      </c>
      <c r="E808" t="str">
        <f t="shared" si="129"/>
        <v>N16. inline-[%H:%M]</v>
      </c>
      <c r="F808" t="str">
        <f t="shared" si="130"/>
        <v>time</v>
      </c>
      <c r="G808" t="str">
        <f t="shared" si="131"/>
        <v>N16. inline-[%H:%M]</v>
      </c>
      <c r="H808" t="str">
        <f t="shared" si="132"/>
        <v>time</v>
      </c>
      <c r="J808" t="str">
        <f t="shared" si="117"/>
        <v>inline-[%H:%M]</v>
      </c>
      <c r="K808" s="32" t="s">
        <v>1151</v>
      </c>
    </row>
    <row r="809" spans="1:18" x14ac:dyDescent="0.25">
      <c r="A809" t="s">
        <v>26</v>
      </c>
      <c r="B809" t="str">
        <f t="shared" si="128"/>
        <v>time_n17</v>
      </c>
      <c r="C809" t="s">
        <v>1154</v>
      </c>
      <c r="E809" t="str">
        <f t="shared" si="129"/>
        <v>N17. inline-[%h:%M ]</v>
      </c>
      <c r="F809" t="str">
        <f t="shared" si="130"/>
        <v>time</v>
      </c>
      <c r="G809" t="str">
        <f t="shared" si="131"/>
        <v>N17. inline-[%h:%M ]</v>
      </c>
      <c r="H809" t="str">
        <f t="shared" si="132"/>
        <v>time</v>
      </c>
      <c r="J809" t="str">
        <f t="shared" si="117"/>
        <v>inline-[%h:%M ]</v>
      </c>
      <c r="K809" s="32" t="s">
        <v>1152</v>
      </c>
    </row>
    <row r="810" spans="1:18" x14ac:dyDescent="0.25">
      <c r="A810" t="s">
        <v>26</v>
      </c>
      <c r="B810" t="str">
        <f>CONCATENATE(SUBSTITUTE(A810," ","_"),"_",C810)</f>
        <v>time_n18</v>
      </c>
      <c r="C810" t="s">
        <v>1158</v>
      </c>
      <c r="E810" t="str">
        <f t="shared" si="129"/>
        <v>N18. inline-[%M:%S]</v>
      </c>
      <c r="F810" t="str">
        <f t="shared" si="130"/>
        <v>time</v>
      </c>
      <c r="G810" t="str">
        <f t="shared" si="131"/>
        <v>N18. inline-[%M:%S]</v>
      </c>
      <c r="H810" t="str">
        <f t="shared" si="132"/>
        <v>time</v>
      </c>
      <c r="J810" t="str">
        <f>TRIM(CONCATENATE(K810," ",L810," ",M810))</f>
        <v>inline-[%M:%S]</v>
      </c>
      <c r="K810" s="32" t="s">
        <v>1156</v>
      </c>
    </row>
    <row r="811" spans="1:18" x14ac:dyDescent="0.25">
      <c r="A811" t="s">
        <v>26</v>
      </c>
      <c r="B811" t="str">
        <f>CONCATENATE(SUBSTITUTE(A811," ","_"),"_",C811)</f>
        <v>time_n19</v>
      </c>
      <c r="C811" t="s">
        <v>1159</v>
      </c>
      <c r="E811" t="str">
        <f t="shared" si="129"/>
        <v>N19. inline-[%M:%3]</v>
      </c>
      <c r="F811" t="str">
        <f t="shared" si="130"/>
        <v>time</v>
      </c>
      <c r="G811" t="str">
        <f t="shared" si="131"/>
        <v>N19. inline-[%M:%3]</v>
      </c>
      <c r="H811" t="str">
        <f t="shared" si="132"/>
        <v>time</v>
      </c>
      <c r="J811" t="str">
        <f>TRIM(CONCATENATE(K811," ",L811," ",M811))</f>
        <v>inline-[%M:%3]</v>
      </c>
      <c r="K811" s="32" t="s">
        <v>1157</v>
      </c>
    </row>
    <row r="812" spans="1:18" x14ac:dyDescent="0.25">
      <c r="A812" t="s">
        <v>26</v>
      </c>
      <c r="B812" t="str">
        <f>CONCATENATE(SUBSTITUTE(A812," ","_"),"_",C812)</f>
        <v>time_n20</v>
      </c>
      <c r="C812" t="s">
        <v>1168</v>
      </c>
      <c r="E812" t="str">
        <f t="shared" si="129"/>
        <v>N20. no-calendar</v>
      </c>
      <c r="F812" s="41" t="s">
        <v>1179</v>
      </c>
      <c r="G812" t="str">
        <f t="shared" si="131"/>
        <v>N20. no-calendar</v>
      </c>
      <c r="H812" s="41" t="s">
        <v>1179</v>
      </c>
      <c r="J812" t="str">
        <f>TRIM(CONCATENATE(K812," ",L812," ",M812))</f>
        <v>no-calendar</v>
      </c>
      <c r="K812" s="32" t="s">
        <v>1165</v>
      </c>
    </row>
    <row r="813" spans="1:18" x14ac:dyDescent="0.25">
      <c r="A813" t="s">
        <v>39</v>
      </c>
      <c r="E813" t="str">
        <f>CONCATENATE(PROPER(C813),". ",D813)</f>
        <v xml:space="preserve">. </v>
      </c>
      <c r="J813" t="str">
        <f t="shared" si="117"/>
        <v/>
      </c>
    </row>
    <row r="814" spans="1:18" x14ac:dyDescent="0.25">
      <c r="A814" t="s">
        <v>39</v>
      </c>
      <c r="E814" t="str">
        <f>CONCATENATE(PROPER(C814),". ",D814)</f>
        <v xml:space="preserve">. </v>
      </c>
      <c r="J814" t="str">
        <f t="shared" si="117"/>
        <v/>
      </c>
    </row>
    <row r="815" spans="1:18" x14ac:dyDescent="0.25">
      <c r="A815" t="s">
        <v>38</v>
      </c>
      <c r="B815" t="str">
        <f>CONCATENATE("bg_section_",C815)</f>
        <v>bg_section_o</v>
      </c>
      <c r="C815" t="s">
        <v>851</v>
      </c>
      <c r="D815" t="s">
        <v>1010</v>
      </c>
      <c r="E815" t="str">
        <f>CONCATENATE(PROPER(C815),". ",D815)</f>
        <v>O. DATETIME appearance</v>
      </c>
      <c r="G815" t="str">
        <f>CONCATENATE(PROPER(C815),". ",D815)</f>
        <v>O. DATETIME appearance</v>
      </c>
      <c r="J815" t="str">
        <f t="shared" si="117"/>
        <v>section</v>
      </c>
      <c r="K815" s="32" t="s">
        <v>43</v>
      </c>
      <c r="R815" t="s">
        <v>204</v>
      </c>
    </row>
    <row r="816" spans="1:18" x14ac:dyDescent="0.25">
      <c r="A816" t="s">
        <v>38</v>
      </c>
      <c r="B816" t="str">
        <f>CONCATENATE("bg_field_",C816)</f>
        <v>bg_field_o</v>
      </c>
      <c r="C816" t="s">
        <v>851</v>
      </c>
      <c r="D816" t="s">
        <v>1010</v>
      </c>
      <c r="E816" t="str">
        <f>CONCATENATE(PROPER(C816),". ",D816)</f>
        <v>O. DATETIME appearance</v>
      </c>
      <c r="G816" t="str">
        <f>CONCATENATE(PROPER(C816),". ",D816)</f>
        <v>O. DATETIME appearance</v>
      </c>
      <c r="J816" t="str">
        <f t="shared" si="117"/>
        <v>field-list</v>
      </c>
      <c r="K816" s="32" t="s">
        <v>40</v>
      </c>
    </row>
    <row r="817" spans="1:11" x14ac:dyDescent="0.25">
      <c r="A817" t="s">
        <v>37</v>
      </c>
      <c r="B817" t="str">
        <f>CONCATENATE(SUBSTITUTE(A817," ","_"),"_",C817)</f>
        <v>note_o</v>
      </c>
      <c r="C817" t="s">
        <v>851</v>
      </c>
      <c r="D817" t="s">
        <v>104</v>
      </c>
      <c r="E817" t="str">
        <f>CONCATENATE(PROPER(C817),". ",D817)</f>
        <v>O. DATETIME</v>
      </c>
      <c r="F817" t="s">
        <v>1000</v>
      </c>
      <c r="G817" t="str">
        <f>CONCATENATE(PROPER(C817),". ",D817)</f>
        <v>O. DATETIME</v>
      </c>
      <c r="H817" t="s">
        <v>1000</v>
      </c>
      <c r="J817" t="str">
        <f t="shared" si="117"/>
        <v/>
      </c>
    </row>
    <row r="818" spans="1:11" x14ac:dyDescent="0.25">
      <c r="A818" t="s">
        <v>27</v>
      </c>
      <c r="B818" t="str">
        <f t="shared" ref="B818:B838" si="133">CONCATENATE(SUBSTITUTE(A818," ","_"),"_",C818)</f>
        <v>datetime_o1</v>
      </c>
      <c r="C818" t="s">
        <v>852</v>
      </c>
      <c r="E818" t="str">
        <f t="shared" ref="E818:E838" si="134">CONCATENATE(PROPER(C818),". ",J818)</f>
        <v>O1. inline</v>
      </c>
      <c r="F818" t="str">
        <f t="shared" ref="F818:F828" si="135">A818</f>
        <v>datetime</v>
      </c>
      <c r="G818" t="str">
        <f t="shared" ref="G818:G838" si="136">CONCATENATE(PROPER(C818),". ",J818)</f>
        <v>O1. inline</v>
      </c>
      <c r="H818" t="str">
        <f t="shared" ref="H818:H828" si="137">A818</f>
        <v>datetime</v>
      </c>
      <c r="J818" t="str">
        <f t="shared" si="117"/>
        <v>inline</v>
      </c>
      <c r="K818" s="32" t="s">
        <v>53</v>
      </c>
    </row>
    <row r="819" spans="1:11" x14ac:dyDescent="0.25">
      <c r="A819" t="s">
        <v>27</v>
      </c>
      <c r="B819" t="str">
        <f t="shared" si="133"/>
        <v>datetime_o2</v>
      </c>
      <c r="C819" t="s">
        <v>853</v>
      </c>
      <c r="E819" t="str">
        <f t="shared" si="134"/>
        <v>O2. inline &lt;#0000FF/&gt;</v>
      </c>
      <c r="F819" t="str">
        <f t="shared" si="135"/>
        <v>datetime</v>
      </c>
      <c r="G819" t="str">
        <f t="shared" si="136"/>
        <v>O2. inline &lt;#0000FF/&gt;</v>
      </c>
      <c r="H819" t="str">
        <f t="shared" si="137"/>
        <v>datetime</v>
      </c>
      <c r="J819" t="str">
        <f t="shared" si="117"/>
        <v>inline &lt;#0000FF/&gt;</v>
      </c>
      <c r="K819" s="32" t="s">
        <v>998</v>
      </c>
    </row>
    <row r="820" spans="1:11" x14ac:dyDescent="0.25">
      <c r="A820" t="s">
        <v>27</v>
      </c>
      <c r="B820" t="str">
        <f t="shared" si="133"/>
        <v>datetime_o3</v>
      </c>
      <c r="C820" t="s">
        <v>854</v>
      </c>
      <c r="E820" t="str">
        <f t="shared" si="134"/>
        <v>O3. inline-1line</v>
      </c>
      <c r="F820" t="str">
        <f t="shared" si="135"/>
        <v>datetime</v>
      </c>
      <c r="G820" t="str">
        <f t="shared" si="136"/>
        <v>O3. inline-1line</v>
      </c>
      <c r="H820" t="str">
        <f t="shared" si="137"/>
        <v>datetime</v>
      </c>
      <c r="J820" t="str">
        <f t="shared" si="117"/>
        <v>inline-1line</v>
      </c>
      <c r="K820" s="32" t="s">
        <v>297</v>
      </c>
    </row>
    <row r="821" spans="1:11" x14ac:dyDescent="0.25">
      <c r="A821" t="s">
        <v>27</v>
      </c>
      <c r="B821" t="str">
        <f t="shared" si="133"/>
        <v>datetime_o4</v>
      </c>
      <c r="C821" t="s">
        <v>855</v>
      </c>
      <c r="E821" t="str">
        <f t="shared" si="134"/>
        <v>O4. inline-1line-0000FF</v>
      </c>
      <c r="F821" t="str">
        <f t="shared" si="135"/>
        <v>datetime</v>
      </c>
      <c r="G821" t="str">
        <f t="shared" si="136"/>
        <v>O4. inline-1line-0000FF</v>
      </c>
      <c r="H821" t="str">
        <f t="shared" si="137"/>
        <v>datetime</v>
      </c>
      <c r="J821" t="str">
        <f t="shared" si="117"/>
        <v>inline-1line-0000FF</v>
      </c>
      <c r="K821" s="32" t="s">
        <v>298</v>
      </c>
    </row>
    <row r="822" spans="1:11" x14ac:dyDescent="0.25">
      <c r="A822" t="s">
        <v>27</v>
      </c>
      <c r="B822" t="str">
        <f t="shared" si="133"/>
        <v>datetime_o5</v>
      </c>
      <c r="C822" t="s">
        <v>856</v>
      </c>
      <c r="E822" t="str">
        <f t="shared" si="134"/>
        <v>O5. inline-1line-0000FF-FFFF00</v>
      </c>
      <c r="F822" t="str">
        <f t="shared" si="135"/>
        <v>datetime</v>
      </c>
      <c r="G822" t="str">
        <f t="shared" si="136"/>
        <v>O5. inline-1line-0000FF-FFFF00</v>
      </c>
      <c r="H822" t="str">
        <f t="shared" si="137"/>
        <v>datetime</v>
      </c>
      <c r="J822" t="str">
        <f t="shared" ref="J822:J885" si="138">TRIM(CONCATENATE(K822," ",L822," ",M822))</f>
        <v>inline-1line-0000FF-FFFF00</v>
      </c>
      <c r="K822" s="32" t="s">
        <v>299</v>
      </c>
    </row>
    <row r="823" spans="1:11" x14ac:dyDescent="0.25">
      <c r="A823" t="s">
        <v>27</v>
      </c>
      <c r="B823" t="str">
        <f t="shared" si="133"/>
        <v>datetime_o6</v>
      </c>
      <c r="C823" t="s">
        <v>857</v>
      </c>
      <c r="E823" t="str">
        <f t="shared" si="134"/>
        <v>O6. inline-onlyresult</v>
      </c>
      <c r="F823" t="str">
        <f t="shared" si="135"/>
        <v>datetime</v>
      </c>
      <c r="G823" t="str">
        <f t="shared" si="136"/>
        <v>O6. inline-onlyresult</v>
      </c>
      <c r="H823" t="str">
        <f t="shared" si="137"/>
        <v>datetime</v>
      </c>
      <c r="J823" t="str">
        <f t="shared" si="138"/>
        <v>inline-onlyresult</v>
      </c>
      <c r="K823" s="32" t="s">
        <v>300</v>
      </c>
    </row>
    <row r="824" spans="1:11" x14ac:dyDescent="0.25">
      <c r="A824" t="s">
        <v>27</v>
      </c>
      <c r="B824" t="str">
        <f t="shared" si="133"/>
        <v>datetime_o7</v>
      </c>
      <c r="C824" t="s">
        <v>858</v>
      </c>
      <c r="E824" t="str">
        <f t="shared" si="134"/>
        <v>O7. inline-onlyresult &lt;#0000FF/&gt;</v>
      </c>
      <c r="F824" t="str">
        <f t="shared" si="135"/>
        <v>datetime</v>
      </c>
      <c r="G824" t="str">
        <f t="shared" si="136"/>
        <v>O7. inline-onlyresult &lt;#0000FF/&gt;</v>
      </c>
      <c r="H824" t="str">
        <f t="shared" si="137"/>
        <v>datetime</v>
      </c>
      <c r="J824" t="str">
        <f t="shared" si="138"/>
        <v>inline-onlyresult &lt;#0000FF/&gt;</v>
      </c>
      <c r="K824" s="32" t="s">
        <v>999</v>
      </c>
    </row>
    <row r="825" spans="1:11" x14ac:dyDescent="0.25">
      <c r="A825" t="s">
        <v>27</v>
      </c>
      <c r="B825" t="str">
        <f t="shared" si="133"/>
        <v>datetime_o8</v>
      </c>
      <c r="C825" t="s">
        <v>859</v>
      </c>
      <c r="E825" t="str">
        <f t="shared" si="134"/>
        <v>O8. inline-[%a, %e-%m-%y ]</v>
      </c>
      <c r="F825" t="str">
        <f t="shared" si="135"/>
        <v>datetime</v>
      </c>
      <c r="G825" t="str">
        <f t="shared" si="136"/>
        <v>O8. inline-[%a, %e-%m-%y ]</v>
      </c>
      <c r="H825" t="str">
        <f t="shared" si="137"/>
        <v>datetime</v>
      </c>
      <c r="J825" t="str">
        <f t="shared" si="138"/>
        <v>inline-[%a, %e-%m-%y ]</v>
      </c>
      <c r="K825" s="32" t="s">
        <v>331</v>
      </c>
    </row>
    <row r="826" spans="1:11" x14ac:dyDescent="0.25">
      <c r="A826" t="s">
        <v>27</v>
      </c>
      <c r="B826" t="str">
        <f t="shared" si="133"/>
        <v>datetime_o9</v>
      </c>
      <c r="C826" t="s">
        <v>860</v>
      </c>
      <c r="E826" t="str">
        <f t="shared" si="134"/>
        <v>O9. inline-[%a, %d-%m-%Y ]</v>
      </c>
      <c r="F826" t="str">
        <f t="shared" si="135"/>
        <v>datetime</v>
      </c>
      <c r="G826" t="str">
        <f t="shared" si="136"/>
        <v>O9. inline-[%a, %d-%m-%Y ]</v>
      </c>
      <c r="H826" t="str">
        <f t="shared" si="137"/>
        <v>datetime</v>
      </c>
      <c r="J826" t="str">
        <f t="shared" si="138"/>
        <v>inline-[%a, %d-%m-%Y ]</v>
      </c>
      <c r="K826" s="32" t="s">
        <v>334</v>
      </c>
    </row>
    <row r="827" spans="1:11" x14ac:dyDescent="0.25">
      <c r="A827" t="s">
        <v>27</v>
      </c>
      <c r="B827" t="str">
        <f t="shared" si="133"/>
        <v>datetime_o10</v>
      </c>
      <c r="C827" t="s">
        <v>861</v>
      </c>
      <c r="E827" t="str">
        <f t="shared" si="134"/>
        <v>O10. inline-[%a, %e-%m-%y %H:%M:%S ]</v>
      </c>
      <c r="F827" t="str">
        <f t="shared" si="135"/>
        <v>datetime</v>
      </c>
      <c r="G827" t="str">
        <f t="shared" si="136"/>
        <v>O10. inline-[%a, %e-%m-%y %H:%M:%S ]</v>
      </c>
      <c r="H827" t="str">
        <f t="shared" si="137"/>
        <v>datetime</v>
      </c>
      <c r="J827" t="str">
        <f t="shared" si="138"/>
        <v>inline-[%a, %e-%m-%y %H:%M:%S ]</v>
      </c>
      <c r="K827" s="32" t="s">
        <v>335</v>
      </c>
    </row>
    <row r="828" spans="1:11" x14ac:dyDescent="0.25">
      <c r="A828" t="s">
        <v>27</v>
      </c>
      <c r="B828" t="str">
        <f t="shared" si="133"/>
        <v>datetime_o11</v>
      </c>
      <c r="C828" t="s">
        <v>862</v>
      </c>
      <c r="E828" t="str">
        <f t="shared" si="134"/>
        <v>O11. inline-[%a, %e-%m-%Y %h:%M:%3 ]</v>
      </c>
      <c r="F828" t="str">
        <f t="shared" si="135"/>
        <v>datetime</v>
      </c>
      <c r="G828" t="str">
        <f t="shared" si="136"/>
        <v>O11. inline-[%a, %e-%m-%Y %h:%M:%3 ]</v>
      </c>
      <c r="H828" t="str">
        <f t="shared" si="137"/>
        <v>datetime</v>
      </c>
      <c r="J828" t="str">
        <f t="shared" si="138"/>
        <v>inline-[%a, %e-%m-%Y %h:%M:%3 ]</v>
      </c>
      <c r="K828" s="32" t="s">
        <v>336</v>
      </c>
    </row>
    <row r="829" spans="1:11" x14ac:dyDescent="0.25">
      <c r="A829" t="s">
        <v>27</v>
      </c>
      <c r="B829" t="str">
        <f t="shared" si="133"/>
        <v>datetime_o12</v>
      </c>
      <c r="C829" t="s">
        <v>1169</v>
      </c>
      <c r="E829" t="str">
        <f t="shared" si="134"/>
        <v>O12. no-calendar</v>
      </c>
      <c r="F829" s="41" t="s">
        <v>1179</v>
      </c>
      <c r="G829" t="str">
        <f t="shared" si="136"/>
        <v>O12. no-calendar</v>
      </c>
      <c r="H829" s="41" t="s">
        <v>1179</v>
      </c>
      <c r="J829" t="str">
        <f t="shared" si="138"/>
        <v>no-calendar</v>
      </c>
      <c r="K829" s="32" t="s">
        <v>1165</v>
      </c>
    </row>
    <row r="830" spans="1:11" x14ac:dyDescent="0.25">
      <c r="A830" t="s">
        <v>27</v>
      </c>
      <c r="B830" t="str">
        <f t="shared" si="133"/>
        <v>datetime_o13</v>
      </c>
      <c r="C830" t="s">
        <v>1170</v>
      </c>
      <c r="E830" t="str">
        <f t="shared" si="134"/>
        <v>O13. year</v>
      </c>
      <c r="F830" s="41" t="s">
        <v>1179</v>
      </c>
      <c r="G830" t="str">
        <f t="shared" si="136"/>
        <v>O13. year</v>
      </c>
      <c r="H830" s="41" t="s">
        <v>1179</v>
      </c>
      <c r="J830" t="str">
        <f t="shared" si="138"/>
        <v>year</v>
      </c>
      <c r="K830" s="32" t="s">
        <v>1166</v>
      </c>
    </row>
    <row r="831" spans="1:11" x14ac:dyDescent="0.25">
      <c r="A831" t="s">
        <v>27</v>
      </c>
      <c r="B831" t="str">
        <f t="shared" si="133"/>
        <v>datetime_o14</v>
      </c>
      <c r="C831" t="s">
        <v>1171</v>
      </c>
      <c r="E831" t="str">
        <f t="shared" si="134"/>
        <v>O14. month-year</v>
      </c>
      <c r="F831" s="41" t="s">
        <v>1179</v>
      </c>
      <c r="G831" t="str">
        <f t="shared" si="136"/>
        <v>O14. month-year</v>
      </c>
      <c r="H831" s="41" t="s">
        <v>1179</v>
      </c>
      <c r="J831" t="str">
        <f t="shared" si="138"/>
        <v>month-year</v>
      </c>
      <c r="K831" s="32" t="s">
        <v>1167</v>
      </c>
    </row>
    <row r="832" spans="1:11" x14ac:dyDescent="0.25">
      <c r="A832" t="s">
        <v>27</v>
      </c>
      <c r="B832" t="str">
        <f t="shared" si="133"/>
        <v>datetime_o15</v>
      </c>
      <c r="C832" t="s">
        <v>1172</v>
      </c>
      <c r="E832" t="str">
        <f t="shared" si="134"/>
        <v>O15. inline-1line year</v>
      </c>
      <c r="F832" t="str">
        <f t="shared" ref="F832:F838" si="139">A832</f>
        <v>datetime</v>
      </c>
      <c r="G832" t="str">
        <f t="shared" si="136"/>
        <v>O15. inline-1line year</v>
      </c>
      <c r="H832" t="str">
        <f t="shared" ref="H832:H838" si="140">A832</f>
        <v>datetime</v>
      </c>
      <c r="J832" t="str">
        <f t="shared" si="138"/>
        <v>inline-1line year</v>
      </c>
      <c r="K832" s="32" t="s">
        <v>112</v>
      </c>
    </row>
    <row r="833" spans="1:18" x14ac:dyDescent="0.25">
      <c r="A833" t="s">
        <v>27</v>
      </c>
      <c r="B833" t="str">
        <f t="shared" si="133"/>
        <v>datetime_o16</v>
      </c>
      <c r="C833" t="s">
        <v>1173</v>
      </c>
      <c r="E833" t="str">
        <f t="shared" si="134"/>
        <v>O16. inline-1line month</v>
      </c>
      <c r="F833" t="str">
        <f t="shared" si="139"/>
        <v>datetime</v>
      </c>
      <c r="G833" t="str">
        <f t="shared" si="136"/>
        <v>O16. inline-1line month</v>
      </c>
      <c r="H833" t="str">
        <f t="shared" si="140"/>
        <v>datetime</v>
      </c>
      <c r="J833" t="str">
        <f t="shared" si="138"/>
        <v>inline-1line month</v>
      </c>
      <c r="K833" s="32" t="s">
        <v>301</v>
      </c>
    </row>
    <row r="834" spans="1:18" x14ac:dyDescent="0.25">
      <c r="A834" t="s">
        <v>27</v>
      </c>
      <c r="B834" t="str">
        <f t="shared" si="133"/>
        <v>datetime_o17</v>
      </c>
      <c r="C834" t="s">
        <v>1174</v>
      </c>
      <c r="E834" t="str">
        <f t="shared" si="134"/>
        <v>O17. inline-1line day</v>
      </c>
      <c r="F834" t="str">
        <f t="shared" si="139"/>
        <v>datetime</v>
      </c>
      <c r="G834" t="str">
        <f t="shared" si="136"/>
        <v>O17. inline-1line day</v>
      </c>
      <c r="H834" t="str">
        <f t="shared" si="140"/>
        <v>datetime</v>
      </c>
      <c r="J834" t="str">
        <f t="shared" si="138"/>
        <v>inline-1line day</v>
      </c>
      <c r="K834" s="32" t="s">
        <v>109</v>
      </c>
    </row>
    <row r="835" spans="1:18" x14ac:dyDescent="0.25">
      <c r="A835" t="s">
        <v>27</v>
      </c>
      <c r="B835" t="str">
        <f t="shared" si="133"/>
        <v>datetime_o18</v>
      </c>
      <c r="C835" t="s">
        <v>1175</v>
      </c>
      <c r="E835" t="str">
        <f t="shared" si="134"/>
        <v>O18. inline-1line day-month</v>
      </c>
      <c r="F835" t="str">
        <f t="shared" si="139"/>
        <v>datetime</v>
      </c>
      <c r="G835" t="str">
        <f t="shared" si="136"/>
        <v>O18. inline-1line day-month</v>
      </c>
      <c r="H835" t="str">
        <f t="shared" si="140"/>
        <v>datetime</v>
      </c>
      <c r="J835" t="str">
        <f t="shared" si="138"/>
        <v>inline-1line day-month</v>
      </c>
      <c r="K835" s="32" t="s">
        <v>111</v>
      </c>
    </row>
    <row r="836" spans="1:18" x14ac:dyDescent="0.25">
      <c r="A836" t="s">
        <v>27</v>
      </c>
      <c r="B836" t="str">
        <f t="shared" si="133"/>
        <v>datetime_o19</v>
      </c>
      <c r="C836" t="s">
        <v>1176</v>
      </c>
      <c r="E836" t="str">
        <f t="shared" si="134"/>
        <v>O19. inline-1line day-year</v>
      </c>
      <c r="F836" t="str">
        <f t="shared" si="139"/>
        <v>datetime</v>
      </c>
      <c r="G836" t="str">
        <f t="shared" si="136"/>
        <v>O19. inline-1line day-year</v>
      </c>
      <c r="H836" t="str">
        <f t="shared" si="140"/>
        <v>datetime</v>
      </c>
      <c r="J836" t="str">
        <f t="shared" si="138"/>
        <v>inline-1line day-year</v>
      </c>
      <c r="K836" s="32" t="s">
        <v>302</v>
      </c>
    </row>
    <row r="837" spans="1:18" x14ac:dyDescent="0.25">
      <c r="A837" t="s">
        <v>27</v>
      </c>
      <c r="B837" t="str">
        <f t="shared" si="133"/>
        <v>datetime_o20</v>
      </c>
      <c r="C837" t="s">
        <v>1177</v>
      </c>
      <c r="E837" t="str">
        <f t="shared" si="134"/>
        <v>O20. inline-1line month-year</v>
      </c>
      <c r="F837" t="str">
        <f t="shared" si="139"/>
        <v>datetime</v>
      </c>
      <c r="G837" t="str">
        <f t="shared" si="136"/>
        <v>O20. inline-1line month-year</v>
      </c>
      <c r="H837" t="str">
        <f t="shared" si="140"/>
        <v>datetime</v>
      </c>
      <c r="J837" t="str">
        <f t="shared" si="138"/>
        <v>inline-1line month-year</v>
      </c>
      <c r="K837" s="32" t="s">
        <v>110</v>
      </c>
    </row>
    <row r="838" spans="1:18" x14ac:dyDescent="0.25">
      <c r="A838" t="s">
        <v>27</v>
      </c>
      <c r="B838" t="str">
        <f t="shared" si="133"/>
        <v>datetime_o21</v>
      </c>
      <c r="C838" t="s">
        <v>1178</v>
      </c>
      <c r="E838" t="str">
        <f t="shared" si="134"/>
        <v>O21. inline-1line y_range(2000-2046)</v>
      </c>
      <c r="F838" t="str">
        <f t="shared" si="139"/>
        <v>datetime</v>
      </c>
      <c r="G838" t="str">
        <f t="shared" si="136"/>
        <v>O21. inline-1line y_range(2000-2046)</v>
      </c>
      <c r="H838" t="str">
        <f t="shared" si="140"/>
        <v>datetime</v>
      </c>
      <c r="J838" t="str">
        <f t="shared" si="138"/>
        <v>inline-1line y_range(2000-2046)</v>
      </c>
      <c r="K838" s="32" t="s">
        <v>446</v>
      </c>
    </row>
    <row r="839" spans="1:18" x14ac:dyDescent="0.25">
      <c r="A839" t="s">
        <v>39</v>
      </c>
      <c r="E839" t="str">
        <f>CONCATENATE(PROPER(C839),". ",D839)</f>
        <v xml:space="preserve">. </v>
      </c>
      <c r="J839" t="str">
        <f t="shared" si="138"/>
        <v/>
      </c>
    </row>
    <row r="840" spans="1:18" x14ac:dyDescent="0.25">
      <c r="A840" t="s">
        <v>39</v>
      </c>
      <c r="E840" t="str">
        <f>CONCATENATE(PROPER(C840),". ",D840)</f>
        <v xml:space="preserve">. </v>
      </c>
      <c r="J840" t="str">
        <f t="shared" si="138"/>
        <v/>
      </c>
    </row>
    <row r="841" spans="1:18" x14ac:dyDescent="0.25">
      <c r="A841" t="s">
        <v>38</v>
      </c>
      <c r="B841" t="str">
        <f>CONCATENATE("bg_section_",C841)</f>
        <v>bg_section_p</v>
      </c>
      <c r="C841" t="s">
        <v>863</v>
      </c>
      <c r="D841" t="s">
        <v>1011</v>
      </c>
      <c r="E841" t="str">
        <f>CONCATENATE(PROPER(C841),". ",D841)</f>
        <v>P. TEXT appearance</v>
      </c>
      <c r="G841" t="str">
        <f>CONCATENATE(PROPER(C841),". ",D841)</f>
        <v>P. TEXT appearance</v>
      </c>
      <c r="J841" t="str">
        <f t="shared" si="138"/>
        <v>section</v>
      </c>
      <c r="K841" s="32" t="s">
        <v>43</v>
      </c>
      <c r="R841" t="s">
        <v>205</v>
      </c>
    </row>
    <row r="842" spans="1:18" x14ac:dyDescent="0.25">
      <c r="A842" t="s">
        <v>38</v>
      </c>
      <c r="B842" t="str">
        <f>CONCATENATE("bg_field_",C842)</f>
        <v>bg_field_p</v>
      </c>
      <c r="C842" t="s">
        <v>863</v>
      </c>
      <c r="D842" t="s">
        <v>1011</v>
      </c>
      <c r="E842" t="str">
        <f>CONCATENATE(PROPER(C842),". ",D842)</f>
        <v>P. TEXT appearance</v>
      </c>
      <c r="G842" t="str">
        <f>CONCATENATE(PROPER(C842),". ",D842)</f>
        <v>P. TEXT appearance</v>
      </c>
      <c r="J842" t="str">
        <f t="shared" si="138"/>
        <v>field-list</v>
      </c>
      <c r="K842" s="32" t="s">
        <v>40</v>
      </c>
      <c r="R842" t="s">
        <v>205</v>
      </c>
    </row>
    <row r="843" spans="1:18" x14ac:dyDescent="0.25">
      <c r="A843" t="s">
        <v>37</v>
      </c>
      <c r="B843" t="str">
        <f>CONCATENATE(SUBSTITUTE(A843," ","_"),"_",C843)</f>
        <v>note_p</v>
      </c>
      <c r="C843" t="s">
        <v>863</v>
      </c>
      <c r="D843" t="s">
        <v>101</v>
      </c>
      <c r="E843" t="str">
        <f>CONCATENATE(PROPER(C843),". ",D843)</f>
        <v>P. TEXT</v>
      </c>
      <c r="F843" t="s">
        <v>1000</v>
      </c>
      <c r="G843" t="str">
        <f>CONCATENATE(PROPER(C843),". ",D843)</f>
        <v>P. TEXT</v>
      </c>
      <c r="H843" t="s">
        <v>1000</v>
      </c>
      <c r="J843" t="str">
        <f t="shared" si="138"/>
        <v/>
      </c>
    </row>
    <row r="844" spans="1:18" x14ac:dyDescent="0.25">
      <c r="A844" t="s">
        <v>22</v>
      </c>
      <c r="B844" t="str">
        <f t="shared" ref="B844:B908" si="141">CONCATENATE(SUBSTITUTE(A844," ","_"),"_",C844)</f>
        <v>text_p1</v>
      </c>
      <c r="C844" t="s">
        <v>864</v>
      </c>
      <c r="E844" t="str">
        <f t="shared" ref="E844:E907" si="142">CONCATENATE(PROPER(C844),". ",J844)</f>
        <v>P1. embed</v>
      </c>
      <c r="F844" t="str">
        <f t="shared" ref="F844:F907" si="143">A844</f>
        <v>text</v>
      </c>
      <c r="G844" t="str">
        <f t="shared" ref="G844:G907" si="144">CONCATENATE(PROPER(C844),". ",J844)</f>
        <v>P1. embed</v>
      </c>
      <c r="H844" t="str">
        <f t="shared" ref="H844:H907" si="145">A844</f>
        <v>text</v>
      </c>
      <c r="J844" t="str">
        <f t="shared" si="138"/>
        <v>embed</v>
      </c>
      <c r="K844" s="32" t="s">
        <v>48</v>
      </c>
    </row>
    <row r="845" spans="1:18" x14ac:dyDescent="0.25">
      <c r="A845" t="s">
        <v>22</v>
      </c>
      <c r="B845" t="str">
        <f t="shared" si="141"/>
        <v>text_p2</v>
      </c>
      <c r="C845" t="s">
        <v>865</v>
      </c>
      <c r="E845" t="str">
        <f t="shared" si="142"/>
        <v>P2. numbers</v>
      </c>
      <c r="F845" t="str">
        <f t="shared" si="143"/>
        <v>text</v>
      </c>
      <c r="G845" t="str">
        <f t="shared" si="144"/>
        <v>P2. numbers</v>
      </c>
      <c r="H845" t="str">
        <f t="shared" si="145"/>
        <v>text</v>
      </c>
      <c r="J845" t="str">
        <f t="shared" si="138"/>
        <v>numbers</v>
      </c>
      <c r="K845" s="32" t="s">
        <v>78</v>
      </c>
    </row>
    <row r="846" spans="1:18" x14ac:dyDescent="0.25">
      <c r="A846" t="s">
        <v>22</v>
      </c>
      <c r="B846" t="str">
        <f t="shared" si="141"/>
        <v>text_p3</v>
      </c>
      <c r="C846" t="s">
        <v>866</v>
      </c>
      <c r="E846" t="str">
        <f t="shared" si="142"/>
        <v>P3. thousandsep</v>
      </c>
      <c r="F846" t="str">
        <f t="shared" si="143"/>
        <v>text</v>
      </c>
      <c r="G846" t="str">
        <f t="shared" si="144"/>
        <v>P3. thousandsep</v>
      </c>
      <c r="H846" t="str">
        <f t="shared" si="145"/>
        <v>text</v>
      </c>
      <c r="J846" t="str">
        <f t="shared" si="138"/>
        <v>thousandsep</v>
      </c>
      <c r="K846" s="32" t="s">
        <v>47</v>
      </c>
    </row>
    <row r="847" spans="1:18" x14ac:dyDescent="0.25">
      <c r="A847" t="s">
        <v>22</v>
      </c>
      <c r="B847" t="str">
        <f t="shared" si="141"/>
        <v>text_p4</v>
      </c>
      <c r="C847" t="s">
        <v>867</v>
      </c>
      <c r="E847" t="str">
        <f t="shared" si="142"/>
        <v>P4. digisep(3,"-")</v>
      </c>
      <c r="F847" t="str">
        <f t="shared" si="143"/>
        <v>text</v>
      </c>
      <c r="G847" t="str">
        <f t="shared" si="144"/>
        <v>P4. digisep(3,"-")</v>
      </c>
      <c r="H847" t="str">
        <f t="shared" si="145"/>
        <v>text</v>
      </c>
      <c r="J847" t="str">
        <f t="shared" si="138"/>
        <v>digisep(3,"-")</v>
      </c>
      <c r="K847" s="32" t="s">
        <v>183</v>
      </c>
    </row>
    <row r="848" spans="1:18" s="42" customFormat="1" x14ac:dyDescent="0.25">
      <c r="A848" s="42" t="s">
        <v>22</v>
      </c>
      <c r="B848" s="42" t="str">
        <f t="shared" si="141"/>
        <v>text_p5</v>
      </c>
      <c r="C848" s="42" t="s">
        <v>868</v>
      </c>
      <c r="E848" s="42" t="str">
        <f t="shared" si="142"/>
        <v>P5. selection_one_hide::na</v>
      </c>
      <c r="F848" s="42" t="str">
        <f t="shared" si="143"/>
        <v>text</v>
      </c>
      <c r="G848" s="42" t="str">
        <f t="shared" si="144"/>
        <v>P5. selection_one_hide::na</v>
      </c>
      <c r="H848" s="42" t="str">
        <f t="shared" si="145"/>
        <v>text</v>
      </c>
      <c r="J848" s="42" t="str">
        <f t="shared" si="138"/>
        <v>selection_one_hide::na</v>
      </c>
      <c r="K848" s="43" t="s">
        <v>49</v>
      </c>
      <c r="R848" s="42" t="s">
        <v>1355</v>
      </c>
    </row>
    <row r="849" spans="1:18" s="42" customFormat="1" x14ac:dyDescent="0.25">
      <c r="A849" s="42" t="s">
        <v>22</v>
      </c>
      <c r="B849" s="42" t="str">
        <f t="shared" si="141"/>
        <v>text_p6</v>
      </c>
      <c r="C849" s="42" t="s">
        <v>869</v>
      </c>
      <c r="E849" s="42" t="str">
        <f t="shared" si="142"/>
        <v>P6. selection_one_show::na</v>
      </c>
      <c r="F849" s="42" t="str">
        <f t="shared" si="143"/>
        <v>text</v>
      </c>
      <c r="G849" s="42" t="str">
        <f t="shared" si="144"/>
        <v>P6. selection_one_show::na</v>
      </c>
      <c r="H849" s="42" t="str">
        <f t="shared" si="145"/>
        <v>text</v>
      </c>
      <c r="J849" s="42" t="str">
        <f t="shared" si="138"/>
        <v>selection_one_show::na</v>
      </c>
      <c r="K849" s="43" t="s">
        <v>50</v>
      </c>
      <c r="R849" s="42" t="s">
        <v>1355</v>
      </c>
    </row>
    <row r="850" spans="1:18" x14ac:dyDescent="0.25">
      <c r="A850" t="s">
        <v>22</v>
      </c>
      <c r="B850" t="str">
        <f t="shared" si="141"/>
        <v>text_p7</v>
      </c>
      <c r="C850" t="s">
        <v>870</v>
      </c>
      <c r="E850" t="str">
        <f t="shared" si="142"/>
        <v>P7. selection_one_hide search-autocomplete-noedit(concat(${family_path},'/contact_all.db::externalData'),'[contact_name]','contact_id')</v>
      </c>
      <c r="F850" t="str">
        <f t="shared" si="143"/>
        <v>text</v>
      </c>
      <c r="G850" t="str">
        <f t="shared" si="144"/>
        <v>P7. selection_one_hide search-autocomplete-noedit(concat(${family_path},'/contact_all.db::externalData'),'[contact_name]','contact_id')</v>
      </c>
      <c r="H850" t="str">
        <f t="shared" si="145"/>
        <v>text</v>
      </c>
      <c r="J850" t="str">
        <f t="shared" si="138"/>
        <v>selection_one_hide search-autocomplete-noedit(concat(${family_path},'/contact_all.db::externalData'),'[contact_name]','contact_id')</v>
      </c>
      <c r="K850" s="32" t="s">
        <v>419</v>
      </c>
    </row>
    <row r="851" spans="1:18" x14ac:dyDescent="0.25">
      <c r="A851" t="s">
        <v>22</v>
      </c>
      <c r="B851" t="str">
        <f t="shared" si="141"/>
        <v>text_p8</v>
      </c>
      <c r="C851" t="s">
        <v>871</v>
      </c>
      <c r="E851" t="str">
        <f t="shared" si="142"/>
        <v>P8. selection_one_show search-autocomplete-noedit(concat(${family_path},'/contact_all.db::externalData'),'[contact_name]','contact_id')</v>
      </c>
      <c r="F851" t="str">
        <f t="shared" si="143"/>
        <v>text</v>
      </c>
      <c r="G851" t="str">
        <f t="shared" si="144"/>
        <v>P8. selection_one_show search-autocomplete-noedit(concat(${family_path},'/contact_all.db::externalData'),'[contact_name]','contact_id')</v>
      </c>
      <c r="H851" t="str">
        <f t="shared" si="145"/>
        <v>text</v>
      </c>
      <c r="J851" t="str">
        <f t="shared" si="138"/>
        <v>selection_one_show search-autocomplete-noedit(concat(${family_path},'/contact_all.db::externalData'),'[contact_name]','contact_id')</v>
      </c>
      <c r="K851" s="32" t="s">
        <v>420</v>
      </c>
    </row>
    <row r="852" spans="1:18" x14ac:dyDescent="0.25">
      <c r="A852" t="s">
        <v>22</v>
      </c>
      <c r="B852" t="str">
        <f t="shared" si="141"/>
        <v>text_p9</v>
      </c>
      <c r="C852" t="s">
        <v>872</v>
      </c>
      <c r="E852" t="str">
        <f t="shared" si="142"/>
        <v>P9. search-autocomplete-noedit-v2(concat(${family_path},'/contact_all.db::externalData'),'[contact_name]','contact_id')</v>
      </c>
      <c r="F852" t="str">
        <f t="shared" si="143"/>
        <v>text</v>
      </c>
      <c r="G852" t="str">
        <f t="shared" si="144"/>
        <v>P9. search-autocomplete-noedit-v2(concat(${family_path},'/contact_all.db::externalData'),'[contact_name]','contact_id')</v>
      </c>
      <c r="H852" t="str">
        <f t="shared" si="145"/>
        <v>text</v>
      </c>
      <c r="J852" t="s">
        <v>1744</v>
      </c>
      <c r="K852" s="32" t="s">
        <v>1764</v>
      </c>
    </row>
    <row r="853" spans="1:18" x14ac:dyDescent="0.25">
      <c r="A853" t="s">
        <v>22</v>
      </c>
      <c r="B853" t="str">
        <f t="shared" si="141"/>
        <v>text_p10</v>
      </c>
      <c r="C853" t="s">
        <v>873</v>
      </c>
      <c r="E853" t="str">
        <f t="shared" si="142"/>
        <v>P10. textpopup</v>
      </c>
      <c r="F853" t="str">
        <f t="shared" si="143"/>
        <v>text</v>
      </c>
      <c r="G853" t="str">
        <f t="shared" si="144"/>
        <v>P10. textpopup</v>
      </c>
      <c r="H853" t="str">
        <f t="shared" si="145"/>
        <v>text</v>
      </c>
      <c r="J853" t="str">
        <f t="shared" si="138"/>
        <v>textpopup</v>
      </c>
      <c r="K853" s="32" t="s">
        <v>51</v>
      </c>
    </row>
    <row r="854" spans="1:18" x14ac:dyDescent="0.25">
      <c r="A854" t="s">
        <v>22</v>
      </c>
      <c r="B854" t="str">
        <f t="shared" si="141"/>
        <v>text_p11</v>
      </c>
      <c r="C854" t="s">
        <v>874</v>
      </c>
      <c r="E854" t="str">
        <f t="shared" si="142"/>
        <v>P11. embed text-nolabel</v>
      </c>
      <c r="F854" t="str">
        <f t="shared" si="143"/>
        <v>text</v>
      </c>
      <c r="G854" t="str">
        <f t="shared" si="144"/>
        <v>P11. embed text-nolabel</v>
      </c>
      <c r="H854" t="str">
        <f t="shared" si="145"/>
        <v>text</v>
      </c>
      <c r="J854" t="str">
        <f t="shared" si="138"/>
        <v>embed text-nolabel</v>
      </c>
      <c r="K854" s="32" t="s">
        <v>52</v>
      </c>
    </row>
    <row r="855" spans="1:18" x14ac:dyDescent="0.25">
      <c r="A855" t="s">
        <v>22</v>
      </c>
      <c r="B855" t="str">
        <f t="shared" si="141"/>
        <v>text_p12</v>
      </c>
      <c r="C855" t="s">
        <v>875</v>
      </c>
      <c r="E855" t="str">
        <f t="shared" si="142"/>
        <v>P12. align_answer = center</v>
      </c>
      <c r="F855" t="str">
        <f t="shared" si="143"/>
        <v>text</v>
      </c>
      <c r="G855" t="str">
        <f t="shared" si="144"/>
        <v>P12. align_answer = center</v>
      </c>
      <c r="H855" t="str">
        <f t="shared" si="145"/>
        <v>text</v>
      </c>
      <c r="J855" t="str">
        <f t="shared" si="138"/>
        <v>align_answer = center</v>
      </c>
      <c r="K855" s="32" t="s">
        <v>105</v>
      </c>
    </row>
    <row r="856" spans="1:18" x14ac:dyDescent="0.25">
      <c r="A856" t="s">
        <v>22</v>
      </c>
      <c r="B856" t="str">
        <f t="shared" si="141"/>
        <v>text_p13</v>
      </c>
      <c r="C856" t="s">
        <v>876</v>
      </c>
      <c r="E856" t="str">
        <f t="shared" si="142"/>
        <v>P13. text-nolabel align_answer = center</v>
      </c>
      <c r="F856" t="str">
        <f t="shared" si="143"/>
        <v>text</v>
      </c>
      <c r="G856" t="str">
        <f t="shared" si="144"/>
        <v>P13. text-nolabel align_answer = center</v>
      </c>
      <c r="H856" t="str">
        <f t="shared" si="145"/>
        <v>text</v>
      </c>
      <c r="J856" t="str">
        <f t="shared" si="138"/>
        <v>text-nolabel align_answer = center</v>
      </c>
      <c r="K856" s="32" t="s">
        <v>106</v>
      </c>
    </row>
    <row r="857" spans="1:18" x14ac:dyDescent="0.25">
      <c r="A857" t="s">
        <v>22</v>
      </c>
      <c r="B857" t="str">
        <f t="shared" si="141"/>
        <v>text_p14</v>
      </c>
      <c r="C857" t="s">
        <v>877</v>
      </c>
      <c r="E857" t="str">
        <f t="shared" si="142"/>
        <v>P14. embed text-nolabel align_answer = center</v>
      </c>
      <c r="F857" t="str">
        <f t="shared" si="143"/>
        <v>text</v>
      </c>
      <c r="G857" t="str">
        <f t="shared" si="144"/>
        <v>P14. embed text-nolabel align_answer = center</v>
      </c>
      <c r="H857" t="str">
        <f t="shared" si="145"/>
        <v>text</v>
      </c>
      <c r="J857" t="str">
        <f t="shared" si="138"/>
        <v>embed text-nolabel align_answer = center</v>
      </c>
      <c r="K857" s="32" t="s">
        <v>107</v>
      </c>
    </row>
    <row r="858" spans="1:18" x14ac:dyDescent="0.25">
      <c r="A858" t="s">
        <v>22</v>
      </c>
      <c r="B858" t="str">
        <f t="shared" si="141"/>
        <v>text_p15</v>
      </c>
      <c r="C858" t="s">
        <v>878</v>
      </c>
      <c r="E858" t="str">
        <f t="shared" si="142"/>
        <v>P15. embed align_answer = center</v>
      </c>
      <c r="F858" t="str">
        <f t="shared" si="143"/>
        <v>text</v>
      </c>
      <c r="G858" t="str">
        <f t="shared" si="144"/>
        <v>P15. embed align_answer = center</v>
      </c>
      <c r="H858" t="str">
        <f t="shared" si="145"/>
        <v>text</v>
      </c>
      <c r="J858" t="str">
        <f t="shared" si="138"/>
        <v>embed align_answer = center</v>
      </c>
      <c r="K858" s="32" t="s">
        <v>108</v>
      </c>
    </row>
    <row r="859" spans="1:18" x14ac:dyDescent="0.25">
      <c r="A859" t="s">
        <v>22</v>
      </c>
      <c r="B859" t="str">
        <f t="shared" si="141"/>
        <v>text_p16</v>
      </c>
      <c r="C859" t="s">
        <v>879</v>
      </c>
      <c r="E859" t="str">
        <f t="shared" si="142"/>
        <v>P16. slider_rating</v>
      </c>
      <c r="F859" t="str">
        <f t="shared" si="143"/>
        <v>text</v>
      </c>
      <c r="G859" t="str">
        <f t="shared" si="144"/>
        <v>P16. slider_rating</v>
      </c>
      <c r="H859" t="str">
        <f t="shared" si="145"/>
        <v>text</v>
      </c>
      <c r="J859" t="str">
        <f t="shared" si="138"/>
        <v>slider_rating</v>
      </c>
      <c r="K859" s="32" t="s">
        <v>344</v>
      </c>
    </row>
    <row r="860" spans="1:18" x14ac:dyDescent="0.25">
      <c r="A860" t="s">
        <v>22</v>
      </c>
      <c r="B860" t="str">
        <f t="shared" si="141"/>
        <v>text_p17</v>
      </c>
      <c r="C860" t="s">
        <v>880</v>
      </c>
      <c r="E860" t="str">
        <f t="shared" si="142"/>
        <v>P17. slider_rating-max[5]</v>
      </c>
      <c r="F860" t="str">
        <f t="shared" si="143"/>
        <v>text</v>
      </c>
      <c r="G860" t="str">
        <f t="shared" si="144"/>
        <v>P17. slider_rating-max[5]</v>
      </c>
      <c r="H860" t="str">
        <f t="shared" si="145"/>
        <v>text</v>
      </c>
      <c r="J860" t="str">
        <f t="shared" si="138"/>
        <v>slider_rating-max[5]</v>
      </c>
      <c r="K860" s="32" t="s">
        <v>343</v>
      </c>
    </row>
    <row r="861" spans="1:18" x14ac:dyDescent="0.25">
      <c r="A861" t="s">
        <v>22</v>
      </c>
      <c r="B861" t="str">
        <f t="shared" si="141"/>
        <v>text_p18</v>
      </c>
      <c r="C861" t="s">
        <v>881</v>
      </c>
      <c r="E861" t="str">
        <f t="shared" si="142"/>
        <v>P18. slider_rating-38ac77-1e09ff-ff09b7-max[10]</v>
      </c>
      <c r="F861" t="str">
        <f t="shared" si="143"/>
        <v>text</v>
      </c>
      <c r="G861" t="str">
        <f t="shared" si="144"/>
        <v>P18. slider_rating-38ac77-1e09ff-ff09b7-max[10]</v>
      </c>
      <c r="H861" t="str">
        <f t="shared" si="145"/>
        <v>text</v>
      </c>
      <c r="J861" t="str">
        <f t="shared" si="138"/>
        <v>slider_rating-38ac77-1e09ff-ff09b7-max[10]</v>
      </c>
      <c r="K861" s="32" t="s">
        <v>342</v>
      </c>
    </row>
    <row r="862" spans="1:18" x14ac:dyDescent="0.25">
      <c r="A862" t="s">
        <v>22</v>
      </c>
      <c r="B862" t="str">
        <f t="shared" si="141"/>
        <v>text_p19</v>
      </c>
      <c r="C862" t="s">
        <v>882</v>
      </c>
      <c r="E862" t="str">
        <f t="shared" si="142"/>
        <v>P19. slider_rating-38ac77-getcolor(${color5})-max[100]</v>
      </c>
      <c r="F862" t="str">
        <f t="shared" si="143"/>
        <v>text</v>
      </c>
      <c r="G862" t="str">
        <f t="shared" si="144"/>
        <v>P19. slider_rating-38ac77-getcolor(${color5})-max[100]</v>
      </c>
      <c r="H862" t="str">
        <f t="shared" si="145"/>
        <v>text</v>
      </c>
      <c r="I862">
        <v>40</v>
      </c>
      <c r="J862" t="str">
        <f t="shared" si="138"/>
        <v>slider_rating-38ac77-getcolor(${color5})-max[100]</v>
      </c>
      <c r="K862" s="32" t="s">
        <v>345</v>
      </c>
    </row>
    <row r="863" spans="1:18" x14ac:dyDescent="0.25">
      <c r="A863" t="s">
        <v>22</v>
      </c>
      <c r="B863" t="str">
        <f t="shared" si="141"/>
        <v>text_p20</v>
      </c>
      <c r="C863" t="s">
        <v>883</v>
      </c>
      <c r="E863" t="str">
        <f t="shared" si="142"/>
        <v>P20. slider_rating-getcolor(${color2})-getcolor(${color3})-getcolor(${color4})-max[20]</v>
      </c>
      <c r="F863" t="str">
        <f t="shared" si="143"/>
        <v>text</v>
      </c>
      <c r="G863" t="str">
        <f t="shared" si="144"/>
        <v>P20. slider_rating-getcolor(${color2})-getcolor(${color3})-getcolor(${color4})-max[20]</v>
      </c>
      <c r="H863" t="str">
        <f t="shared" si="145"/>
        <v>text</v>
      </c>
      <c r="J863" t="str">
        <f t="shared" si="138"/>
        <v>slider_rating-getcolor(${color2})-getcolor(${color3})-getcolor(${color4})-max[20]</v>
      </c>
      <c r="K863" s="32" t="s">
        <v>346</v>
      </c>
    </row>
    <row r="864" spans="1:18" x14ac:dyDescent="0.25">
      <c r="A864" t="s">
        <v>22</v>
      </c>
      <c r="B864" t="str">
        <f t="shared" si="141"/>
        <v>text_p21</v>
      </c>
      <c r="C864" t="s">
        <v>884</v>
      </c>
      <c r="E864" t="str">
        <f t="shared" si="142"/>
        <v>P21. multiline-[5]</v>
      </c>
      <c r="F864" t="str">
        <f t="shared" si="143"/>
        <v>text</v>
      </c>
      <c r="G864" t="str">
        <f t="shared" si="144"/>
        <v>P21. multiline-[5]</v>
      </c>
      <c r="H864" t="str">
        <f t="shared" si="145"/>
        <v>text</v>
      </c>
      <c r="J864" t="str">
        <f t="shared" si="138"/>
        <v>multiline-[5]</v>
      </c>
      <c r="K864" s="32" t="s">
        <v>251</v>
      </c>
    </row>
    <row r="865" spans="1:11" x14ac:dyDescent="0.25">
      <c r="A865" t="s">
        <v>22</v>
      </c>
      <c r="B865" t="str">
        <f t="shared" si="141"/>
        <v>text_p22</v>
      </c>
      <c r="C865" t="s">
        <v>885</v>
      </c>
      <c r="E865" t="str">
        <f t="shared" si="142"/>
        <v>P22. multiline-[5] embed</v>
      </c>
      <c r="F865" t="str">
        <f t="shared" si="143"/>
        <v>text</v>
      </c>
      <c r="G865" t="str">
        <f t="shared" si="144"/>
        <v>P22. multiline-[5] embed</v>
      </c>
      <c r="H865" t="str">
        <f t="shared" si="145"/>
        <v>text</v>
      </c>
      <c r="J865" t="str">
        <f t="shared" si="138"/>
        <v>multiline-[5] embed</v>
      </c>
      <c r="K865" s="32" t="s">
        <v>337</v>
      </c>
    </row>
    <row r="866" spans="1:11" x14ac:dyDescent="0.25">
      <c r="A866" t="s">
        <v>22</v>
      </c>
      <c r="B866" t="str">
        <f t="shared" si="141"/>
        <v>text_p23</v>
      </c>
      <c r="C866" t="s">
        <v>886</v>
      </c>
      <c r="E866" t="str">
        <f t="shared" si="142"/>
        <v>P23. horizontal(70)</v>
      </c>
      <c r="F866" t="str">
        <f t="shared" si="143"/>
        <v>text</v>
      </c>
      <c r="G866" t="str">
        <f t="shared" si="144"/>
        <v>P23. horizontal(70)</v>
      </c>
      <c r="H866" t="str">
        <f t="shared" si="145"/>
        <v>text</v>
      </c>
      <c r="J866" t="str">
        <f t="shared" si="138"/>
        <v>horizontal(70)</v>
      </c>
      <c r="K866" s="32" t="s">
        <v>1345</v>
      </c>
    </row>
    <row r="867" spans="1:11" x14ac:dyDescent="0.25">
      <c r="A867" t="s">
        <v>22</v>
      </c>
      <c r="B867" t="str">
        <f t="shared" si="141"/>
        <v>text_p24</v>
      </c>
      <c r="C867" t="s">
        <v>887</v>
      </c>
      <c r="E867" t="str">
        <f t="shared" si="142"/>
        <v>P24. horizontal(40) embed</v>
      </c>
      <c r="F867" t="str">
        <f t="shared" si="143"/>
        <v>text</v>
      </c>
      <c r="G867" t="str">
        <f t="shared" si="144"/>
        <v>P24. horizontal(40) embed</v>
      </c>
      <c r="H867" t="str">
        <f t="shared" si="145"/>
        <v>text</v>
      </c>
      <c r="J867" t="str">
        <f t="shared" si="138"/>
        <v>horizontal(40) embed</v>
      </c>
      <c r="K867" s="32" t="s">
        <v>1344</v>
      </c>
    </row>
    <row r="868" spans="1:11" x14ac:dyDescent="0.25">
      <c r="A868" t="s">
        <v>22</v>
      </c>
      <c r="B868" t="str">
        <f t="shared" si="141"/>
        <v>text_p25</v>
      </c>
      <c r="C868" t="s">
        <v>888</v>
      </c>
      <c r="E868" t="str">
        <f t="shared" si="142"/>
        <v>P25. upper</v>
      </c>
      <c r="F868" t="str">
        <f t="shared" si="143"/>
        <v>text</v>
      </c>
      <c r="G868" t="str">
        <f t="shared" si="144"/>
        <v>P25. upper</v>
      </c>
      <c r="H868" t="str">
        <f t="shared" si="145"/>
        <v>text</v>
      </c>
      <c r="J868" t="str">
        <f t="shared" si="138"/>
        <v>upper</v>
      </c>
      <c r="K868" s="32" t="s">
        <v>338</v>
      </c>
    </row>
    <row r="869" spans="1:11" x14ac:dyDescent="0.25">
      <c r="A869" t="s">
        <v>22</v>
      </c>
      <c r="B869" t="str">
        <f t="shared" si="141"/>
        <v>text_p26</v>
      </c>
      <c r="C869" t="s">
        <v>889</v>
      </c>
      <c r="E869" t="str">
        <f t="shared" si="142"/>
        <v>P26. lower</v>
      </c>
      <c r="F869" t="str">
        <f t="shared" si="143"/>
        <v>text</v>
      </c>
      <c r="G869" t="str">
        <f t="shared" si="144"/>
        <v>P26. lower</v>
      </c>
      <c r="H869" t="str">
        <f t="shared" si="145"/>
        <v>text</v>
      </c>
      <c r="J869" t="str">
        <f t="shared" si="138"/>
        <v>lower</v>
      </c>
      <c r="K869" s="32" t="s">
        <v>339</v>
      </c>
    </row>
    <row r="870" spans="1:11" x14ac:dyDescent="0.25">
      <c r="A870" t="s">
        <v>22</v>
      </c>
      <c r="B870" t="str">
        <f t="shared" si="141"/>
        <v>text_p27</v>
      </c>
      <c r="C870" t="s">
        <v>890</v>
      </c>
      <c r="E870" t="str">
        <f t="shared" si="142"/>
        <v>P27. proper</v>
      </c>
      <c r="F870" t="str">
        <f t="shared" si="143"/>
        <v>text</v>
      </c>
      <c r="G870" t="str">
        <f t="shared" si="144"/>
        <v>P27. proper</v>
      </c>
      <c r="H870" t="str">
        <f t="shared" si="145"/>
        <v>text</v>
      </c>
      <c r="J870" t="str">
        <f t="shared" si="138"/>
        <v>proper</v>
      </c>
      <c r="K870" s="32" t="s">
        <v>340</v>
      </c>
    </row>
    <row r="871" spans="1:11" x14ac:dyDescent="0.25">
      <c r="A871" t="s">
        <v>22</v>
      </c>
      <c r="B871" t="str">
        <f t="shared" si="141"/>
        <v>text_p28</v>
      </c>
      <c r="C871" t="s">
        <v>891</v>
      </c>
      <c r="E871" t="str">
        <f t="shared" si="142"/>
        <v>P28. verify-email</v>
      </c>
      <c r="F871" t="str">
        <f t="shared" si="143"/>
        <v>text</v>
      </c>
      <c r="G871" t="str">
        <f t="shared" si="144"/>
        <v>P28. verify-email</v>
      </c>
      <c r="H871" t="str">
        <f t="shared" si="145"/>
        <v>text</v>
      </c>
      <c r="J871" t="str">
        <f t="shared" si="138"/>
        <v>verify-email</v>
      </c>
      <c r="K871" s="32" t="s">
        <v>341</v>
      </c>
    </row>
    <row r="872" spans="1:11" x14ac:dyDescent="0.25">
      <c r="A872" t="s">
        <v>22</v>
      </c>
      <c r="B872" t="str">
        <f t="shared" si="141"/>
        <v>text_p29</v>
      </c>
      <c r="C872" t="s">
        <v>892</v>
      </c>
      <c r="E872" t="str">
        <f t="shared" si="142"/>
        <v>P29. url</v>
      </c>
      <c r="F872" t="s">
        <v>1358</v>
      </c>
      <c r="G872" t="str">
        <f t="shared" si="144"/>
        <v>P29. url</v>
      </c>
      <c r="H872" t="s">
        <v>1358</v>
      </c>
      <c r="I872" t="s">
        <v>1357</v>
      </c>
      <c r="J872" t="str">
        <f t="shared" si="138"/>
        <v>url</v>
      </c>
      <c r="K872" s="32" t="s">
        <v>1356</v>
      </c>
    </row>
    <row r="873" spans="1:11" x14ac:dyDescent="0.25">
      <c r="A873" t="s">
        <v>22</v>
      </c>
      <c r="B873" t="str">
        <f t="shared" si="141"/>
        <v>text_p30</v>
      </c>
      <c r="C873" t="s">
        <v>893</v>
      </c>
      <c r="E873" t="str">
        <f t="shared" si="142"/>
        <v>P30. string-api(output('text_p31','text_p32'),action('verify_email','text_p21'))</v>
      </c>
      <c r="F873" t="str">
        <f t="shared" si="143"/>
        <v>text</v>
      </c>
      <c r="G873" t="str">
        <f t="shared" si="144"/>
        <v>P30. string-api(output('text_p31','text_p32'),action('verify_email','text_p21'))</v>
      </c>
      <c r="H873" t="str">
        <f t="shared" si="145"/>
        <v>text</v>
      </c>
      <c r="J873" t="str">
        <f t="shared" si="138"/>
        <v>string-api(output('text_p31','text_p32'),action('verify_email','text_p21'))</v>
      </c>
      <c r="K873" s="32" t="str">
        <f>CONCATENATE("string-api(output('",B874,"','",B875,"'),action('verify_email','",B864,"'))")</f>
        <v>string-api(output('text_p31','text_p32'),action('verify_email','text_p21'))</v>
      </c>
    </row>
    <row r="874" spans="1:11" x14ac:dyDescent="0.25">
      <c r="A874" t="s">
        <v>22</v>
      </c>
      <c r="B874" t="str">
        <f t="shared" si="141"/>
        <v>text_p31</v>
      </c>
      <c r="C874" t="s">
        <v>894</v>
      </c>
      <c r="E874" t="str">
        <f t="shared" si="142"/>
        <v>P31. embed</v>
      </c>
      <c r="F874" t="str">
        <f t="shared" si="143"/>
        <v>text</v>
      </c>
      <c r="G874" t="str">
        <f t="shared" si="144"/>
        <v>P31. embed</v>
      </c>
      <c r="H874" t="str">
        <f t="shared" si="145"/>
        <v>text</v>
      </c>
      <c r="J874" t="str">
        <f t="shared" si="138"/>
        <v>embed</v>
      </c>
      <c r="K874" s="32" t="s">
        <v>48</v>
      </c>
    </row>
    <row r="875" spans="1:11" x14ac:dyDescent="0.25">
      <c r="A875" t="s">
        <v>22</v>
      </c>
      <c r="B875" t="str">
        <f t="shared" si="141"/>
        <v>text_p32</v>
      </c>
      <c r="C875" t="s">
        <v>895</v>
      </c>
      <c r="E875" t="str">
        <f t="shared" si="142"/>
        <v xml:space="preserve">P32. </v>
      </c>
      <c r="F875" t="str">
        <f t="shared" si="143"/>
        <v>text</v>
      </c>
      <c r="G875" t="str">
        <f t="shared" si="144"/>
        <v xml:space="preserve">P32. </v>
      </c>
      <c r="H875" t="str">
        <f t="shared" si="145"/>
        <v>text</v>
      </c>
      <c r="J875" t="str">
        <f t="shared" si="138"/>
        <v/>
      </c>
    </row>
    <row r="876" spans="1:11" x14ac:dyDescent="0.25">
      <c r="A876" t="s">
        <v>22</v>
      </c>
      <c r="B876" t="str">
        <f t="shared" si="141"/>
        <v>text_p33</v>
      </c>
      <c r="C876" t="s">
        <v>896</v>
      </c>
      <c r="E876" t="str">
        <f t="shared" si="142"/>
        <v>P33. text-nolabel</v>
      </c>
      <c r="F876" t="str">
        <f t="shared" si="143"/>
        <v>text</v>
      </c>
      <c r="G876" t="str">
        <f t="shared" si="144"/>
        <v>P33. text-nolabel</v>
      </c>
      <c r="H876" t="str">
        <f t="shared" si="145"/>
        <v>text</v>
      </c>
      <c r="J876" t="str">
        <f t="shared" si="138"/>
        <v>text-nolabel</v>
      </c>
      <c r="K876" s="32" t="s">
        <v>44</v>
      </c>
    </row>
    <row r="877" spans="1:11" x14ac:dyDescent="0.25">
      <c r="A877" t="s">
        <v>22</v>
      </c>
      <c r="B877" t="str">
        <f t="shared" si="141"/>
        <v>text_p34</v>
      </c>
      <c r="C877" t="s">
        <v>897</v>
      </c>
      <c r="E877" t="str">
        <f t="shared" si="142"/>
        <v>P34. horizontal(70) floating_hint</v>
      </c>
      <c r="F877" t="str">
        <f t="shared" si="143"/>
        <v>text</v>
      </c>
      <c r="G877" t="str">
        <f t="shared" si="144"/>
        <v>P34. horizontal(70) floating_hint</v>
      </c>
      <c r="H877" t="str">
        <f t="shared" si="145"/>
        <v>text</v>
      </c>
      <c r="J877" t="str">
        <f t="shared" si="138"/>
        <v>horizontal(70) floating_hint</v>
      </c>
      <c r="K877" s="32" t="s">
        <v>1359</v>
      </c>
    </row>
    <row r="878" spans="1:11" x14ac:dyDescent="0.25">
      <c r="A878" t="s">
        <v>22</v>
      </c>
      <c r="B878" t="str">
        <f t="shared" si="141"/>
        <v>text_p35</v>
      </c>
      <c r="C878" t="s">
        <v>898</v>
      </c>
      <c r="E878" t="str">
        <f t="shared" si="142"/>
        <v xml:space="preserve">P35. </v>
      </c>
      <c r="F878" t="str">
        <f t="shared" si="143"/>
        <v>text</v>
      </c>
      <c r="G878" t="str">
        <f t="shared" si="144"/>
        <v xml:space="preserve">P35. </v>
      </c>
      <c r="H878" t="str">
        <f t="shared" si="145"/>
        <v>text</v>
      </c>
      <c r="J878" t="str">
        <f t="shared" si="138"/>
        <v/>
      </c>
    </row>
    <row r="879" spans="1:11" x14ac:dyDescent="0.25">
      <c r="A879" t="s">
        <v>22</v>
      </c>
      <c r="B879" t="str">
        <f t="shared" si="141"/>
        <v>text_p36</v>
      </c>
      <c r="C879" t="s">
        <v>899</v>
      </c>
      <c r="E879" t="str">
        <f t="shared" si="142"/>
        <v>P36. time inline</v>
      </c>
      <c r="F879" t="str">
        <f t="shared" si="143"/>
        <v>text</v>
      </c>
      <c r="G879" t="str">
        <f t="shared" si="144"/>
        <v>P36. time inline</v>
      </c>
      <c r="H879" t="str">
        <f t="shared" si="145"/>
        <v>text</v>
      </c>
      <c r="J879" t="str">
        <f t="shared" si="138"/>
        <v>time inline</v>
      </c>
      <c r="K879" s="32" t="s">
        <v>91</v>
      </c>
    </row>
    <row r="880" spans="1:11" x14ac:dyDescent="0.25">
      <c r="A880" t="s">
        <v>22</v>
      </c>
      <c r="B880" t="str">
        <f t="shared" si="141"/>
        <v>text_p37</v>
      </c>
      <c r="C880" t="s">
        <v>900</v>
      </c>
      <c r="E880" t="str">
        <f t="shared" si="142"/>
        <v>P37. time inline-onlyresult</v>
      </c>
      <c r="F880" t="str">
        <f t="shared" si="143"/>
        <v>text</v>
      </c>
      <c r="G880" t="str">
        <f t="shared" si="144"/>
        <v>P37. time inline-onlyresult</v>
      </c>
      <c r="H880" t="str">
        <f t="shared" si="145"/>
        <v>text</v>
      </c>
      <c r="J880" t="str">
        <f t="shared" si="138"/>
        <v>time inline-onlyresult</v>
      </c>
      <c r="K880" s="32" t="s">
        <v>92</v>
      </c>
    </row>
    <row r="881" spans="1:12" x14ac:dyDescent="0.25">
      <c r="A881" t="s">
        <v>22</v>
      </c>
      <c r="B881" t="str">
        <f t="shared" si="141"/>
        <v>text_p38</v>
      </c>
      <c r="C881" t="s">
        <v>901</v>
      </c>
      <c r="E881" t="str">
        <f t="shared" si="142"/>
        <v>P38. time inline &lt;#0099FF/&gt;</v>
      </c>
      <c r="F881" t="str">
        <f t="shared" si="143"/>
        <v>text</v>
      </c>
      <c r="G881" t="str">
        <f t="shared" si="144"/>
        <v>P38. time inline &lt;#0099FF/&gt;</v>
      </c>
      <c r="H881" t="str">
        <f t="shared" si="145"/>
        <v>text</v>
      </c>
      <c r="J881" t="str">
        <f t="shared" si="138"/>
        <v>time inline &lt;#0099FF/&gt;</v>
      </c>
      <c r="K881" s="32" t="s">
        <v>1089</v>
      </c>
      <c r="L881" t="s">
        <v>1083</v>
      </c>
    </row>
    <row r="882" spans="1:12" x14ac:dyDescent="0.25">
      <c r="A882" t="s">
        <v>22</v>
      </c>
      <c r="B882" t="str">
        <f t="shared" si="141"/>
        <v>text_p39</v>
      </c>
      <c r="C882" t="s">
        <v>902</v>
      </c>
      <c r="E882" t="str">
        <f t="shared" si="142"/>
        <v>P39. time inline-onlyresult &lt;#0099FF/&gt;</v>
      </c>
      <c r="F882" t="str">
        <f t="shared" si="143"/>
        <v>text</v>
      </c>
      <c r="G882" t="str">
        <f t="shared" si="144"/>
        <v>P39. time inline-onlyresult &lt;#0099FF/&gt;</v>
      </c>
      <c r="H882" t="str">
        <f t="shared" si="145"/>
        <v>text</v>
      </c>
      <c r="J882" t="str">
        <f t="shared" si="138"/>
        <v>time inline-onlyresult &lt;#0099FF/&gt;</v>
      </c>
      <c r="K882" s="32" t="s">
        <v>1090</v>
      </c>
      <c r="L882" t="s">
        <v>1083</v>
      </c>
    </row>
    <row r="883" spans="1:12" x14ac:dyDescent="0.25">
      <c r="A883" t="s">
        <v>22</v>
      </c>
      <c r="B883" t="str">
        <f t="shared" si="141"/>
        <v>text_p40</v>
      </c>
      <c r="C883" t="s">
        <v>903</v>
      </c>
      <c r="E883" t="str">
        <f t="shared" si="142"/>
        <v>P40. inline-1line-time</v>
      </c>
      <c r="F883" t="str">
        <f t="shared" si="143"/>
        <v>text</v>
      </c>
      <c r="G883" t="str">
        <f t="shared" si="144"/>
        <v>P40. inline-1line-time</v>
      </c>
      <c r="H883" t="str">
        <f t="shared" si="145"/>
        <v>text</v>
      </c>
      <c r="J883" t="str">
        <f t="shared" si="138"/>
        <v>inline-1line-time</v>
      </c>
      <c r="K883" s="32" t="s">
        <v>225</v>
      </c>
    </row>
    <row r="884" spans="1:12" x14ac:dyDescent="0.25">
      <c r="A884" t="s">
        <v>22</v>
      </c>
      <c r="B884" t="str">
        <f t="shared" si="141"/>
        <v>text_p41</v>
      </c>
      <c r="C884" t="s">
        <v>904</v>
      </c>
      <c r="E884" t="str">
        <f t="shared" si="142"/>
        <v>P41. inline-1line-time-FF0089</v>
      </c>
      <c r="F884" t="str">
        <f t="shared" si="143"/>
        <v>text</v>
      </c>
      <c r="G884" t="str">
        <f t="shared" si="144"/>
        <v>P41. inline-1line-time-FF0089</v>
      </c>
      <c r="H884" t="str">
        <f t="shared" si="145"/>
        <v>text</v>
      </c>
      <c r="J884" t="str">
        <f t="shared" si="138"/>
        <v>inline-1line-time-FF0089</v>
      </c>
      <c r="K884" s="32" t="s">
        <v>226</v>
      </c>
    </row>
    <row r="885" spans="1:12" x14ac:dyDescent="0.25">
      <c r="A885" t="s">
        <v>22</v>
      </c>
      <c r="B885" t="str">
        <f t="shared" si="141"/>
        <v>text_p42</v>
      </c>
      <c r="C885" t="s">
        <v>905</v>
      </c>
      <c r="E885" t="str">
        <f t="shared" si="142"/>
        <v>P42. inline-1line-time-FF0089-0099FF</v>
      </c>
      <c r="F885" t="str">
        <f t="shared" si="143"/>
        <v>text</v>
      </c>
      <c r="G885" t="str">
        <f t="shared" si="144"/>
        <v>P42. inline-1line-time-FF0089-0099FF</v>
      </c>
      <c r="H885" t="str">
        <f t="shared" si="145"/>
        <v>text</v>
      </c>
      <c r="J885" t="str">
        <f t="shared" si="138"/>
        <v>inline-1line-time-FF0089-0099FF</v>
      </c>
      <c r="K885" s="32" t="s">
        <v>469</v>
      </c>
    </row>
    <row r="886" spans="1:12" x14ac:dyDescent="0.25">
      <c r="A886" t="s">
        <v>22</v>
      </c>
      <c r="B886" t="str">
        <f t="shared" si="141"/>
        <v>text_p43</v>
      </c>
      <c r="C886" t="s">
        <v>906</v>
      </c>
      <c r="E886" t="str">
        <f t="shared" si="142"/>
        <v>P43. date inline</v>
      </c>
      <c r="F886" t="str">
        <f t="shared" si="143"/>
        <v>text</v>
      </c>
      <c r="G886" t="str">
        <f t="shared" si="144"/>
        <v>P43. date inline</v>
      </c>
      <c r="H886" t="str">
        <f t="shared" si="145"/>
        <v>text</v>
      </c>
      <c r="J886" t="str">
        <f t="shared" ref="J886:J949" si="146">TRIM(CONCATENATE(K886," ",L886," ",M886))</f>
        <v>date inline</v>
      </c>
      <c r="K886" s="32" t="s">
        <v>89</v>
      </c>
    </row>
    <row r="887" spans="1:12" x14ac:dyDescent="0.25">
      <c r="A887" t="s">
        <v>22</v>
      </c>
      <c r="B887" t="str">
        <f t="shared" si="141"/>
        <v>text_p44</v>
      </c>
      <c r="C887" t="s">
        <v>907</v>
      </c>
      <c r="E887" t="str">
        <f t="shared" si="142"/>
        <v>P44. date inline-onlyresult</v>
      </c>
      <c r="F887" t="str">
        <f t="shared" si="143"/>
        <v>text</v>
      </c>
      <c r="G887" t="str">
        <f t="shared" si="144"/>
        <v>P44. date inline-onlyresult</v>
      </c>
      <c r="H887" t="str">
        <f t="shared" si="145"/>
        <v>text</v>
      </c>
      <c r="J887" t="str">
        <f t="shared" si="146"/>
        <v>date inline-onlyresult</v>
      </c>
      <c r="K887" s="32" t="s">
        <v>90</v>
      </c>
    </row>
    <row r="888" spans="1:12" x14ac:dyDescent="0.25">
      <c r="A888" t="s">
        <v>22</v>
      </c>
      <c r="B888" t="str">
        <f t="shared" si="141"/>
        <v>text_p45</v>
      </c>
      <c r="C888" t="s">
        <v>908</v>
      </c>
      <c r="E888" t="str">
        <f t="shared" si="142"/>
        <v>P45. date inline &lt;#0099FF/&gt;</v>
      </c>
      <c r="F888" t="str">
        <f t="shared" si="143"/>
        <v>text</v>
      </c>
      <c r="G888" t="str">
        <f t="shared" si="144"/>
        <v>P45. date inline &lt;#0099FF/&gt;</v>
      </c>
      <c r="H888" t="str">
        <f t="shared" si="145"/>
        <v>text</v>
      </c>
      <c r="J888" t="str">
        <f t="shared" si="146"/>
        <v>date inline &lt;#0099FF/&gt;</v>
      </c>
      <c r="K888" s="32" t="s">
        <v>1091</v>
      </c>
      <c r="L888" t="s">
        <v>1083</v>
      </c>
    </row>
    <row r="889" spans="1:12" x14ac:dyDescent="0.25">
      <c r="A889" t="s">
        <v>22</v>
      </c>
      <c r="B889" t="str">
        <f t="shared" si="141"/>
        <v>text_p46</v>
      </c>
      <c r="C889" t="s">
        <v>909</v>
      </c>
      <c r="E889" t="str">
        <f t="shared" si="142"/>
        <v>P46. date inline-onlyresult &lt;#0099FF/&gt;</v>
      </c>
      <c r="F889" t="str">
        <f t="shared" si="143"/>
        <v>text</v>
      </c>
      <c r="G889" t="str">
        <f t="shared" si="144"/>
        <v>P46. date inline-onlyresult &lt;#0099FF/&gt;</v>
      </c>
      <c r="H889" t="str">
        <f t="shared" si="145"/>
        <v>text</v>
      </c>
      <c r="J889" t="str">
        <f t="shared" si="146"/>
        <v>date inline-onlyresult &lt;#0099FF/&gt;</v>
      </c>
      <c r="K889" s="32" t="s">
        <v>1092</v>
      </c>
      <c r="L889" t="s">
        <v>1083</v>
      </c>
    </row>
    <row r="890" spans="1:12" x14ac:dyDescent="0.25">
      <c r="A890" t="s">
        <v>22</v>
      </c>
      <c r="B890" t="str">
        <f t="shared" si="141"/>
        <v>text_p47</v>
      </c>
      <c r="C890" t="s">
        <v>910</v>
      </c>
      <c r="E890" t="str">
        <f t="shared" si="142"/>
        <v>P47. inline-1line-date</v>
      </c>
      <c r="F890" t="str">
        <f t="shared" si="143"/>
        <v>text</v>
      </c>
      <c r="G890" t="str">
        <f t="shared" si="144"/>
        <v>P47. inline-1line-date</v>
      </c>
      <c r="H890" t="str">
        <f t="shared" si="145"/>
        <v>text</v>
      </c>
      <c r="J890" t="str">
        <f t="shared" si="146"/>
        <v>inline-1line-date</v>
      </c>
      <c r="K890" s="32" t="s">
        <v>227</v>
      </c>
    </row>
    <row r="891" spans="1:12" x14ac:dyDescent="0.25">
      <c r="A891" t="s">
        <v>22</v>
      </c>
      <c r="B891" t="str">
        <f t="shared" si="141"/>
        <v>text_p48</v>
      </c>
      <c r="C891" t="s">
        <v>911</v>
      </c>
      <c r="E891" t="str">
        <f t="shared" si="142"/>
        <v>P48. inline-1line-date-FF0089</v>
      </c>
      <c r="F891" t="str">
        <f t="shared" si="143"/>
        <v>text</v>
      </c>
      <c r="G891" t="str">
        <f t="shared" si="144"/>
        <v>P48. inline-1line-date-FF0089</v>
      </c>
      <c r="H891" t="str">
        <f t="shared" si="145"/>
        <v>text</v>
      </c>
      <c r="J891" t="str">
        <f t="shared" si="146"/>
        <v>inline-1line-date-FF0089</v>
      </c>
      <c r="K891" s="32" t="s">
        <v>228</v>
      </c>
    </row>
    <row r="892" spans="1:12" x14ac:dyDescent="0.25">
      <c r="A892" t="s">
        <v>22</v>
      </c>
      <c r="B892" t="str">
        <f t="shared" si="141"/>
        <v>text_p49</v>
      </c>
      <c r="C892" t="s">
        <v>912</v>
      </c>
      <c r="E892" t="str">
        <f t="shared" si="142"/>
        <v>P49. inline-1line-date-FF0089-0099FF</v>
      </c>
      <c r="F892" t="str">
        <f t="shared" si="143"/>
        <v>text</v>
      </c>
      <c r="G892" t="str">
        <f t="shared" si="144"/>
        <v>P49. inline-1line-date-FF0089-0099FF</v>
      </c>
      <c r="H892" t="str">
        <f t="shared" si="145"/>
        <v>text</v>
      </c>
      <c r="J892" t="str">
        <f t="shared" si="146"/>
        <v>inline-1line-date-FF0089-0099FF</v>
      </c>
      <c r="K892" s="32" t="s">
        <v>470</v>
      </c>
    </row>
    <row r="893" spans="1:12" x14ac:dyDescent="0.25">
      <c r="A893" t="s">
        <v>22</v>
      </c>
      <c r="B893" t="str">
        <f t="shared" si="141"/>
        <v>text_p50</v>
      </c>
      <c r="C893" t="s">
        <v>913</v>
      </c>
      <c r="E893" t="str">
        <f t="shared" si="142"/>
        <v>P50. datetime inline</v>
      </c>
      <c r="F893" t="str">
        <f t="shared" si="143"/>
        <v>text</v>
      </c>
      <c r="G893" t="str">
        <f t="shared" si="144"/>
        <v>P50. datetime inline</v>
      </c>
      <c r="H893" t="str">
        <f t="shared" si="145"/>
        <v>text</v>
      </c>
      <c r="J893" t="str">
        <f t="shared" si="146"/>
        <v>datetime inline</v>
      </c>
      <c r="K893" s="32" t="s">
        <v>93</v>
      </c>
    </row>
    <row r="894" spans="1:12" x14ac:dyDescent="0.25">
      <c r="A894" t="s">
        <v>22</v>
      </c>
      <c r="B894" t="str">
        <f t="shared" si="141"/>
        <v>text_p51</v>
      </c>
      <c r="C894" t="s">
        <v>914</v>
      </c>
      <c r="E894" t="str">
        <f t="shared" si="142"/>
        <v>P51. datetime inline-onlyresult</v>
      </c>
      <c r="F894" t="str">
        <f t="shared" si="143"/>
        <v>text</v>
      </c>
      <c r="G894" t="str">
        <f t="shared" si="144"/>
        <v>P51. datetime inline-onlyresult</v>
      </c>
      <c r="H894" t="str">
        <f t="shared" si="145"/>
        <v>text</v>
      </c>
      <c r="J894" t="str">
        <f t="shared" si="146"/>
        <v>datetime inline-onlyresult</v>
      </c>
      <c r="K894" s="32" t="s">
        <v>94</v>
      </c>
    </row>
    <row r="895" spans="1:12" x14ac:dyDescent="0.25">
      <c r="A895" t="s">
        <v>22</v>
      </c>
      <c r="B895" t="str">
        <f t="shared" si="141"/>
        <v>text_p52</v>
      </c>
      <c r="C895" t="s">
        <v>915</v>
      </c>
      <c r="E895" t="str">
        <f t="shared" si="142"/>
        <v>P52. datetime inline &lt;#0099FF/&gt;</v>
      </c>
      <c r="F895" t="str">
        <f t="shared" si="143"/>
        <v>text</v>
      </c>
      <c r="G895" t="str">
        <f>CONCATENATE(PROPER(C895),". ",J895)</f>
        <v>P52. datetime inline &lt;#0099FF/&gt;</v>
      </c>
      <c r="H895" t="str">
        <f t="shared" si="145"/>
        <v>text</v>
      </c>
      <c r="J895" t="str">
        <f t="shared" si="146"/>
        <v>datetime inline &lt;#0099FF/&gt;</v>
      </c>
      <c r="K895" s="32" t="s">
        <v>1093</v>
      </c>
      <c r="L895" t="s">
        <v>1083</v>
      </c>
    </row>
    <row r="896" spans="1:12" x14ac:dyDescent="0.25">
      <c r="A896" t="s">
        <v>22</v>
      </c>
      <c r="B896" t="str">
        <f t="shared" si="141"/>
        <v>text_p53</v>
      </c>
      <c r="C896" t="s">
        <v>916</v>
      </c>
      <c r="E896" t="str">
        <f t="shared" si="142"/>
        <v>P53. datetime inline-onlyresult &lt;#0099FF/&gt;</v>
      </c>
      <c r="F896" t="str">
        <f t="shared" si="143"/>
        <v>text</v>
      </c>
      <c r="G896" t="str">
        <f t="shared" si="144"/>
        <v>P53. datetime inline-onlyresult &lt;#0099FF/&gt;</v>
      </c>
      <c r="H896" t="str">
        <f t="shared" si="145"/>
        <v>text</v>
      </c>
      <c r="J896" t="str">
        <f t="shared" si="146"/>
        <v>datetime inline-onlyresult &lt;#0099FF/&gt;</v>
      </c>
      <c r="K896" s="32" t="s">
        <v>1094</v>
      </c>
      <c r="L896" t="s">
        <v>1083</v>
      </c>
    </row>
    <row r="897" spans="1:16" x14ac:dyDescent="0.25">
      <c r="A897" t="s">
        <v>22</v>
      </c>
      <c r="B897" t="str">
        <f t="shared" si="141"/>
        <v>text_p54</v>
      </c>
      <c r="C897" t="s">
        <v>917</v>
      </c>
      <c r="E897" t="str">
        <f t="shared" si="142"/>
        <v>P54. inline-1line-datetime</v>
      </c>
      <c r="F897" t="str">
        <f t="shared" si="143"/>
        <v>text</v>
      </c>
      <c r="G897" t="str">
        <f t="shared" si="144"/>
        <v>P54. inline-1line-datetime</v>
      </c>
      <c r="H897" t="str">
        <f t="shared" si="145"/>
        <v>text</v>
      </c>
      <c r="J897" t="str">
        <f t="shared" si="146"/>
        <v>inline-1line-datetime</v>
      </c>
      <c r="K897" s="32" t="s">
        <v>229</v>
      </c>
    </row>
    <row r="898" spans="1:16" x14ac:dyDescent="0.25">
      <c r="A898" t="s">
        <v>22</v>
      </c>
      <c r="B898" t="str">
        <f t="shared" si="141"/>
        <v>text_p55</v>
      </c>
      <c r="C898" t="s">
        <v>918</v>
      </c>
      <c r="E898" t="str">
        <f t="shared" si="142"/>
        <v>P55. inline-1line-datetime-FF0089</v>
      </c>
      <c r="F898" t="str">
        <f t="shared" si="143"/>
        <v>text</v>
      </c>
      <c r="G898" t="str">
        <f t="shared" si="144"/>
        <v>P55. inline-1line-datetime-FF0089</v>
      </c>
      <c r="H898" t="str">
        <f t="shared" si="145"/>
        <v>text</v>
      </c>
      <c r="J898" t="str">
        <f t="shared" si="146"/>
        <v>inline-1line-datetime-FF0089</v>
      </c>
      <c r="K898" s="32" t="s">
        <v>230</v>
      </c>
    </row>
    <row r="899" spans="1:16" x14ac:dyDescent="0.25">
      <c r="A899" t="s">
        <v>22</v>
      </c>
      <c r="B899" t="str">
        <f t="shared" si="141"/>
        <v>text_p56</v>
      </c>
      <c r="C899" t="s">
        <v>919</v>
      </c>
      <c r="E899" t="str">
        <f t="shared" si="142"/>
        <v>P56. inline-1line-datetime-FF0089-0099FF</v>
      </c>
      <c r="F899" t="str">
        <f t="shared" si="143"/>
        <v>text</v>
      </c>
      <c r="G899" t="str">
        <f t="shared" si="144"/>
        <v>P56. inline-1line-datetime-FF0089-0099FF</v>
      </c>
      <c r="H899" t="str">
        <f t="shared" si="145"/>
        <v>text</v>
      </c>
      <c r="J899" t="str">
        <f t="shared" si="146"/>
        <v>inline-1line-datetime-FF0089-0099FF</v>
      </c>
      <c r="K899" s="32" t="s">
        <v>471</v>
      </c>
    </row>
    <row r="900" spans="1:16" x14ac:dyDescent="0.25">
      <c r="A900" t="s">
        <v>22</v>
      </c>
      <c r="B900" t="str">
        <f t="shared" si="141"/>
        <v>text_p57</v>
      </c>
      <c r="C900" t="s">
        <v>920</v>
      </c>
      <c r="E900" t="str">
        <f t="shared" si="142"/>
        <v>P57. select1cmd-text</v>
      </c>
      <c r="F900" t="str">
        <f t="shared" si="143"/>
        <v>text</v>
      </c>
      <c r="G900" t="str">
        <f t="shared" si="144"/>
        <v>P57. select1cmd-text</v>
      </c>
      <c r="H900" t="str">
        <f t="shared" si="145"/>
        <v>text</v>
      </c>
      <c r="J900" t="str">
        <f t="shared" si="146"/>
        <v>select1cmd-text</v>
      </c>
      <c r="K900" s="32" t="s">
        <v>80</v>
      </c>
    </row>
    <row r="901" spans="1:16" x14ac:dyDescent="0.25">
      <c r="A901" t="s">
        <v>22</v>
      </c>
      <c r="B901" t="str">
        <f t="shared" si="141"/>
        <v>text_p58</v>
      </c>
      <c r="C901" t="s">
        <v>921</v>
      </c>
      <c r="E901" t="str">
        <f t="shared" si="142"/>
        <v>P58. select1cmd-text-3times</v>
      </c>
      <c r="F901" t="str">
        <f t="shared" si="143"/>
        <v>text</v>
      </c>
      <c r="G901" t="str">
        <f t="shared" si="144"/>
        <v>P58. select1cmd-text-3times</v>
      </c>
      <c r="H901" t="str">
        <f t="shared" si="145"/>
        <v>text</v>
      </c>
      <c r="J901" t="str">
        <f t="shared" si="146"/>
        <v>select1cmd-text-3times</v>
      </c>
      <c r="K901" s="32" t="s">
        <v>81</v>
      </c>
    </row>
    <row r="902" spans="1:16" x14ac:dyDescent="0.25">
      <c r="A902" t="s">
        <v>22</v>
      </c>
      <c r="B902" t="str">
        <f t="shared" si="141"/>
        <v>text_p59</v>
      </c>
      <c r="C902" t="s">
        <v>922</v>
      </c>
      <c r="E902" t="str">
        <f t="shared" si="142"/>
        <v>P59. select1cmd-button</v>
      </c>
      <c r="F902" t="str">
        <f t="shared" si="143"/>
        <v>text</v>
      </c>
      <c r="G902" t="str">
        <f t="shared" si="144"/>
        <v>P59. select1cmd-button</v>
      </c>
      <c r="H902" t="str">
        <f t="shared" si="145"/>
        <v>text</v>
      </c>
      <c r="J902" t="str">
        <f t="shared" si="146"/>
        <v>select1cmd-button</v>
      </c>
      <c r="K902" s="32" t="s">
        <v>82</v>
      </c>
    </row>
    <row r="903" spans="1:16" x14ac:dyDescent="0.25">
      <c r="A903" t="s">
        <v>22</v>
      </c>
      <c r="B903" t="str">
        <f t="shared" si="141"/>
        <v>text_p60</v>
      </c>
      <c r="C903" t="s">
        <v>923</v>
      </c>
      <c r="E903" t="str">
        <f t="shared" si="142"/>
        <v>P60. select1cmd-button-2times</v>
      </c>
      <c r="F903" t="str">
        <f t="shared" si="143"/>
        <v>text</v>
      </c>
      <c r="G903" t="str">
        <f t="shared" si="144"/>
        <v>P60. select1cmd-button-2times</v>
      </c>
      <c r="H903" t="str">
        <f t="shared" si="145"/>
        <v>text</v>
      </c>
      <c r="J903" t="str">
        <f t="shared" si="146"/>
        <v>select1cmd-button-2times</v>
      </c>
      <c r="K903" s="32" t="s">
        <v>223</v>
      </c>
    </row>
    <row r="904" spans="1:16" x14ac:dyDescent="0.25">
      <c r="A904" t="s">
        <v>22</v>
      </c>
      <c r="B904" t="str">
        <f t="shared" si="141"/>
        <v>text_p61</v>
      </c>
      <c r="C904" t="s">
        <v>924</v>
      </c>
      <c r="E904" t="str">
        <f t="shared" si="142"/>
        <v>P61. select1cmd-button &lt;#0099FF/&gt;</v>
      </c>
      <c r="F904" t="str">
        <f t="shared" si="143"/>
        <v>text</v>
      </c>
      <c r="G904" t="str">
        <f t="shared" si="144"/>
        <v>P61. select1cmd-button &lt;#0099FF/&gt;</v>
      </c>
      <c r="H904" t="str">
        <f t="shared" si="145"/>
        <v>text</v>
      </c>
      <c r="J904" t="str">
        <f t="shared" si="146"/>
        <v>select1cmd-button &lt;#0099FF/&gt;</v>
      </c>
      <c r="K904" s="32" t="s">
        <v>82</v>
      </c>
      <c r="L904" t="s">
        <v>1083</v>
      </c>
    </row>
    <row r="905" spans="1:16" x14ac:dyDescent="0.25">
      <c r="A905" t="s">
        <v>22</v>
      </c>
      <c r="B905" t="str">
        <f t="shared" si="141"/>
        <v>text_p62</v>
      </c>
      <c r="C905" t="s">
        <v>925</v>
      </c>
      <c r="E905" t="str">
        <f t="shared" si="142"/>
        <v>P62. select1cmd-button-5times &lt;#0099FF/&gt;</v>
      </c>
      <c r="F905" t="str">
        <f t="shared" si="143"/>
        <v>text</v>
      </c>
      <c r="G905" t="str">
        <f t="shared" si="144"/>
        <v>P62. select1cmd-button-5times &lt;#0099FF/&gt;</v>
      </c>
      <c r="H905" t="str">
        <f t="shared" si="145"/>
        <v>text</v>
      </c>
      <c r="J905" t="str">
        <f t="shared" si="146"/>
        <v>select1cmd-button-5times &lt;#0099FF/&gt;</v>
      </c>
      <c r="K905" s="32" t="s">
        <v>224</v>
      </c>
      <c r="L905" t="s">
        <v>1083</v>
      </c>
    </row>
    <row r="906" spans="1:16" x14ac:dyDescent="0.25">
      <c r="A906" t="s">
        <v>22</v>
      </c>
      <c r="B906" t="str">
        <f t="shared" si="141"/>
        <v>text_p63</v>
      </c>
      <c r="C906" t="s">
        <v>926</v>
      </c>
      <c r="E906" t="str">
        <f t="shared" si="142"/>
        <v>P63. prevscreen</v>
      </c>
      <c r="F906" t="str">
        <f t="shared" si="143"/>
        <v>text</v>
      </c>
      <c r="G906" t="str">
        <f t="shared" si="144"/>
        <v>P63. prevscreen</v>
      </c>
      <c r="H906" t="str">
        <f t="shared" si="145"/>
        <v>text</v>
      </c>
      <c r="J906" t="str">
        <f t="shared" si="146"/>
        <v>prevscreen</v>
      </c>
      <c r="K906" s="32" t="s">
        <v>95</v>
      </c>
      <c r="P906" s="29"/>
    </row>
    <row r="907" spans="1:16" x14ac:dyDescent="0.25">
      <c r="A907" t="s">
        <v>22</v>
      </c>
      <c r="B907" t="str">
        <f t="shared" si="141"/>
        <v>text_p64</v>
      </c>
      <c r="C907" t="s">
        <v>927</v>
      </c>
      <c r="E907" t="str">
        <f t="shared" si="142"/>
        <v>P64. nextscreen</v>
      </c>
      <c r="F907" t="str">
        <f t="shared" si="143"/>
        <v>text</v>
      </c>
      <c r="G907" t="str">
        <f t="shared" si="144"/>
        <v>P64. nextscreen</v>
      </c>
      <c r="H907" t="str">
        <f t="shared" si="145"/>
        <v>text</v>
      </c>
      <c r="J907" t="str">
        <f t="shared" si="146"/>
        <v>nextscreen</v>
      </c>
      <c r="K907" s="32" t="s">
        <v>96</v>
      </c>
      <c r="P907" s="30"/>
    </row>
    <row r="908" spans="1:16" x14ac:dyDescent="0.25">
      <c r="A908" t="s">
        <v>22</v>
      </c>
      <c r="B908" t="str">
        <f t="shared" si="141"/>
        <v>text_p65</v>
      </c>
      <c r="C908" t="s">
        <v>928</v>
      </c>
      <c r="E908" t="str">
        <f t="shared" ref="E908:E954" si="147">CONCATENATE(PROPER(C908),". ",J908)</f>
        <v>P65. prevscreen-text</v>
      </c>
      <c r="F908" t="str">
        <f t="shared" ref="F908:F954" si="148">A908</f>
        <v>text</v>
      </c>
      <c r="G908" t="str">
        <f t="shared" ref="G908:G954" si="149">CONCATENATE(PROPER(C908),". ",J908)</f>
        <v>P65. prevscreen-text</v>
      </c>
      <c r="H908" t="str">
        <f t="shared" ref="H908:H954" si="150">A908</f>
        <v>text</v>
      </c>
      <c r="J908" t="str">
        <f t="shared" si="146"/>
        <v>prevscreen-text</v>
      </c>
      <c r="K908" s="32" t="s">
        <v>97</v>
      </c>
      <c r="P908" s="29"/>
    </row>
    <row r="909" spans="1:16" x14ac:dyDescent="0.25">
      <c r="A909" t="s">
        <v>22</v>
      </c>
      <c r="B909" t="str">
        <f t="shared" ref="B909:B954" si="151">CONCATENATE(SUBSTITUTE(A909," ","_"),"_",C909)</f>
        <v>text_p66</v>
      </c>
      <c r="C909" t="s">
        <v>929</v>
      </c>
      <c r="E909" t="str">
        <f t="shared" si="147"/>
        <v>P66. nextscreen-text</v>
      </c>
      <c r="F909" t="str">
        <f t="shared" si="148"/>
        <v>text</v>
      </c>
      <c r="G909" t="str">
        <f t="shared" si="149"/>
        <v>P66. nextscreen-text</v>
      </c>
      <c r="H909" t="str">
        <f t="shared" si="150"/>
        <v>text</v>
      </c>
      <c r="I909" s="15"/>
      <c r="J909" t="str">
        <f t="shared" si="146"/>
        <v>nextscreen-text</v>
      </c>
      <c r="K909" s="32" t="s">
        <v>98</v>
      </c>
    </row>
    <row r="910" spans="1:16" x14ac:dyDescent="0.25">
      <c r="A910" t="s">
        <v>22</v>
      </c>
      <c r="B910" t="str">
        <f t="shared" si="151"/>
        <v>text_p67</v>
      </c>
      <c r="C910" t="s">
        <v>930</v>
      </c>
      <c r="E910" t="str">
        <f t="shared" si="147"/>
        <v>P67. prevscreen-button</v>
      </c>
      <c r="F910" t="str">
        <f t="shared" si="148"/>
        <v>text</v>
      </c>
      <c r="G910" t="str">
        <f t="shared" si="149"/>
        <v>P67. prevscreen-button</v>
      </c>
      <c r="H910" t="str">
        <f t="shared" si="150"/>
        <v>text</v>
      </c>
      <c r="I910" s="15"/>
      <c r="J910" t="str">
        <f t="shared" si="146"/>
        <v>prevscreen-button</v>
      </c>
      <c r="K910" s="32" t="s">
        <v>99</v>
      </c>
    </row>
    <row r="911" spans="1:16" x14ac:dyDescent="0.25">
      <c r="A911" t="s">
        <v>22</v>
      </c>
      <c r="B911" t="str">
        <f t="shared" si="151"/>
        <v>text_p68</v>
      </c>
      <c r="C911" t="s">
        <v>931</v>
      </c>
      <c r="E911" t="str">
        <f t="shared" si="147"/>
        <v>P68. nextscreen-button</v>
      </c>
      <c r="F911" t="str">
        <f t="shared" si="148"/>
        <v>text</v>
      </c>
      <c r="G911" t="str">
        <f t="shared" si="149"/>
        <v>P68. nextscreen-button</v>
      </c>
      <c r="H911" t="str">
        <f t="shared" si="150"/>
        <v>text</v>
      </c>
      <c r="I911" s="15"/>
      <c r="J911" t="str">
        <f t="shared" si="146"/>
        <v>nextscreen-button</v>
      </c>
      <c r="K911" s="32" t="s">
        <v>100</v>
      </c>
    </row>
    <row r="912" spans="1:16" x14ac:dyDescent="0.25">
      <c r="A912" t="s">
        <v>22</v>
      </c>
      <c r="B912" t="str">
        <f t="shared" si="151"/>
        <v>text_p69</v>
      </c>
      <c r="C912" t="s">
        <v>932</v>
      </c>
      <c r="E912" t="str">
        <f t="shared" si="147"/>
        <v>P69. prevscreen &lt;#0099FF/&gt;</v>
      </c>
      <c r="F912" t="str">
        <f t="shared" si="148"/>
        <v>text</v>
      </c>
      <c r="G912" t="str">
        <f t="shared" si="149"/>
        <v>P69. prevscreen &lt;#0099FF/&gt;</v>
      </c>
      <c r="H912" t="str">
        <f t="shared" si="150"/>
        <v>text</v>
      </c>
      <c r="I912" s="15"/>
      <c r="J912" t="str">
        <f t="shared" si="146"/>
        <v>prevscreen &lt;#0099FF/&gt;</v>
      </c>
      <c r="K912" s="32" t="s">
        <v>1084</v>
      </c>
      <c r="L912" t="s">
        <v>1083</v>
      </c>
    </row>
    <row r="913" spans="1:12" x14ac:dyDescent="0.25">
      <c r="A913" t="s">
        <v>22</v>
      </c>
      <c r="B913" t="str">
        <f t="shared" si="151"/>
        <v>text_p70</v>
      </c>
      <c r="C913" t="s">
        <v>933</v>
      </c>
      <c r="E913" t="str">
        <f t="shared" si="147"/>
        <v>P70. nextscreen &lt;#0099FF/&gt;</v>
      </c>
      <c r="F913" t="str">
        <f t="shared" si="148"/>
        <v>text</v>
      </c>
      <c r="G913" t="str">
        <f t="shared" si="149"/>
        <v>P70. nextscreen &lt;#0099FF/&gt;</v>
      </c>
      <c r="H913" t="str">
        <f t="shared" si="150"/>
        <v>text</v>
      </c>
      <c r="I913" s="15"/>
      <c r="J913" t="str">
        <f t="shared" si="146"/>
        <v>nextscreen &lt;#0099FF/&gt;</v>
      </c>
      <c r="K913" s="32" t="s">
        <v>1085</v>
      </c>
      <c r="L913" t="s">
        <v>1083</v>
      </c>
    </row>
    <row r="914" spans="1:12" x14ac:dyDescent="0.25">
      <c r="A914" t="s">
        <v>22</v>
      </c>
      <c r="B914" t="str">
        <f t="shared" si="151"/>
        <v>text_p71</v>
      </c>
      <c r="C914" t="s">
        <v>934</v>
      </c>
      <c r="E914" t="str">
        <f t="shared" si="147"/>
        <v>P71. prevscreen-text &lt;#0099FF/&gt;</v>
      </c>
      <c r="F914" t="str">
        <f t="shared" si="148"/>
        <v>text</v>
      </c>
      <c r="G914" t="str">
        <f t="shared" si="149"/>
        <v>P71. prevscreen-text &lt;#0099FF/&gt;</v>
      </c>
      <c r="H914" t="str">
        <f t="shared" si="150"/>
        <v>text</v>
      </c>
      <c r="I914" s="15"/>
      <c r="J914" t="str">
        <f t="shared" si="146"/>
        <v>prevscreen-text &lt;#0099FF/&gt;</v>
      </c>
      <c r="K914" s="32" t="s">
        <v>1086</v>
      </c>
      <c r="L914" t="s">
        <v>1083</v>
      </c>
    </row>
    <row r="915" spans="1:12" x14ac:dyDescent="0.25">
      <c r="A915" t="s">
        <v>22</v>
      </c>
      <c r="B915" t="str">
        <f t="shared" si="151"/>
        <v>text_p72</v>
      </c>
      <c r="C915" t="s">
        <v>935</v>
      </c>
      <c r="E915" t="str">
        <f t="shared" si="147"/>
        <v>P72. nextscreen-text &lt;#0099FF/&gt;</v>
      </c>
      <c r="F915" t="str">
        <f t="shared" si="148"/>
        <v>text</v>
      </c>
      <c r="G915" t="str">
        <f t="shared" si="149"/>
        <v>P72. nextscreen-text &lt;#0099FF/&gt;</v>
      </c>
      <c r="H915" t="str">
        <f t="shared" si="150"/>
        <v>text</v>
      </c>
      <c r="I915" s="15"/>
      <c r="J915" t="str">
        <f t="shared" si="146"/>
        <v>nextscreen-text &lt;#0099FF/&gt;</v>
      </c>
      <c r="K915" s="32" t="s">
        <v>1087</v>
      </c>
      <c r="L915" t="s">
        <v>1083</v>
      </c>
    </row>
    <row r="916" spans="1:12" x14ac:dyDescent="0.25">
      <c r="A916" t="s">
        <v>22</v>
      </c>
      <c r="B916" t="str">
        <f t="shared" si="151"/>
        <v>text_p73</v>
      </c>
      <c r="C916" t="s">
        <v>936</v>
      </c>
      <c r="E916" t="str">
        <f t="shared" si="147"/>
        <v>P73. prevscreen-button &lt;#0099FF/&gt;</v>
      </c>
      <c r="F916" t="str">
        <f t="shared" si="148"/>
        <v>text</v>
      </c>
      <c r="G916" t="str">
        <f t="shared" si="149"/>
        <v>P73. prevscreen-button &lt;#0099FF/&gt;</v>
      </c>
      <c r="H916" t="str">
        <f t="shared" si="150"/>
        <v>text</v>
      </c>
      <c r="I916" s="15"/>
      <c r="J916" t="str">
        <f t="shared" si="146"/>
        <v>prevscreen-button &lt;#0099FF/&gt;</v>
      </c>
      <c r="K916" s="32" t="s">
        <v>1088</v>
      </c>
      <c r="L916" t="s">
        <v>1083</v>
      </c>
    </row>
    <row r="917" spans="1:12" x14ac:dyDescent="0.25">
      <c r="A917" t="s">
        <v>22</v>
      </c>
      <c r="B917" t="str">
        <f t="shared" si="151"/>
        <v>text_p74</v>
      </c>
      <c r="C917" t="s">
        <v>937</v>
      </c>
      <c r="E917" t="str">
        <f t="shared" si="147"/>
        <v>P74. nextscreen-button &lt;#0099FF/&gt;</v>
      </c>
      <c r="F917" t="str">
        <f t="shared" si="148"/>
        <v>text</v>
      </c>
      <c r="G917" t="str">
        <f t="shared" si="149"/>
        <v>P74. nextscreen-button &lt;#0099FF/&gt;</v>
      </c>
      <c r="H917" t="str">
        <f t="shared" si="150"/>
        <v>text</v>
      </c>
      <c r="I917" s="15"/>
      <c r="J917" t="str">
        <f t="shared" si="146"/>
        <v>nextscreen-button &lt;#0099FF/&gt;</v>
      </c>
      <c r="K917" s="32" t="s">
        <v>100</v>
      </c>
      <c r="L917" t="s">
        <v>1083</v>
      </c>
    </row>
    <row r="918" spans="1:12" x14ac:dyDescent="0.25">
      <c r="A918" t="s">
        <v>22</v>
      </c>
      <c r="B918" t="str">
        <f t="shared" si="151"/>
        <v>text_p75</v>
      </c>
      <c r="C918" t="s">
        <v>938</v>
      </c>
      <c r="E918" t="str">
        <f t="shared" si="147"/>
        <v>P75. first_page-button</v>
      </c>
      <c r="F918" t="str">
        <f t="shared" si="148"/>
        <v>text</v>
      </c>
      <c r="G918" t="str">
        <f t="shared" si="149"/>
        <v>P75. first_page-button</v>
      </c>
      <c r="H918" t="str">
        <f t="shared" si="150"/>
        <v>text</v>
      </c>
      <c r="I918" s="15"/>
      <c r="J918" t="str">
        <f t="shared" si="146"/>
        <v>first_page-button</v>
      </c>
      <c r="K918" s="32" t="s">
        <v>211</v>
      </c>
    </row>
    <row r="919" spans="1:12" x14ac:dyDescent="0.25">
      <c r="A919" t="s">
        <v>22</v>
      </c>
      <c r="B919" t="str">
        <f t="shared" si="151"/>
        <v>text_p76</v>
      </c>
      <c r="C919" t="s">
        <v>939</v>
      </c>
      <c r="E919" t="str">
        <f t="shared" si="147"/>
        <v>P76. first_page-icon</v>
      </c>
      <c r="F919" t="str">
        <f t="shared" si="148"/>
        <v>text</v>
      </c>
      <c r="G919" t="str">
        <f t="shared" si="149"/>
        <v>P76. first_page-icon</v>
      </c>
      <c r="H919" t="str">
        <f t="shared" si="150"/>
        <v>text</v>
      </c>
      <c r="I919" s="15"/>
      <c r="J919" t="str">
        <f t="shared" si="146"/>
        <v>first_page-icon</v>
      </c>
      <c r="K919" s="32" t="s">
        <v>212</v>
      </c>
    </row>
    <row r="920" spans="1:12" x14ac:dyDescent="0.25">
      <c r="A920" t="s">
        <v>22</v>
      </c>
      <c r="B920" t="str">
        <f t="shared" si="151"/>
        <v>text_p77</v>
      </c>
      <c r="C920" t="s">
        <v>940</v>
      </c>
      <c r="E920" t="str">
        <f t="shared" si="147"/>
        <v>P77. first_page-button-FF0098-0072BF</v>
      </c>
      <c r="F920" t="str">
        <f t="shared" si="148"/>
        <v>text</v>
      </c>
      <c r="G920" t="str">
        <f t="shared" si="149"/>
        <v>P77. first_page-button-FF0098-0072BF</v>
      </c>
      <c r="H920" t="str">
        <f t="shared" si="150"/>
        <v>text</v>
      </c>
      <c r="I920" s="15"/>
      <c r="J920" t="str">
        <f t="shared" si="146"/>
        <v>first_page-button-FF0098-0072BF</v>
      </c>
      <c r="K920" s="32" t="s">
        <v>213</v>
      </c>
    </row>
    <row r="921" spans="1:12" x14ac:dyDescent="0.25">
      <c r="A921" t="s">
        <v>22</v>
      </c>
      <c r="B921" t="str">
        <f t="shared" si="151"/>
        <v>text_p78</v>
      </c>
      <c r="C921" t="s">
        <v>941</v>
      </c>
      <c r="E921" t="str">
        <f t="shared" si="147"/>
        <v>P78. first_page-icon-0072BF</v>
      </c>
      <c r="F921" t="str">
        <f t="shared" si="148"/>
        <v>text</v>
      </c>
      <c r="G921" t="str">
        <f t="shared" si="149"/>
        <v>P78. first_page-icon-0072BF</v>
      </c>
      <c r="H921" t="str">
        <f t="shared" si="150"/>
        <v>text</v>
      </c>
      <c r="I921" s="15"/>
      <c r="J921" t="str">
        <f t="shared" si="146"/>
        <v>first_page-icon-0072BF</v>
      </c>
      <c r="K921" s="32" t="s">
        <v>214</v>
      </c>
    </row>
    <row r="922" spans="1:12" x14ac:dyDescent="0.25">
      <c r="A922" t="s">
        <v>22</v>
      </c>
      <c r="B922" t="str">
        <f t="shared" si="151"/>
        <v>text_p79</v>
      </c>
      <c r="C922" t="s">
        <v>942</v>
      </c>
      <c r="E922" t="str">
        <f t="shared" si="147"/>
        <v>P79. final_page-button</v>
      </c>
      <c r="F922" t="str">
        <f t="shared" si="148"/>
        <v>text</v>
      </c>
      <c r="G922" t="str">
        <f t="shared" si="149"/>
        <v>P79. final_page-button</v>
      </c>
      <c r="H922" t="str">
        <f t="shared" si="150"/>
        <v>text</v>
      </c>
      <c r="I922" s="15"/>
      <c r="J922" t="str">
        <f t="shared" si="146"/>
        <v>final_page-button</v>
      </c>
      <c r="K922" s="32" t="s">
        <v>215</v>
      </c>
    </row>
    <row r="923" spans="1:12" x14ac:dyDescent="0.25">
      <c r="A923" t="s">
        <v>22</v>
      </c>
      <c r="B923" t="str">
        <f t="shared" si="151"/>
        <v>text_p80</v>
      </c>
      <c r="C923" t="s">
        <v>943</v>
      </c>
      <c r="E923" t="str">
        <f t="shared" si="147"/>
        <v>P80. final_page-icon</v>
      </c>
      <c r="F923" t="str">
        <f t="shared" si="148"/>
        <v>text</v>
      </c>
      <c r="G923" t="str">
        <f t="shared" si="149"/>
        <v>P80. final_page-icon</v>
      </c>
      <c r="H923" t="str">
        <f t="shared" si="150"/>
        <v>text</v>
      </c>
      <c r="I923" s="15"/>
      <c r="J923" t="str">
        <f t="shared" si="146"/>
        <v>final_page-icon</v>
      </c>
      <c r="K923" s="32" t="s">
        <v>216</v>
      </c>
    </row>
    <row r="924" spans="1:12" x14ac:dyDescent="0.25">
      <c r="A924" t="s">
        <v>22</v>
      </c>
      <c r="B924" t="str">
        <f t="shared" si="151"/>
        <v>text_p81</v>
      </c>
      <c r="C924" t="s">
        <v>944</v>
      </c>
      <c r="E924" t="str">
        <f t="shared" si="147"/>
        <v>P81. final_page-button-FF0098-0072BF</v>
      </c>
      <c r="F924" t="str">
        <f t="shared" si="148"/>
        <v>text</v>
      </c>
      <c r="G924" t="str">
        <f t="shared" si="149"/>
        <v>P81. final_page-button-FF0098-0072BF</v>
      </c>
      <c r="H924" t="str">
        <f t="shared" si="150"/>
        <v>text</v>
      </c>
      <c r="I924" s="15"/>
      <c r="J924" t="str">
        <f t="shared" si="146"/>
        <v>final_page-button-FF0098-0072BF</v>
      </c>
      <c r="K924" s="32" t="s">
        <v>217</v>
      </c>
    </row>
    <row r="925" spans="1:12" x14ac:dyDescent="0.25">
      <c r="A925" t="s">
        <v>22</v>
      </c>
      <c r="B925" t="str">
        <f t="shared" si="151"/>
        <v>text_p82</v>
      </c>
      <c r="C925" t="s">
        <v>945</v>
      </c>
      <c r="E925" t="str">
        <f t="shared" si="147"/>
        <v>P82. final_page-icon-0072BF</v>
      </c>
      <c r="F925" t="str">
        <f t="shared" si="148"/>
        <v>text</v>
      </c>
      <c r="G925" t="str">
        <f t="shared" si="149"/>
        <v>P82. final_page-icon-0072BF</v>
      </c>
      <c r="H925" t="str">
        <f t="shared" si="150"/>
        <v>text</v>
      </c>
      <c r="I925" s="15"/>
      <c r="J925" t="str">
        <f t="shared" si="146"/>
        <v>final_page-icon-0072BF</v>
      </c>
      <c r="K925" s="32" t="s">
        <v>218</v>
      </c>
    </row>
    <row r="926" spans="1:12" x14ac:dyDescent="0.25">
      <c r="A926" t="s">
        <v>22</v>
      </c>
      <c r="B926" t="str">
        <f t="shared" si="151"/>
        <v>text_p83</v>
      </c>
      <c r="C926" t="s">
        <v>946</v>
      </c>
      <c r="E926" t="str">
        <f t="shared" si="147"/>
        <v>P83. toc-button</v>
      </c>
      <c r="F926" t="str">
        <f t="shared" si="148"/>
        <v>text</v>
      </c>
      <c r="G926" t="str">
        <f t="shared" si="149"/>
        <v>P83. toc-button</v>
      </c>
      <c r="H926" t="str">
        <f t="shared" si="150"/>
        <v>text</v>
      </c>
      <c r="I926" s="15"/>
      <c r="J926" t="str">
        <f t="shared" si="146"/>
        <v>toc-button</v>
      </c>
      <c r="K926" s="32" t="s">
        <v>219</v>
      </c>
    </row>
    <row r="927" spans="1:12" x14ac:dyDescent="0.25">
      <c r="A927" t="s">
        <v>22</v>
      </c>
      <c r="B927" t="str">
        <f t="shared" si="151"/>
        <v>text_p84</v>
      </c>
      <c r="C927" t="s">
        <v>947</v>
      </c>
      <c r="E927" t="str">
        <f t="shared" si="147"/>
        <v>P84. toc-icon</v>
      </c>
      <c r="F927" t="str">
        <f t="shared" si="148"/>
        <v>text</v>
      </c>
      <c r="G927" t="str">
        <f t="shared" si="149"/>
        <v>P84. toc-icon</v>
      </c>
      <c r="H927" t="str">
        <f t="shared" si="150"/>
        <v>text</v>
      </c>
      <c r="I927" s="15"/>
      <c r="J927" t="str">
        <f t="shared" si="146"/>
        <v>toc-icon</v>
      </c>
      <c r="K927" s="32" t="s">
        <v>220</v>
      </c>
    </row>
    <row r="928" spans="1:12" x14ac:dyDescent="0.25">
      <c r="A928" t="s">
        <v>22</v>
      </c>
      <c r="B928" t="str">
        <f t="shared" si="151"/>
        <v>text_p85</v>
      </c>
      <c r="C928" t="s">
        <v>948</v>
      </c>
      <c r="E928" t="str">
        <f t="shared" si="147"/>
        <v>P85. toc-button-FF0098-0072BF</v>
      </c>
      <c r="F928" t="str">
        <f t="shared" si="148"/>
        <v>text</v>
      </c>
      <c r="G928" t="str">
        <f t="shared" si="149"/>
        <v>P85. toc-button-FF0098-0072BF</v>
      </c>
      <c r="H928" t="str">
        <f t="shared" si="150"/>
        <v>text</v>
      </c>
      <c r="I928" s="15"/>
      <c r="J928" t="str">
        <f t="shared" si="146"/>
        <v>toc-button-FF0098-0072BF</v>
      </c>
      <c r="K928" s="32" t="s">
        <v>221</v>
      </c>
    </row>
    <row r="929" spans="1:11" x14ac:dyDescent="0.25">
      <c r="A929" t="s">
        <v>22</v>
      </c>
      <c r="B929" t="str">
        <f t="shared" si="151"/>
        <v>text_p86</v>
      </c>
      <c r="C929" t="s">
        <v>949</v>
      </c>
      <c r="E929" t="str">
        <f t="shared" si="147"/>
        <v>P86. toc-icon-0072BF</v>
      </c>
      <c r="F929" t="str">
        <f t="shared" si="148"/>
        <v>text</v>
      </c>
      <c r="G929" t="str">
        <f t="shared" si="149"/>
        <v>P86. toc-icon-0072BF</v>
      </c>
      <c r="H929" t="str">
        <f t="shared" si="150"/>
        <v>text</v>
      </c>
      <c r="I929" s="15"/>
      <c r="J929" t="str">
        <f t="shared" si="146"/>
        <v>toc-icon-0072BF</v>
      </c>
      <c r="K929" s="32" t="s">
        <v>222</v>
      </c>
    </row>
    <row r="930" spans="1:11" x14ac:dyDescent="0.25">
      <c r="A930" t="s">
        <v>22</v>
      </c>
      <c r="B930" t="str">
        <f t="shared" si="151"/>
        <v>text_p87</v>
      </c>
      <c r="C930" t="s">
        <v>1045</v>
      </c>
      <c r="E930" t="str">
        <f t="shared" si="147"/>
        <v>P87. floating_hint</v>
      </c>
      <c r="F930" t="str">
        <f t="shared" si="148"/>
        <v>text</v>
      </c>
      <c r="G930" t="str">
        <f t="shared" si="149"/>
        <v>P87. floating_hint</v>
      </c>
      <c r="H930" t="str">
        <f t="shared" si="150"/>
        <v>text</v>
      </c>
      <c r="I930" s="15"/>
      <c r="J930" t="str">
        <f t="shared" si="146"/>
        <v>floating_hint</v>
      </c>
      <c r="K930" s="32" t="s">
        <v>475</v>
      </c>
    </row>
    <row r="931" spans="1:11" x14ac:dyDescent="0.25">
      <c r="A931" t="s">
        <v>22</v>
      </c>
      <c r="B931" t="str">
        <f t="shared" si="151"/>
        <v>text_p88</v>
      </c>
      <c r="C931" t="s">
        <v>1046</v>
      </c>
      <c r="E931" t="str">
        <f t="shared" si="147"/>
        <v>P88. tts('Xin chào','vi')</v>
      </c>
      <c r="F931" t="str">
        <f t="shared" si="148"/>
        <v>text</v>
      </c>
      <c r="G931" t="str">
        <f t="shared" si="149"/>
        <v>P88. tts('Xin chào','vi')</v>
      </c>
      <c r="H931" t="str">
        <f t="shared" si="150"/>
        <v>text</v>
      </c>
      <c r="I931" s="15"/>
      <c r="J931" t="str">
        <f t="shared" si="146"/>
        <v>tts('Xin chào','vi')</v>
      </c>
      <c r="K931" s="32" t="s">
        <v>1048</v>
      </c>
    </row>
    <row r="932" spans="1:11" x14ac:dyDescent="0.25">
      <c r="A932" t="s">
        <v>22</v>
      </c>
      <c r="B932" t="str">
        <f t="shared" si="151"/>
        <v>text_p89</v>
      </c>
      <c r="C932" t="s">
        <v>1047</v>
      </c>
      <c r="E932" t="str">
        <f t="shared" si="147"/>
        <v>P89. tts('questionHint', 'us')</v>
      </c>
      <c r="F932" t="str">
        <f t="shared" si="148"/>
        <v>text</v>
      </c>
      <c r="G932" t="str">
        <f t="shared" si="149"/>
        <v>P89. tts('questionHint', 'us')</v>
      </c>
      <c r="H932" t="str">
        <f t="shared" si="150"/>
        <v>text</v>
      </c>
      <c r="I932" s="15"/>
      <c r="J932" t="str">
        <f t="shared" si="146"/>
        <v>tts('questionHint', 'us')</v>
      </c>
      <c r="K932" s="32" t="s">
        <v>1049</v>
      </c>
    </row>
    <row r="933" spans="1:11" x14ac:dyDescent="0.25">
      <c r="A933" t="s">
        <v>22</v>
      </c>
      <c r="B933" t="str">
        <f t="shared" si="151"/>
        <v>text_p90</v>
      </c>
      <c r="C933" t="s">
        <v>1051</v>
      </c>
      <c r="E933" t="str">
        <f t="shared" si="147"/>
        <v>P90. tts('questionLabel', 'us')</v>
      </c>
      <c r="F933" t="str">
        <f t="shared" si="148"/>
        <v>text</v>
      </c>
      <c r="G933" t="str">
        <f t="shared" si="149"/>
        <v>P90. tts('questionLabel', 'us')</v>
      </c>
      <c r="H933" t="str">
        <f t="shared" si="150"/>
        <v>text</v>
      </c>
      <c r="I933" s="15"/>
      <c r="J933" t="str">
        <f t="shared" si="146"/>
        <v>tts('questionLabel', 'us')</v>
      </c>
      <c r="K933" s="32" t="s">
        <v>1050</v>
      </c>
    </row>
    <row r="934" spans="1:11" x14ac:dyDescent="0.25">
      <c r="A934" t="s">
        <v>22</v>
      </c>
      <c r="B934" t="str">
        <f t="shared" si="151"/>
        <v>text_p91</v>
      </c>
      <c r="C934" t="s">
        <v>1052</v>
      </c>
      <c r="E934" t="str">
        <f t="shared" si="147"/>
        <v>P91. calculator-0099FF</v>
      </c>
      <c r="F934" t="str">
        <f t="shared" si="148"/>
        <v>text</v>
      </c>
      <c r="G934" t="str">
        <f t="shared" si="149"/>
        <v>P91. calculator-0099FF</v>
      </c>
      <c r="H934" t="str">
        <f t="shared" si="150"/>
        <v>text</v>
      </c>
      <c r="I934" s="15"/>
      <c r="J934" t="str">
        <f t="shared" si="146"/>
        <v>calculator-0099FF</v>
      </c>
      <c r="K934" s="32" t="s">
        <v>1080</v>
      </c>
    </row>
    <row r="935" spans="1:11" x14ac:dyDescent="0.25">
      <c r="A935" t="s">
        <v>22</v>
      </c>
      <c r="B935" t="str">
        <f t="shared" si="151"/>
        <v>text_p92</v>
      </c>
      <c r="C935" t="s">
        <v>1053</v>
      </c>
      <c r="E935" t="str">
        <f t="shared" si="147"/>
        <v xml:space="preserve">P92. </v>
      </c>
      <c r="F935" t="str">
        <f t="shared" si="148"/>
        <v>text</v>
      </c>
      <c r="G935" t="str">
        <f t="shared" si="149"/>
        <v xml:space="preserve">P92. </v>
      </c>
      <c r="H935" t="str">
        <f t="shared" si="150"/>
        <v>text</v>
      </c>
      <c r="I935" s="15">
        <v>9</v>
      </c>
      <c r="J935" t="str">
        <f t="shared" si="146"/>
        <v/>
      </c>
    </row>
    <row r="936" spans="1:11" x14ac:dyDescent="0.25">
      <c r="A936" t="s">
        <v>22</v>
      </c>
      <c r="B936" t="str">
        <f t="shared" si="151"/>
        <v>text_p93</v>
      </c>
      <c r="C936" t="s">
        <v>1054</v>
      </c>
      <c r="E936" t="str">
        <f t="shared" si="147"/>
        <v xml:space="preserve">P93. </v>
      </c>
      <c r="F936" t="str">
        <f t="shared" si="148"/>
        <v>text</v>
      </c>
      <c r="G936" t="str">
        <f t="shared" si="149"/>
        <v xml:space="preserve">P93. </v>
      </c>
      <c r="H936" t="str">
        <f t="shared" si="150"/>
        <v>text</v>
      </c>
      <c r="I936" s="15">
        <v>3</v>
      </c>
      <c r="J936" t="str">
        <f t="shared" si="146"/>
        <v/>
      </c>
    </row>
    <row r="937" spans="1:11" x14ac:dyDescent="0.25">
      <c r="A937" t="s">
        <v>22</v>
      </c>
      <c r="B937" t="str">
        <f t="shared" si="151"/>
        <v>text_p94</v>
      </c>
      <c r="C937" t="s">
        <v>1055</v>
      </c>
      <c r="E937" t="str">
        <f t="shared" si="147"/>
        <v>P94. calculate-icon(formula[${text_p91}+${text_p92}],result[text_p97,text_p98])</v>
      </c>
      <c r="F937" t="str">
        <f t="shared" si="148"/>
        <v>text</v>
      </c>
      <c r="G937" t="str">
        <f t="shared" si="149"/>
        <v>P94. calculate-icon(formula[${text_p91}+${text_p92}],result[text_p97,text_p98])</v>
      </c>
      <c r="H937" t="str">
        <f t="shared" si="150"/>
        <v>text</v>
      </c>
      <c r="I937" s="15"/>
      <c r="J937" t="str">
        <f t="shared" si="146"/>
        <v>calculate-icon(formula[${text_p91}+${text_p92}],result[text_p97,text_p98])</v>
      </c>
      <c r="K937" s="32" t="s">
        <v>1060</v>
      </c>
    </row>
    <row r="938" spans="1:11" x14ac:dyDescent="0.25">
      <c r="A938" t="s">
        <v>22</v>
      </c>
      <c r="B938" t="str">
        <f t="shared" si="151"/>
        <v>text_p95</v>
      </c>
      <c r="C938" t="s">
        <v>1056</v>
      </c>
      <c r="E938" t="str">
        <f t="shared" si="147"/>
        <v>P95. calculate-button(formula[${text_p91}-${text_p92}],result[text_p97,text_p98])</v>
      </c>
      <c r="F938" t="str">
        <f t="shared" si="148"/>
        <v>text</v>
      </c>
      <c r="G938" t="str">
        <f t="shared" si="149"/>
        <v>P95. calculate-button(formula[${text_p91}-${text_p92}],result[text_p97,text_p98])</v>
      </c>
      <c r="H938" t="str">
        <f t="shared" si="150"/>
        <v>text</v>
      </c>
      <c r="I938" s="15"/>
      <c r="J938" t="str">
        <f t="shared" si="146"/>
        <v>calculate-button(formula[${text_p91}-${text_p92}],result[text_p97,text_p98])</v>
      </c>
      <c r="K938" s="32" t="s">
        <v>1061</v>
      </c>
    </row>
    <row r="939" spans="1:11" x14ac:dyDescent="0.25">
      <c r="A939" t="s">
        <v>22</v>
      </c>
      <c r="B939" t="str">
        <f t="shared" si="151"/>
        <v>text_p96</v>
      </c>
      <c r="C939" t="s">
        <v>1057</v>
      </c>
      <c r="E939" t="str">
        <f t="shared" si="147"/>
        <v>P96. calculate-icon(formula[${text_p91}*${text_p92}],result[text_p97,text_p98])-0099FF</v>
      </c>
      <c r="F939" t="str">
        <f t="shared" si="148"/>
        <v>text</v>
      </c>
      <c r="G939" t="str">
        <f t="shared" si="149"/>
        <v>P96. calculate-icon(formula[${text_p91}*${text_p92}],result[text_p97,text_p98])-0099FF</v>
      </c>
      <c r="H939" t="str">
        <f t="shared" si="150"/>
        <v>text</v>
      </c>
      <c r="I939" s="15"/>
      <c r="J939" t="str">
        <f t="shared" si="146"/>
        <v>calculate-icon(formula[${text_p91}*${text_p92}],result[text_p97,text_p98])-0099FF</v>
      </c>
      <c r="K939" s="32" t="s">
        <v>1081</v>
      </c>
    </row>
    <row r="940" spans="1:11" x14ac:dyDescent="0.25">
      <c r="A940" t="s">
        <v>22</v>
      </c>
      <c r="B940" t="str">
        <f t="shared" si="151"/>
        <v>text_p97</v>
      </c>
      <c r="C940" t="s">
        <v>1058</v>
      </c>
      <c r="E940" t="str">
        <f t="shared" si="147"/>
        <v>P97. calculate-button(formula[${text_p91}/${text_p92}],result[text_p97,text_p98])-0099FF-9900FF</v>
      </c>
      <c r="F940" t="str">
        <f t="shared" si="148"/>
        <v>text</v>
      </c>
      <c r="G940" t="str">
        <f t="shared" si="149"/>
        <v>P97. calculate-button(formula[${text_p91}/${text_p92}],result[text_p97,text_p98])-0099FF-9900FF</v>
      </c>
      <c r="H940" t="str">
        <f t="shared" si="150"/>
        <v>text</v>
      </c>
      <c r="I940" s="15"/>
      <c r="J940" t="str">
        <f t="shared" si="146"/>
        <v>calculate-button(formula[${text_p91}/${text_p92}],result[text_p97,text_p98])-0099FF-9900FF</v>
      </c>
      <c r="K940" s="32" t="s">
        <v>1082</v>
      </c>
    </row>
    <row r="941" spans="1:11" x14ac:dyDescent="0.25">
      <c r="A941" t="s">
        <v>22</v>
      </c>
      <c r="B941" t="str">
        <f t="shared" si="151"/>
        <v>text_p98</v>
      </c>
      <c r="C941" t="s">
        <v>1059</v>
      </c>
      <c r="E941" t="str">
        <f t="shared" si="147"/>
        <v xml:space="preserve">P98. </v>
      </c>
      <c r="F941" t="str">
        <f t="shared" si="148"/>
        <v>text</v>
      </c>
      <c r="G941" t="str">
        <f t="shared" si="149"/>
        <v xml:space="preserve">P98. </v>
      </c>
      <c r="H941" t="str">
        <f t="shared" si="150"/>
        <v>text</v>
      </c>
      <c r="I941" s="15"/>
      <c r="J941" t="str">
        <f t="shared" si="146"/>
        <v/>
      </c>
    </row>
    <row r="942" spans="1:11" x14ac:dyDescent="0.25">
      <c r="A942" t="s">
        <v>22</v>
      </c>
      <c r="B942" t="str">
        <f t="shared" si="151"/>
        <v>text_p99</v>
      </c>
      <c r="C942" t="s">
        <v>1062</v>
      </c>
      <c r="E942" t="str">
        <f t="shared" si="147"/>
        <v xml:space="preserve">P99. </v>
      </c>
      <c r="F942" t="str">
        <f t="shared" si="148"/>
        <v>text</v>
      </c>
      <c r="G942" t="str">
        <f t="shared" si="149"/>
        <v xml:space="preserve">P99. </v>
      </c>
      <c r="H942" t="str">
        <f t="shared" si="150"/>
        <v>text</v>
      </c>
      <c r="I942" s="15"/>
      <c r="J942" t="str">
        <f t="shared" si="146"/>
        <v/>
      </c>
    </row>
    <row r="943" spans="1:11" x14ac:dyDescent="0.25">
      <c r="A943" t="s">
        <v>22</v>
      </c>
      <c r="B943" t="str">
        <f t="shared" si="151"/>
        <v>text_p100</v>
      </c>
      <c r="C943" t="s">
        <v>1063</v>
      </c>
      <c r="E943" t="str">
        <f t="shared" si="147"/>
        <v>P100. gen-qr('RTA - Digitalize The World')</v>
      </c>
      <c r="F943" t="str">
        <f t="shared" si="148"/>
        <v>text</v>
      </c>
      <c r="G943" t="str">
        <f t="shared" si="149"/>
        <v>P100. gen-qr('RTA - Digitalize The World')</v>
      </c>
      <c r="H943" t="str">
        <f t="shared" si="150"/>
        <v>text</v>
      </c>
      <c r="I943" s="15"/>
      <c r="J943" t="str">
        <f t="shared" si="146"/>
        <v>gen-qr('RTA - Digitalize The World')</v>
      </c>
      <c r="K943" s="32" t="s">
        <v>1066</v>
      </c>
    </row>
    <row r="944" spans="1:11" x14ac:dyDescent="0.25">
      <c r="A944" t="s">
        <v>22</v>
      </c>
      <c r="B944" t="str">
        <f t="shared" si="151"/>
        <v>text_p101</v>
      </c>
      <c r="C944" t="s">
        <v>1064</v>
      </c>
      <c r="E944" t="str">
        <f t="shared" si="147"/>
        <v>P101. gen-qr(${text_p98})</v>
      </c>
      <c r="F944" t="str">
        <f t="shared" si="148"/>
        <v>text</v>
      </c>
      <c r="G944" t="str">
        <f t="shared" si="149"/>
        <v>P101. gen-qr(${text_p98})</v>
      </c>
      <c r="H944" t="str">
        <f t="shared" si="150"/>
        <v>text</v>
      </c>
      <c r="I944" s="15"/>
      <c r="J944" t="str">
        <f t="shared" si="146"/>
        <v>gen-qr(${text_p98})</v>
      </c>
      <c r="K944" s="32" t="s">
        <v>1067</v>
      </c>
    </row>
    <row r="945" spans="1:26" x14ac:dyDescent="0.25">
      <c r="A945" t="s">
        <v>22</v>
      </c>
      <c r="B945" t="str">
        <f t="shared" si="151"/>
        <v>text_p102</v>
      </c>
      <c r="C945" t="s">
        <v>1065</v>
      </c>
      <c r="E945" t="str">
        <f t="shared" si="147"/>
        <v>P102. gen-qr('rawquery',concat('resources/familyMedia/',${family_id},'/contact_all.db::externalData'),'SELECT contact_name FROM externalData where contact_id = 18')</v>
      </c>
      <c r="F945" t="str">
        <f t="shared" si="148"/>
        <v>text</v>
      </c>
      <c r="G945" t="str">
        <f t="shared" si="149"/>
        <v>P102. gen-qr('rawquery',concat('resources/familyMedia/',${family_id},'/contact_all.db::externalData'),'SELECT contact_name FROM externalData where contact_id = 18')</v>
      </c>
      <c r="H945" t="str">
        <f t="shared" si="150"/>
        <v>text</v>
      </c>
      <c r="I945" s="15"/>
      <c r="J945" t="str">
        <f t="shared" si="146"/>
        <v>gen-qr('rawquery',concat('resources/familyMedia/',${family_id},'/contact_all.db::externalData'),'SELECT contact_name FROM externalData where contact_id = 18')</v>
      </c>
      <c r="K945" s="32" t="s">
        <v>1069</v>
      </c>
    </row>
    <row r="946" spans="1:26" x14ac:dyDescent="0.25">
      <c r="A946" t="s">
        <v>22</v>
      </c>
      <c r="B946" t="str">
        <f t="shared" si="151"/>
        <v>text_p103</v>
      </c>
      <c r="C946" t="s">
        <v>1070</v>
      </c>
      <c r="E946" t="str">
        <f t="shared" si="147"/>
        <v>P103. gen-qr(concat('resources/familyMedia/',${family_id},'/contact_all.db::externalData'),'contact_name','contact_id', 18)</v>
      </c>
      <c r="F946" t="str">
        <f t="shared" si="148"/>
        <v>text</v>
      </c>
      <c r="G946" t="str">
        <f t="shared" si="149"/>
        <v>P103. gen-qr(concat('resources/familyMedia/',${family_id},'/contact_all.db::externalData'),'contact_name','contact_id', 18)</v>
      </c>
      <c r="H946" t="str">
        <f t="shared" si="150"/>
        <v>text</v>
      </c>
      <c r="I946" s="15"/>
      <c r="J946" t="str">
        <f t="shared" si="146"/>
        <v>gen-qr(concat('resources/familyMedia/',${family_id},'/contact_all.db::externalData'),'contact_name','contact_id', 18)</v>
      </c>
      <c r="K946" s="32" t="s">
        <v>1068</v>
      </c>
    </row>
    <row r="947" spans="1:26" x14ac:dyDescent="0.25">
      <c r="A947" t="s">
        <v>22</v>
      </c>
      <c r="B947" t="str">
        <f t="shared" si="151"/>
        <v>text_p104</v>
      </c>
      <c r="C947" t="s">
        <v>1071</v>
      </c>
      <c r="E947" t="str">
        <f t="shared" si="147"/>
        <v>P104. prefix('rta')</v>
      </c>
      <c r="F947" t="str">
        <f t="shared" si="148"/>
        <v>text</v>
      </c>
      <c r="G947" t="str">
        <f t="shared" si="149"/>
        <v>P104. prefix('rta')</v>
      </c>
      <c r="H947" t="str">
        <f t="shared" si="150"/>
        <v>text</v>
      </c>
      <c r="I947" s="15"/>
      <c r="J947" t="str">
        <f t="shared" si="146"/>
        <v>prefix('rta')</v>
      </c>
      <c r="K947" s="32" t="s">
        <v>1072</v>
      </c>
    </row>
    <row r="948" spans="1:26" x14ac:dyDescent="0.25">
      <c r="A948" t="s">
        <v>22</v>
      </c>
      <c r="B948" t="str">
        <f t="shared" si="151"/>
        <v>text_p105</v>
      </c>
      <c r="C948" t="s">
        <v>1073</v>
      </c>
      <c r="E948" t="str">
        <f t="shared" si="147"/>
        <v xml:space="preserve">P105. </v>
      </c>
      <c r="F948" t="str">
        <f t="shared" si="148"/>
        <v>text</v>
      </c>
      <c r="G948" t="str">
        <f t="shared" si="149"/>
        <v xml:space="preserve">P105. </v>
      </c>
      <c r="H948" t="str">
        <f t="shared" si="150"/>
        <v>text</v>
      </c>
      <c r="I948" s="15"/>
      <c r="J948" t="str">
        <f t="shared" si="146"/>
        <v/>
      </c>
    </row>
    <row r="949" spans="1:26" x14ac:dyDescent="0.25">
      <c r="A949" t="s">
        <v>22</v>
      </c>
      <c r="B949" t="str">
        <f t="shared" si="151"/>
        <v>text_p106</v>
      </c>
      <c r="C949" t="s">
        <v>1075</v>
      </c>
      <c r="E949" t="str">
        <f t="shared" si="147"/>
        <v>P106. prefix(${text_p104})</v>
      </c>
      <c r="F949" t="str">
        <f t="shared" si="148"/>
        <v>text</v>
      </c>
      <c r="G949" t="str">
        <f t="shared" si="149"/>
        <v>P106. prefix(${text_p104})</v>
      </c>
      <c r="H949" t="str">
        <f t="shared" si="150"/>
        <v>text</v>
      </c>
      <c r="I949" s="15"/>
      <c r="J949" t="str">
        <f t="shared" si="146"/>
        <v>prefix(${text_p104})</v>
      </c>
      <c r="K949" s="32" t="s">
        <v>1074</v>
      </c>
    </row>
    <row r="950" spans="1:26" x14ac:dyDescent="0.25">
      <c r="A950" t="s">
        <v>22</v>
      </c>
      <c r="B950" t="str">
        <f t="shared" si="151"/>
        <v>text_p107</v>
      </c>
      <c r="C950" t="s">
        <v>1078</v>
      </c>
      <c r="E950" t="str">
        <f t="shared" si="147"/>
        <v>P107. charcount</v>
      </c>
      <c r="F950" t="str">
        <f t="shared" si="148"/>
        <v>text</v>
      </c>
      <c r="G950" t="str">
        <f t="shared" si="149"/>
        <v>P107. charcount</v>
      </c>
      <c r="H950" t="str">
        <f t="shared" si="150"/>
        <v>text</v>
      </c>
      <c r="I950" s="15"/>
      <c r="J950" t="str">
        <f t="shared" ref="J950:J954" si="152">TRIM(CONCATENATE(K950," ",L950," ",M950))</f>
        <v>charcount</v>
      </c>
      <c r="K950" s="32" t="s">
        <v>249</v>
      </c>
    </row>
    <row r="951" spans="1:26" x14ac:dyDescent="0.25">
      <c r="A951" t="s">
        <v>22</v>
      </c>
      <c r="B951" t="str">
        <f t="shared" si="151"/>
        <v>text_p108</v>
      </c>
      <c r="C951" t="s">
        <v>1079</v>
      </c>
      <c r="E951" t="str">
        <f t="shared" si="147"/>
        <v>P108. refresh-button</v>
      </c>
      <c r="F951" t="str">
        <f t="shared" si="148"/>
        <v>text</v>
      </c>
      <c r="G951" t="str">
        <f t="shared" si="149"/>
        <v>P108. refresh-button</v>
      </c>
      <c r="H951" t="str">
        <f t="shared" si="150"/>
        <v>text</v>
      </c>
      <c r="I951" s="15"/>
      <c r="J951" t="str">
        <f t="shared" si="152"/>
        <v>refresh-button</v>
      </c>
      <c r="K951" s="32" t="s">
        <v>1076</v>
      </c>
    </row>
    <row r="952" spans="1:26" x14ac:dyDescent="0.25">
      <c r="A952" t="s">
        <v>22</v>
      </c>
      <c r="B952" t="str">
        <f t="shared" si="151"/>
        <v>text_p109</v>
      </c>
      <c r="C952" t="s">
        <v>1283</v>
      </c>
      <c r="E952" t="str">
        <f t="shared" si="147"/>
        <v>P109. refresh-text</v>
      </c>
      <c r="F952" t="str">
        <f t="shared" si="148"/>
        <v>text</v>
      </c>
      <c r="G952" t="str">
        <f t="shared" si="149"/>
        <v>P109. refresh-text</v>
      </c>
      <c r="H952" t="str">
        <f t="shared" si="150"/>
        <v>text</v>
      </c>
      <c r="I952" s="15"/>
      <c r="J952" t="str">
        <f t="shared" si="152"/>
        <v>refresh-text</v>
      </c>
      <c r="K952" s="32" t="s">
        <v>1077</v>
      </c>
    </row>
    <row r="953" spans="1:26" x14ac:dyDescent="0.25">
      <c r="A953" t="s">
        <v>22</v>
      </c>
      <c r="B953" t="str">
        <f t="shared" si="151"/>
        <v>text_p110</v>
      </c>
      <c r="C953" t="s">
        <v>1284</v>
      </c>
      <c r="E953" t="str">
        <f t="shared" si="147"/>
        <v>P110. refresh-button &lt;#0099FF/&gt;</v>
      </c>
      <c r="F953" t="str">
        <f t="shared" si="148"/>
        <v>text</v>
      </c>
      <c r="G953" t="str">
        <f t="shared" si="149"/>
        <v>P110. refresh-button &lt;#0099FF/&gt;</v>
      </c>
      <c r="H953" t="str">
        <f t="shared" si="150"/>
        <v>text</v>
      </c>
      <c r="I953" s="15"/>
      <c r="J953" t="str">
        <f t="shared" si="152"/>
        <v>refresh-button &lt;#0099FF/&gt;</v>
      </c>
      <c r="K953" s="32" t="s">
        <v>1076</v>
      </c>
      <c r="L953" s="41" t="s">
        <v>1083</v>
      </c>
    </row>
    <row r="954" spans="1:26" x14ac:dyDescent="0.25">
      <c r="A954" t="s">
        <v>22</v>
      </c>
      <c r="B954" t="str">
        <f t="shared" si="151"/>
        <v>text_p111</v>
      </c>
      <c r="C954" t="s">
        <v>1745</v>
      </c>
      <c r="E954" t="str">
        <f t="shared" si="147"/>
        <v>P111. refresh-text &lt;#0099FF/&gt;</v>
      </c>
      <c r="F954" t="str">
        <f t="shared" si="148"/>
        <v>text</v>
      </c>
      <c r="G954" t="str">
        <f t="shared" si="149"/>
        <v>P111. refresh-text &lt;#0099FF/&gt;</v>
      </c>
      <c r="H954" t="str">
        <f t="shared" si="150"/>
        <v>text</v>
      </c>
      <c r="I954" s="15"/>
      <c r="J954" t="str">
        <f t="shared" si="152"/>
        <v>refresh-text &lt;#0099FF/&gt;</v>
      </c>
      <c r="K954" s="32" t="s">
        <v>1077</v>
      </c>
      <c r="L954" s="41" t="s">
        <v>1083</v>
      </c>
    </row>
    <row r="955" spans="1:26" x14ac:dyDescent="0.25">
      <c r="A955" t="s">
        <v>39</v>
      </c>
      <c r="E955" t="str">
        <f>CONCATENATE(PROPER(C955),". ",D955)</f>
        <v xml:space="preserve">. </v>
      </c>
      <c r="J955" t="str">
        <f>TRIM(CONCATENATE(K955," ",L955," ",M955))</f>
        <v/>
      </c>
    </row>
    <row r="956" spans="1:26" x14ac:dyDescent="0.25">
      <c r="A956" t="s">
        <v>39</v>
      </c>
      <c r="E956" t="str">
        <f>CONCATENATE(PROPER(C956),". ",D956)</f>
        <v xml:space="preserve">. </v>
      </c>
      <c r="J956" t="str">
        <f>TRIM(CONCATENATE(K956," ",L956," ",M956))</f>
        <v/>
      </c>
    </row>
    <row r="957" spans="1:26" x14ac:dyDescent="0.25">
      <c r="A957" t="s">
        <v>38</v>
      </c>
      <c r="B957" t="str">
        <f>CONCATENATE("bg_field_",C957)</f>
        <v>bg_field_r</v>
      </c>
      <c r="C957" t="s">
        <v>1324</v>
      </c>
      <c r="D957" t="s">
        <v>1013</v>
      </c>
      <c r="E957" t="str">
        <f>CONCATENATE(PROPER(C957),". ",D957)</f>
        <v>R. Text appearance - Autosend</v>
      </c>
      <c r="G957" t="str">
        <f>CONCATENATE(PROPER(C957),". ",D957)</f>
        <v>R. Text appearance - Autosend</v>
      </c>
      <c r="J957" t="str">
        <f t="shared" ref="J957:J966" si="153">TRIM(CONCATENATE(K957," ",L957," ",M957))</f>
        <v>field-list</v>
      </c>
      <c r="K957" t="s">
        <v>40</v>
      </c>
      <c r="R957" t="s">
        <v>410</v>
      </c>
    </row>
    <row r="958" spans="1:26" x14ac:dyDescent="0.25">
      <c r="A958" t="s">
        <v>37</v>
      </c>
      <c r="B958" t="str">
        <f>CONCATENATE(SUBSTITUTE(A958," ","_"),"_",C958)</f>
        <v>note_r1</v>
      </c>
      <c r="C958" t="s">
        <v>989</v>
      </c>
      <c r="E958" t="str">
        <f>CONCATENATE(PROPER(C958),". ",J958)</f>
        <v>R1. play-audio</v>
      </c>
      <c r="F958" t="str">
        <f t="shared" ref="F958:F965" si="154">A958</f>
        <v>note</v>
      </c>
      <c r="G958" t="str">
        <f>CONCATENATE(PROPER(C958),". ",J958)</f>
        <v>R1. play-audio</v>
      </c>
      <c r="H958" t="str">
        <f t="shared" ref="H958:H965" si="155">A958</f>
        <v>note</v>
      </c>
      <c r="J958" t="str">
        <f t="shared" si="153"/>
        <v>play-audio</v>
      </c>
      <c r="K958" s="32" t="s">
        <v>1285</v>
      </c>
      <c r="Z958" t="s">
        <v>1287</v>
      </c>
    </row>
    <row r="959" spans="1:26" x14ac:dyDescent="0.25">
      <c r="A959" t="s">
        <v>37</v>
      </c>
      <c r="B959" t="str">
        <f>CONCATENATE(SUBSTITUTE(A959," ","_"),"_",C959)</f>
        <v>note_r2</v>
      </c>
      <c r="C959" t="s">
        <v>990</v>
      </c>
      <c r="E959" t="str">
        <f>CONCATENATE(PROPER(C959),". ",J959)</f>
        <v>R2. play-audio</v>
      </c>
      <c r="F959" t="str">
        <f t="shared" si="154"/>
        <v>note</v>
      </c>
      <c r="G959" t="str">
        <f t="shared" ref="G959:G960" si="156">CONCATENATE(PROPER(C959),". ",J959)</f>
        <v>R2. play-audio</v>
      </c>
      <c r="H959" t="str">
        <f t="shared" si="155"/>
        <v>note</v>
      </c>
      <c r="J959" t="str">
        <f t="shared" si="153"/>
        <v>play-audio</v>
      </c>
      <c r="K959" s="32" t="s">
        <v>1285</v>
      </c>
      <c r="Z959" t="s">
        <v>1288</v>
      </c>
    </row>
    <row r="960" spans="1:26" x14ac:dyDescent="0.25">
      <c r="A960" t="s">
        <v>37</v>
      </c>
      <c r="B960" t="str">
        <f>CONCATENATE(SUBSTITUTE(A960," ","_"),"_",C960)</f>
        <v>note_r3</v>
      </c>
      <c r="C960" t="s">
        <v>991</v>
      </c>
      <c r="E960" t="str">
        <f>CONCATENATE(PROPER(C960),". ",J960)</f>
        <v>R3. play-audio</v>
      </c>
      <c r="F960" t="str">
        <f t="shared" si="154"/>
        <v>note</v>
      </c>
      <c r="G960" t="str">
        <f t="shared" si="156"/>
        <v>R3. play-audio</v>
      </c>
      <c r="H960" t="str">
        <f t="shared" si="155"/>
        <v>note</v>
      </c>
      <c r="J960" t="str">
        <f t="shared" si="153"/>
        <v>play-audio</v>
      </c>
      <c r="K960" s="32" t="s">
        <v>1285</v>
      </c>
      <c r="Z960" t="s">
        <v>1289</v>
      </c>
    </row>
    <row r="961" spans="1:26" x14ac:dyDescent="0.25">
      <c r="A961" t="s">
        <v>39</v>
      </c>
      <c r="J961" t="str">
        <f t="shared" si="153"/>
        <v/>
      </c>
      <c r="L961" s="41"/>
    </row>
    <row r="962" spans="1:26" x14ac:dyDescent="0.25">
      <c r="A962" t="s">
        <v>37</v>
      </c>
      <c r="B962" t="str">
        <f>CONCATENATE(SUBSTITUTE(A962," ","_"),"_",C962)</f>
        <v>note_r4</v>
      </c>
      <c r="C962" t="s">
        <v>992</v>
      </c>
      <c r="E962" t="str">
        <f>CONCATENATE(PROPER(C962),". ",J962)</f>
        <v>R4. play-audio</v>
      </c>
      <c r="F962" t="str">
        <f t="shared" si="154"/>
        <v>note</v>
      </c>
      <c r="G962" t="str">
        <f>CONCATENATE(PROPER(E962),". ",L962)</f>
        <v xml:space="preserve">R4. Play-Audio. </v>
      </c>
      <c r="H962" t="str">
        <f t="shared" si="155"/>
        <v>note</v>
      </c>
      <c r="J962" t="str">
        <f t="shared" si="153"/>
        <v>play-audio</v>
      </c>
      <c r="K962" s="32" t="s">
        <v>1285</v>
      </c>
      <c r="R962" t="s">
        <v>410</v>
      </c>
      <c r="Z962" t="s">
        <v>1290</v>
      </c>
    </row>
    <row r="963" spans="1:26" x14ac:dyDescent="0.25">
      <c r="A963" t="s">
        <v>37</v>
      </c>
      <c r="B963" t="str">
        <f>CONCATENATE(SUBSTITUTE(A963," ","_"),"_",C963)</f>
        <v>note_r5</v>
      </c>
      <c r="C963" t="s">
        <v>1286</v>
      </c>
      <c r="E963" t="str">
        <f>CONCATENATE(PROPER(C963),". ",J963)</f>
        <v>R5. popup</v>
      </c>
      <c r="F963" t="str">
        <f t="shared" si="154"/>
        <v>note</v>
      </c>
      <c r="G963" t="str">
        <f>CONCATENATE(PROPER(E963),". ",L963)</f>
        <v xml:space="preserve">R5. Popup. </v>
      </c>
      <c r="H963" t="str">
        <f t="shared" si="155"/>
        <v>note</v>
      </c>
      <c r="J963" t="str">
        <f t="shared" si="153"/>
        <v>popup</v>
      </c>
      <c r="K963" s="32" t="s">
        <v>158</v>
      </c>
      <c r="R963" t="s">
        <v>410</v>
      </c>
    </row>
    <row r="964" spans="1:26" x14ac:dyDescent="0.25">
      <c r="A964" t="s">
        <v>37</v>
      </c>
      <c r="B964" t="str">
        <f>CONCATENATE(SUBSTITUTE(A964," ","_"),"_",C964)</f>
        <v>note_r6</v>
      </c>
      <c r="C964" t="s">
        <v>1321</v>
      </c>
      <c r="E964" t="str">
        <f>CONCATENATE(PROPER(C964),". ",J964)</f>
        <v>R6. qacheckpoint-visible-5</v>
      </c>
      <c r="F964" t="str">
        <f t="shared" si="154"/>
        <v>note</v>
      </c>
      <c r="G964" t="str">
        <f>CONCATENATE(PROPER(E964),". ",L964)</f>
        <v xml:space="preserve">R6. Qacheckpoint-Visible-5. </v>
      </c>
      <c r="H964" t="str">
        <f t="shared" si="155"/>
        <v>note</v>
      </c>
      <c r="J964" t="str">
        <f t="shared" si="153"/>
        <v>qacheckpoint-visible-5</v>
      </c>
      <c r="K964" s="32" t="s">
        <v>46</v>
      </c>
      <c r="R964" t="s">
        <v>410</v>
      </c>
    </row>
    <row r="965" spans="1:26" x14ac:dyDescent="0.25">
      <c r="A965" t="s">
        <v>37</v>
      </c>
      <c r="B965" t="str">
        <f>CONCATENATE(SUBSTITUTE(A965," ","_"),"_",C965)</f>
        <v>note_r7</v>
      </c>
      <c r="C965" t="s">
        <v>1322</v>
      </c>
      <c r="E965" t="str">
        <f>CONCATENATE(PROPER(C965),". ",J965)</f>
        <v>R7. qacheckpoint-invisible-30</v>
      </c>
      <c r="F965" t="str">
        <f t="shared" si="154"/>
        <v>note</v>
      </c>
      <c r="G965" t="str">
        <f>CONCATENATE(PROPER(E965),". ",L965)</f>
        <v xml:space="preserve">R7. Qacheckpoint-Invisible-30. </v>
      </c>
      <c r="H965" t="str">
        <f t="shared" si="155"/>
        <v>note</v>
      </c>
      <c r="J965" t="str">
        <f t="shared" si="153"/>
        <v>qacheckpoint-invisible-30</v>
      </c>
      <c r="K965" s="32" t="s">
        <v>140</v>
      </c>
      <c r="R965" t="s">
        <v>410</v>
      </c>
    </row>
    <row r="966" spans="1:26" x14ac:dyDescent="0.25">
      <c r="A966" t="s">
        <v>37</v>
      </c>
      <c r="B966" t="str">
        <f>CONCATENATE(SUBSTITUTE(A966," ","_"),"_",C966)</f>
        <v>note_r8</v>
      </c>
      <c r="C966" t="s">
        <v>1323</v>
      </c>
      <c r="E966" t="str">
        <f>CONCATENATE(PROPER(C966),". ",J966)</f>
        <v>R8. toc-hide</v>
      </c>
      <c r="F966" t="s">
        <v>185</v>
      </c>
      <c r="G966" t="str">
        <f>CONCATENATE(PROPER(E966),". ",L966)</f>
        <v xml:space="preserve">R8. Toc-Hide. </v>
      </c>
      <c r="H966" t="s">
        <v>185</v>
      </c>
      <c r="J966" t="str">
        <f t="shared" si="153"/>
        <v>toc-hide</v>
      </c>
      <c r="K966" s="32" t="s">
        <v>184</v>
      </c>
      <c r="R966" t="s">
        <v>410</v>
      </c>
    </row>
    <row r="967" spans="1:26" x14ac:dyDescent="0.25"/>
    <row r="968" spans="1:26" x14ac:dyDescent="0.25"/>
    <row r="969" spans="1:26" x14ac:dyDescent="0.25">
      <c r="A969" t="s">
        <v>38</v>
      </c>
      <c r="B969" t="str">
        <f>CONCATENATE("bg_section_",C969)</f>
        <v>bg_section_q</v>
      </c>
      <c r="C969" t="s">
        <v>950</v>
      </c>
      <c r="D969" t="s">
        <v>1012</v>
      </c>
      <c r="E969" t="str">
        <f>CONCATENATE(PROPER(C969),". ",D969)</f>
        <v>Q. TEXT appearance - End form</v>
      </c>
      <c r="G969" t="str">
        <f>CONCATENATE(PROPER(C969),". ",D969)</f>
        <v>Q. TEXT appearance - End form</v>
      </c>
      <c r="J969" t="str">
        <f t="shared" ref="J969:J1018" si="157">TRIM(CONCATENATE(K969," ",L969," ",M969))</f>
        <v>section</v>
      </c>
      <c r="K969" s="32" t="s">
        <v>43</v>
      </c>
      <c r="R969" t="s">
        <v>206</v>
      </c>
    </row>
    <row r="970" spans="1:26" x14ac:dyDescent="0.25">
      <c r="A970" t="s">
        <v>159</v>
      </c>
      <c r="B970" t="s">
        <v>160</v>
      </c>
      <c r="C970" t="s">
        <v>950</v>
      </c>
      <c r="E970" t="s">
        <v>349</v>
      </c>
      <c r="G970" t="s">
        <v>349</v>
      </c>
      <c r="J970" t="str">
        <f t="shared" si="157"/>
        <v/>
      </c>
    </row>
    <row r="971" spans="1:26" x14ac:dyDescent="0.25">
      <c r="A971" t="s">
        <v>38</v>
      </c>
      <c r="B971" t="str">
        <f>CONCATENATE("bg_field_",C971)</f>
        <v>bg_field_q</v>
      </c>
      <c r="C971" t="s">
        <v>950</v>
      </c>
      <c r="D971" t="s">
        <v>1014</v>
      </c>
      <c r="E971" t="str">
        <f>CONCATENATE(PROPER(C971),". ",D971)</f>
        <v>Q. Text appearance - End form</v>
      </c>
      <c r="G971" t="str">
        <f>CONCATENATE(PROPER(C971),". ",D971)</f>
        <v>Q. Text appearance - End form</v>
      </c>
      <c r="J971" t="str">
        <f t="shared" si="157"/>
        <v>field-list</v>
      </c>
      <c r="K971" s="32" t="s">
        <v>40</v>
      </c>
      <c r="R971" t="s">
        <v>1766</v>
      </c>
    </row>
    <row r="972" spans="1:26" x14ac:dyDescent="0.25">
      <c r="A972" t="s">
        <v>22</v>
      </c>
      <c r="B972" t="str">
        <f>CONCATENATE(SUBSTITUTE(A972," ","_"),"_",C972)</f>
        <v>text_q1</v>
      </c>
      <c r="C972" t="s">
        <v>41</v>
      </c>
      <c r="E972" t="str">
        <f t="shared" ref="E972:E999" si="158">CONCATENATE(PROPER(C972),". ",J972)</f>
        <v>Q1. UnsaveExit</v>
      </c>
      <c r="G972" t="str">
        <f t="shared" ref="G972:G999" si="159">CONCATENATE(PROPER(E972),". ",L972)</f>
        <v xml:space="preserve">Q1. Unsaveexit. </v>
      </c>
      <c r="J972" t="str">
        <f t="shared" si="157"/>
        <v>UnsaveExit</v>
      </c>
      <c r="K972" s="32" t="s">
        <v>231</v>
      </c>
    </row>
    <row r="973" spans="1:26" x14ac:dyDescent="0.25">
      <c r="A973" t="s">
        <v>22</v>
      </c>
      <c r="B973" t="str">
        <f t="shared" ref="B973:B999" si="160">CONCATENATE(SUBSTITUTE(A973," ","_"),"_",C973)</f>
        <v>text_q2</v>
      </c>
      <c r="C973" t="s">
        <v>951</v>
      </c>
      <c r="E973" t="str">
        <f t="shared" si="158"/>
        <v>Q2. UnsaveNew</v>
      </c>
      <c r="G973" t="str">
        <f t="shared" si="159"/>
        <v xml:space="preserve">Q2. Unsavenew. </v>
      </c>
      <c r="J973" t="str">
        <f t="shared" si="157"/>
        <v>UnsaveNew</v>
      </c>
      <c r="K973" s="32" t="s">
        <v>438</v>
      </c>
    </row>
    <row r="974" spans="1:26" x14ac:dyDescent="0.25">
      <c r="A974" t="s">
        <v>22</v>
      </c>
      <c r="B974" t="str">
        <f t="shared" si="160"/>
        <v>text_q3</v>
      </c>
      <c r="C974" t="s">
        <v>952</v>
      </c>
      <c r="E974" t="str">
        <f t="shared" si="158"/>
        <v>Q3. SaveIncompleteExit</v>
      </c>
      <c r="G974" t="str">
        <f t="shared" si="159"/>
        <v xml:space="preserve">Q3. Saveincompleteexit. </v>
      </c>
      <c r="J974" t="str">
        <f t="shared" si="157"/>
        <v>SaveIncompleteExit</v>
      </c>
      <c r="K974" s="32" t="s">
        <v>83</v>
      </c>
    </row>
    <row r="975" spans="1:26" x14ac:dyDescent="0.25">
      <c r="A975" t="s">
        <v>22</v>
      </c>
      <c r="B975" t="str">
        <f t="shared" si="160"/>
        <v>text_q4</v>
      </c>
      <c r="C975" t="s">
        <v>953</v>
      </c>
      <c r="E975" t="str">
        <f t="shared" si="158"/>
        <v>Q4. SaveFinalizedExit</v>
      </c>
      <c r="G975" t="str">
        <f t="shared" si="159"/>
        <v xml:space="preserve">Q4. Savefinalizedexit. </v>
      </c>
      <c r="J975" t="str">
        <f t="shared" si="157"/>
        <v>SaveFinalizedExit</v>
      </c>
      <c r="K975" s="32" t="s">
        <v>84</v>
      </c>
    </row>
    <row r="976" spans="1:26" x14ac:dyDescent="0.25">
      <c r="A976" t="s">
        <v>22</v>
      </c>
      <c r="B976" t="str">
        <f t="shared" si="160"/>
        <v>text_q5</v>
      </c>
      <c r="C976" t="s">
        <v>954</v>
      </c>
      <c r="E976" t="str">
        <f t="shared" si="158"/>
        <v>Q5. SaveIncompleteNew</v>
      </c>
      <c r="G976" t="str">
        <f t="shared" si="159"/>
        <v xml:space="preserve">Q5. Saveincompletenew. </v>
      </c>
      <c r="J976" t="str">
        <f t="shared" si="157"/>
        <v>SaveIncompleteNew</v>
      </c>
      <c r="K976" s="32" t="s">
        <v>85</v>
      </c>
    </row>
    <row r="977" spans="1:12" x14ac:dyDescent="0.25">
      <c r="A977" t="s">
        <v>22</v>
      </c>
      <c r="B977" t="str">
        <f t="shared" si="160"/>
        <v>text_q6</v>
      </c>
      <c r="C977" t="s">
        <v>955</v>
      </c>
      <c r="E977" t="str">
        <f t="shared" si="158"/>
        <v>Q6. SaveFinalizedNew</v>
      </c>
      <c r="G977" t="str">
        <f t="shared" si="159"/>
        <v xml:space="preserve">Q6. Savefinalizednew. </v>
      </c>
      <c r="J977" t="str">
        <f t="shared" si="157"/>
        <v>SaveFinalizedNew</v>
      </c>
      <c r="K977" s="32" t="s">
        <v>86</v>
      </c>
    </row>
    <row r="978" spans="1:12" x14ac:dyDescent="0.25">
      <c r="A978" t="s">
        <v>22</v>
      </c>
      <c r="B978" t="str">
        <f t="shared" si="160"/>
        <v>text_q7</v>
      </c>
      <c r="C978" t="s">
        <v>956</v>
      </c>
      <c r="E978" t="str">
        <f t="shared" si="158"/>
        <v>Q7. SaveFinalizedExitSend</v>
      </c>
      <c r="G978" t="str">
        <f t="shared" si="159"/>
        <v xml:space="preserve">Q7. Savefinalizedexitsend. </v>
      </c>
      <c r="J978" t="str">
        <f t="shared" si="157"/>
        <v>SaveFinalizedExitSend</v>
      </c>
      <c r="K978" s="32" t="s">
        <v>87</v>
      </c>
    </row>
    <row r="979" spans="1:12" x14ac:dyDescent="0.25">
      <c r="A979" t="s">
        <v>22</v>
      </c>
      <c r="B979" t="str">
        <f t="shared" si="160"/>
        <v>text_q8</v>
      </c>
      <c r="C979" t="s">
        <v>957</v>
      </c>
      <c r="E979" t="str">
        <f t="shared" si="158"/>
        <v>Q8. SaveFinalizedNewSend</v>
      </c>
      <c r="G979" t="str">
        <f t="shared" si="159"/>
        <v xml:space="preserve">Q8. Savefinalizednewsend. </v>
      </c>
      <c r="J979" t="str">
        <f t="shared" si="157"/>
        <v>SaveFinalizedNewSend</v>
      </c>
      <c r="K979" s="32" t="s">
        <v>88</v>
      </c>
    </row>
    <row r="980" spans="1:12" x14ac:dyDescent="0.25">
      <c r="A980" t="s">
        <v>22</v>
      </c>
      <c r="B980" t="str">
        <f t="shared" si="160"/>
        <v>text_q9</v>
      </c>
      <c r="C980" t="s">
        <v>958</v>
      </c>
      <c r="E980" t="str">
        <f t="shared" si="158"/>
        <v>Q9. SaveFinalizedNew(.,remove(text_a1, integer_a2, decimal_a3))</v>
      </c>
      <c r="G980" t="str">
        <f t="shared" si="159"/>
        <v xml:space="preserve">Q9. Savefinalizednew(.,Remove(Text_A1, Integer_A2, Decimal_A3)). </v>
      </c>
      <c r="J980" t="str">
        <f t="shared" si="157"/>
        <v>SaveFinalizedNew(.,remove(text_a1, integer_a2, decimal_a3))</v>
      </c>
      <c r="K980" s="32" t="s">
        <v>1115</v>
      </c>
    </row>
    <row r="981" spans="1:12" x14ac:dyDescent="0.25">
      <c r="A981" t="s">
        <v>22</v>
      </c>
      <c r="B981" t="str">
        <f t="shared" si="160"/>
        <v>text_q10</v>
      </c>
      <c r="C981" t="s">
        <v>959</v>
      </c>
      <c r="E981" t="str">
        <f t="shared" si="158"/>
        <v>Q10. SaveFinalizedNewSend(.,remove(text_a1, integer_a2, decimal_a3))</v>
      </c>
      <c r="G981" t="str">
        <f t="shared" si="159"/>
        <v xml:space="preserve">Q10. Savefinalizednewsend(.,Remove(Text_A1, Integer_A2, Decimal_A3)). </v>
      </c>
      <c r="J981" t="str">
        <f t="shared" si="157"/>
        <v>SaveFinalizedNewSend(.,remove(text_a1, integer_a2, decimal_a3))</v>
      </c>
      <c r="K981" s="32" t="s">
        <v>1116</v>
      </c>
    </row>
    <row r="982" spans="1:12" x14ac:dyDescent="0.25">
      <c r="A982" t="s">
        <v>22</v>
      </c>
      <c r="B982" t="str">
        <f t="shared" si="160"/>
        <v>text_q11</v>
      </c>
      <c r="C982" t="s">
        <v>960</v>
      </c>
      <c r="E982" t="str">
        <f t="shared" si="158"/>
        <v>Q11. SaveFinalizedNew(.,preload(text_a1=text_a1))</v>
      </c>
      <c r="G982" t="str">
        <f t="shared" si="159"/>
        <v xml:space="preserve">Q11. Savefinalizednew(.,Preload(Text_A1=Text_A1)). </v>
      </c>
      <c r="J982" t="str">
        <f t="shared" si="157"/>
        <v>SaveFinalizedNew(.,preload(text_a1=text_a1))</v>
      </c>
      <c r="K982" s="32" t="s">
        <v>1107</v>
      </c>
    </row>
    <row r="983" spans="1:12" x14ac:dyDescent="0.25">
      <c r="A983" t="s">
        <v>22</v>
      </c>
      <c r="B983" t="str">
        <f t="shared" si="160"/>
        <v>text_q12</v>
      </c>
      <c r="C983" t="s">
        <v>961</v>
      </c>
      <c r="E983" t="str">
        <f t="shared" si="158"/>
        <v>Q12. SaveFinalizedNewSend(.,preload(text_a1=text_a1))</v>
      </c>
      <c r="G983" t="str">
        <f t="shared" si="159"/>
        <v xml:space="preserve">Q12. Savefinalizednewsend(.,Preload(Text_A1=Text_A1)). </v>
      </c>
      <c r="J983" t="str">
        <f t="shared" si="157"/>
        <v>SaveFinalizedNewSend(.,preload(text_a1=text_a1))</v>
      </c>
      <c r="K983" s="32" t="s">
        <v>1108</v>
      </c>
    </row>
    <row r="984" spans="1:12" x14ac:dyDescent="0.25">
      <c r="A984" t="s">
        <v>22</v>
      </c>
      <c r="B984" t="str">
        <f>CONCATENATE(SUBSTITUTE(A984," ","_"),"_",C984)</f>
        <v>text_q13</v>
      </c>
      <c r="C984" t="s">
        <v>962</v>
      </c>
      <c r="E984" t="str">
        <f t="shared" si="158"/>
        <v>Q13. SaveFinalizedNew(AIO_Appearance,preload(text_a1=text_a1))</v>
      </c>
      <c r="G984" t="str">
        <f t="shared" si="159"/>
        <v xml:space="preserve">Q13. Savefinalizednew(Aio_Appearance,Preload(Text_A1=Text_A1)). </v>
      </c>
      <c r="J984" t="str">
        <f t="shared" si="157"/>
        <v>SaveFinalizedNew(AIO_Appearance,preload(text_a1=text_a1))</v>
      </c>
      <c r="K984" s="32" t="s">
        <v>1346</v>
      </c>
    </row>
    <row r="985" spans="1:12" x14ac:dyDescent="0.25">
      <c r="A985" t="s">
        <v>22</v>
      </c>
      <c r="B985" t="str">
        <f>CONCATENATE(SUBSTITUTE(A985," ","_"),"_",C985)</f>
        <v>text_q14</v>
      </c>
      <c r="C985" t="s">
        <v>963</v>
      </c>
      <c r="E985" t="str">
        <f t="shared" si="158"/>
        <v>Q14. SaveFinalizedNewSend(AIO_Appearance,preload(text_a1=text_a1))</v>
      </c>
      <c r="G985" t="str">
        <f t="shared" si="159"/>
        <v xml:space="preserve">Q14. Savefinalizednewsend(Aio_Appearance,Preload(Text_A1=Text_A1)). </v>
      </c>
      <c r="J985" t="str">
        <f t="shared" si="157"/>
        <v>SaveFinalizedNewSend(AIO_Appearance,preload(text_a1=text_a1))</v>
      </c>
      <c r="K985" s="32" t="s">
        <v>1347</v>
      </c>
    </row>
    <row r="986" spans="1:12" x14ac:dyDescent="0.25">
      <c r="A986" t="s">
        <v>22</v>
      </c>
      <c r="B986" t="str">
        <f t="shared" si="160"/>
        <v>text_q15</v>
      </c>
      <c r="C986" t="s">
        <v>964</v>
      </c>
      <c r="E986" t="str">
        <f t="shared" si="158"/>
        <v>Q15. UnsaveExit &lt;#0099FF/&gt;</v>
      </c>
      <c r="G986" t="str">
        <f t="shared" si="159"/>
        <v>Q15. Unsaveexit &lt;#0099Ff/&gt;. &lt;#0099FF/&gt;</v>
      </c>
      <c r="J986" t="str">
        <f t="shared" si="157"/>
        <v>UnsaveExit &lt;#0099FF/&gt;</v>
      </c>
      <c r="K986" s="32" t="s">
        <v>1095</v>
      </c>
      <c r="L986" s="41" t="s">
        <v>1083</v>
      </c>
    </row>
    <row r="987" spans="1:12" x14ac:dyDescent="0.25">
      <c r="A987" t="s">
        <v>22</v>
      </c>
      <c r="B987" t="str">
        <f t="shared" si="160"/>
        <v>text_q16</v>
      </c>
      <c r="C987" t="s">
        <v>965</v>
      </c>
      <c r="E987" t="str">
        <f t="shared" si="158"/>
        <v>Q16. UnsaveNew &lt;#0099FF/&gt;</v>
      </c>
      <c r="G987" t="str">
        <f t="shared" si="159"/>
        <v>Q16. Unsavenew &lt;#0099Ff/&gt;. &lt;#0099FF/&gt;</v>
      </c>
      <c r="J987" t="str">
        <f t="shared" si="157"/>
        <v>UnsaveNew &lt;#0099FF/&gt;</v>
      </c>
      <c r="K987" s="32" t="s">
        <v>1096</v>
      </c>
      <c r="L987" s="41" t="s">
        <v>1083</v>
      </c>
    </row>
    <row r="988" spans="1:12" x14ac:dyDescent="0.25">
      <c r="A988" t="s">
        <v>22</v>
      </c>
      <c r="B988" t="str">
        <f t="shared" si="160"/>
        <v>text_q17</v>
      </c>
      <c r="C988" t="s">
        <v>966</v>
      </c>
      <c r="E988" t="str">
        <f t="shared" si="158"/>
        <v>Q17. SaveIncompleteExit &lt;#0099FF/&gt;</v>
      </c>
      <c r="G988" t="str">
        <f t="shared" si="159"/>
        <v>Q17. Saveincompleteexit &lt;#0099Ff/&gt;. &lt;#0099FF/&gt;</v>
      </c>
      <c r="J988" t="str">
        <f t="shared" si="157"/>
        <v>SaveIncompleteExit &lt;#0099FF/&gt;</v>
      </c>
      <c r="K988" s="32" t="s">
        <v>1097</v>
      </c>
      <c r="L988" s="41" t="s">
        <v>1083</v>
      </c>
    </row>
    <row r="989" spans="1:12" x14ac:dyDescent="0.25">
      <c r="A989" t="s">
        <v>22</v>
      </c>
      <c r="B989" t="str">
        <f t="shared" si="160"/>
        <v>text_q18</v>
      </c>
      <c r="C989" t="s">
        <v>967</v>
      </c>
      <c r="E989" t="str">
        <f t="shared" si="158"/>
        <v>Q18. SaveFinalizedExit &lt;#0099FF/&gt;</v>
      </c>
      <c r="G989" t="str">
        <f t="shared" si="159"/>
        <v>Q18. Savefinalizedexit &lt;#0099Ff/&gt;. &lt;#0099FF/&gt;</v>
      </c>
      <c r="J989" t="str">
        <f t="shared" si="157"/>
        <v>SaveFinalizedExit &lt;#0099FF/&gt;</v>
      </c>
      <c r="K989" s="32" t="s">
        <v>1098</v>
      </c>
      <c r="L989" s="41" t="s">
        <v>1083</v>
      </c>
    </row>
    <row r="990" spans="1:12" x14ac:dyDescent="0.25">
      <c r="A990" t="s">
        <v>22</v>
      </c>
      <c r="B990" t="str">
        <f t="shared" si="160"/>
        <v>text_q19</v>
      </c>
      <c r="C990" t="s">
        <v>968</v>
      </c>
      <c r="E990" t="str">
        <f t="shared" si="158"/>
        <v>Q19. SaveIncompleteNew &lt;#0099FF/&gt;</v>
      </c>
      <c r="G990" t="str">
        <f t="shared" si="159"/>
        <v>Q19. Saveincompletenew &lt;#0099Ff/&gt;. &lt;#0099FF/&gt;</v>
      </c>
      <c r="J990" t="str">
        <f t="shared" si="157"/>
        <v>SaveIncompleteNew &lt;#0099FF/&gt;</v>
      </c>
      <c r="K990" s="32" t="s">
        <v>1099</v>
      </c>
      <c r="L990" s="41" t="s">
        <v>1083</v>
      </c>
    </row>
    <row r="991" spans="1:12" x14ac:dyDescent="0.25">
      <c r="A991" t="s">
        <v>22</v>
      </c>
      <c r="B991" t="str">
        <f t="shared" si="160"/>
        <v>text_q20</v>
      </c>
      <c r="C991" t="s">
        <v>969</v>
      </c>
      <c r="E991" t="str">
        <f t="shared" si="158"/>
        <v>Q20. SaveFinalizedNew &lt;#0099FF/&gt;</v>
      </c>
      <c r="G991" t="str">
        <f t="shared" si="159"/>
        <v>Q20. Savefinalizednew &lt;#0099Ff/&gt;. &lt;#0099FF/&gt;</v>
      </c>
      <c r="J991" t="str">
        <f t="shared" si="157"/>
        <v>SaveFinalizedNew &lt;#0099FF/&gt;</v>
      </c>
      <c r="K991" s="32" t="s">
        <v>1100</v>
      </c>
      <c r="L991" s="41" t="s">
        <v>1083</v>
      </c>
    </row>
    <row r="992" spans="1:12" x14ac:dyDescent="0.25">
      <c r="A992" t="s">
        <v>22</v>
      </c>
      <c r="B992" t="str">
        <f t="shared" si="160"/>
        <v>text_q21</v>
      </c>
      <c r="C992" t="s">
        <v>970</v>
      </c>
      <c r="E992" t="str">
        <f t="shared" si="158"/>
        <v>Q21. SaveFinalizedExitSend &lt;#0099FF/&gt;</v>
      </c>
      <c r="G992" t="str">
        <f t="shared" si="159"/>
        <v>Q21. Savefinalizedexitsend &lt;#0099Ff/&gt;. &lt;#0099FF/&gt;</v>
      </c>
      <c r="J992" t="str">
        <f t="shared" si="157"/>
        <v>SaveFinalizedExitSend &lt;#0099FF/&gt;</v>
      </c>
      <c r="K992" s="32" t="s">
        <v>1101</v>
      </c>
      <c r="L992" s="41" t="s">
        <v>1083</v>
      </c>
    </row>
    <row r="993" spans="1:18" x14ac:dyDescent="0.25">
      <c r="A993" t="s">
        <v>22</v>
      </c>
      <c r="B993" t="str">
        <f t="shared" si="160"/>
        <v>text_q22</v>
      </c>
      <c r="C993" t="s">
        <v>971</v>
      </c>
      <c r="E993" t="str">
        <f t="shared" si="158"/>
        <v>Q22. SaveFinalizedNewSend &lt;#0099FF/&gt;</v>
      </c>
      <c r="G993" t="str">
        <f t="shared" si="159"/>
        <v>Q22. Savefinalizednewsend &lt;#0099Ff/&gt;. &lt;#0099FF/&gt;</v>
      </c>
      <c r="J993" t="str">
        <f t="shared" si="157"/>
        <v>SaveFinalizedNewSend &lt;#0099FF/&gt;</v>
      </c>
      <c r="K993" s="32" t="s">
        <v>1102</v>
      </c>
      <c r="L993" s="41" t="s">
        <v>1083</v>
      </c>
    </row>
    <row r="994" spans="1:18" x14ac:dyDescent="0.25">
      <c r="A994" t="s">
        <v>22</v>
      </c>
      <c r="B994" t="str">
        <f t="shared" si="160"/>
        <v>text_q23</v>
      </c>
      <c r="C994" t="s">
        <v>972</v>
      </c>
      <c r="E994" t="str">
        <f t="shared" si="158"/>
        <v>Q23. SaveFinalizedNew(.,remove(text_a1, integer_a2, decimal_a3)) &lt;#0099FF/&gt;</v>
      </c>
      <c r="G994" t="str">
        <f t="shared" si="159"/>
        <v>Q23. Savefinalizednew(.,Remove(Text_A1, Integer_A2, Decimal_A3)) &lt;#0099Ff/&gt;. &lt;#0099FF/&gt;</v>
      </c>
      <c r="J994" t="str">
        <f t="shared" si="157"/>
        <v>SaveFinalizedNew(.,remove(text_a1, integer_a2, decimal_a3)) &lt;#0099FF/&gt;</v>
      </c>
      <c r="K994" s="32" t="s">
        <v>1117</v>
      </c>
      <c r="L994" s="41" t="s">
        <v>1083</v>
      </c>
    </row>
    <row r="995" spans="1:18" x14ac:dyDescent="0.25">
      <c r="A995" t="s">
        <v>22</v>
      </c>
      <c r="B995" t="str">
        <f t="shared" si="160"/>
        <v>text_q24</v>
      </c>
      <c r="C995" t="s">
        <v>973</v>
      </c>
      <c r="E995" t="str">
        <f t="shared" si="158"/>
        <v>Q24. SaveFinalizedNewSend(.,remove(text_a1, integer_a2, decimal_a3)) &lt;#0099FF/&gt;</v>
      </c>
      <c r="G995" t="str">
        <f t="shared" si="159"/>
        <v>Q24. Savefinalizednewsend(.,Remove(Text_A1, Integer_A2, Decimal_A3)) &lt;#0099Ff/&gt;. &lt;#0099FF/&gt;</v>
      </c>
      <c r="J995" t="str">
        <f t="shared" si="157"/>
        <v>SaveFinalizedNewSend(.,remove(text_a1, integer_a2, decimal_a3)) &lt;#0099FF/&gt;</v>
      </c>
      <c r="K995" s="32" t="s">
        <v>1118</v>
      </c>
      <c r="L995" s="41" t="s">
        <v>1083</v>
      </c>
    </row>
    <row r="996" spans="1:18" ht="15.75" customHeight="1" x14ac:dyDescent="0.25">
      <c r="A996" t="s">
        <v>22</v>
      </c>
      <c r="B996" t="str">
        <f>CONCATENATE(SUBSTITUTE(A996," ","_"),"_",C996)</f>
        <v>text_q25</v>
      </c>
      <c r="C996" t="s">
        <v>1103</v>
      </c>
      <c r="E996" t="str">
        <f t="shared" si="158"/>
        <v>Q25. SaveFinalizedNew(.,preload(text_a1=text_a1)) &lt;#0099FF/&gt;</v>
      </c>
      <c r="G996" t="str">
        <f t="shared" si="159"/>
        <v>Q25. Savefinalizednew(.,Preload(Text_A1=Text_A1)) &lt;#0099Ff/&gt;. &lt;#0099FF/&gt;</v>
      </c>
      <c r="J996" t="str">
        <f t="shared" si="157"/>
        <v>SaveFinalizedNew(.,preload(text_a1=text_a1)) &lt;#0099FF/&gt;</v>
      </c>
      <c r="K996" s="32" t="s">
        <v>1109</v>
      </c>
      <c r="L996" s="41" t="s">
        <v>1083</v>
      </c>
    </row>
    <row r="997" spans="1:18" ht="15.75" customHeight="1" x14ac:dyDescent="0.25">
      <c r="A997" t="s">
        <v>22</v>
      </c>
      <c r="B997" t="str">
        <f>CONCATENATE(SUBSTITUTE(A997," ","_"),"_",C997)</f>
        <v>text_q26</v>
      </c>
      <c r="C997" t="s">
        <v>1104</v>
      </c>
      <c r="E997" t="str">
        <f t="shared" si="158"/>
        <v>Q26. SaveFinalizedNewSend(.,preload(text_a1=text_a1)) &lt;#0099FF/&gt;</v>
      </c>
      <c r="G997" t="str">
        <f t="shared" si="159"/>
        <v>Q26. Savefinalizednewsend(.,Preload(Text_A1=Text_A1)) &lt;#0099Ff/&gt;. &lt;#0099FF/&gt;</v>
      </c>
      <c r="J997" t="str">
        <f t="shared" si="157"/>
        <v>SaveFinalizedNewSend(.,preload(text_a1=text_a1)) &lt;#0099FF/&gt;</v>
      </c>
      <c r="K997" s="32" t="s">
        <v>1110</v>
      </c>
      <c r="L997" s="41" t="s">
        <v>1083</v>
      </c>
    </row>
    <row r="998" spans="1:18" ht="15.75" customHeight="1" x14ac:dyDescent="0.25">
      <c r="A998" t="s">
        <v>22</v>
      </c>
      <c r="B998" t="str">
        <f t="shared" si="160"/>
        <v>text_q27</v>
      </c>
      <c r="C998" t="s">
        <v>1105</v>
      </c>
      <c r="E998" t="str">
        <f t="shared" si="158"/>
        <v>Q27. SaveFinalizedNew(AIO_Appearance,preload(text_a1=text_a1)) &lt;#0099FF/&gt;</v>
      </c>
      <c r="G998" t="str">
        <f t="shared" si="159"/>
        <v>Q27. Savefinalizednew(Aio_Appearance,Preload(Text_A1=Text_A1)) &lt;#0099Ff/&gt;. &lt;#0099FF/&gt;</v>
      </c>
      <c r="J998" t="str">
        <f t="shared" si="157"/>
        <v>SaveFinalizedNew(AIO_Appearance,preload(text_a1=text_a1)) &lt;#0099FF/&gt;</v>
      </c>
      <c r="K998" s="32" t="s">
        <v>1346</v>
      </c>
      <c r="L998" s="41" t="s">
        <v>1083</v>
      </c>
    </row>
    <row r="999" spans="1:18" ht="15.75" customHeight="1" x14ac:dyDescent="0.25">
      <c r="A999" t="s">
        <v>22</v>
      </c>
      <c r="B999" t="str">
        <f t="shared" si="160"/>
        <v>text_q28</v>
      </c>
      <c r="C999" t="s">
        <v>1106</v>
      </c>
      <c r="E999" t="str">
        <f t="shared" si="158"/>
        <v>Q28. SaveFinalizedNewSend(AIO_Appearance,preload(text_a1=text_a1)) &lt;#0099FF/&gt;</v>
      </c>
      <c r="G999" t="str">
        <f t="shared" si="159"/>
        <v>Q28. Savefinalizednewsend(Aio_Appearance,Preload(Text_A1=Text_A1)) &lt;#0099Ff/&gt;. &lt;#0099FF/&gt;</v>
      </c>
      <c r="J999" t="str">
        <f t="shared" si="157"/>
        <v>SaveFinalizedNewSend(AIO_Appearance,preload(text_a1=text_a1)) &lt;#0099FF/&gt;</v>
      </c>
      <c r="K999" s="32" t="s">
        <v>1347</v>
      </c>
      <c r="L999" s="41" t="s">
        <v>1083</v>
      </c>
    </row>
    <row r="1000" spans="1:18" x14ac:dyDescent="0.25">
      <c r="A1000" t="s">
        <v>39</v>
      </c>
      <c r="J1000" t="str">
        <f t="shared" si="157"/>
        <v/>
      </c>
      <c r="K1000"/>
    </row>
    <row r="1001" spans="1:18" x14ac:dyDescent="0.25">
      <c r="A1001" t="s">
        <v>351</v>
      </c>
      <c r="B1001" t="s">
        <v>350</v>
      </c>
      <c r="E1001" t="s">
        <v>349</v>
      </c>
      <c r="G1001" t="s">
        <v>349</v>
      </c>
      <c r="J1001" t="str">
        <f t="shared" si="157"/>
        <v/>
      </c>
      <c r="R1001" t="s">
        <v>1767</v>
      </c>
    </row>
    <row r="1002" spans="1:18" x14ac:dyDescent="0.25">
      <c r="A1002" t="s">
        <v>38</v>
      </c>
      <c r="B1002" t="str">
        <f>CONCATENATE("bg_field_",C1002)</f>
        <v>bg_field_qa</v>
      </c>
      <c r="C1002" t="s">
        <v>974</v>
      </c>
      <c r="D1002" t="s">
        <v>1013</v>
      </c>
      <c r="E1002" t="str">
        <f>CONCATENATE(PROPER(C1002),". ",D1002)</f>
        <v>Qa. Text appearance - Autosend</v>
      </c>
      <c r="G1002" t="str">
        <f>CONCATENATE(PROPER(C1002),". ",D1002)</f>
        <v>Qa. Text appearance - Autosend</v>
      </c>
      <c r="J1002" t="str">
        <f t="shared" si="157"/>
        <v>field-list</v>
      </c>
      <c r="K1002" t="s">
        <v>40</v>
      </c>
      <c r="R1002" t="s">
        <v>1767</v>
      </c>
    </row>
    <row r="1003" spans="1:18" x14ac:dyDescent="0.25">
      <c r="A1003" t="s">
        <v>22</v>
      </c>
      <c r="B1003" t="str">
        <f>CONCATENATE(SUBSTITUTE(A1003," ","_"),"_",C1003)</f>
        <v>text_qa1</v>
      </c>
      <c r="C1003" t="s">
        <v>975</v>
      </c>
      <c r="E1003" t="str">
        <f t="shared" ref="E1003:E1016" si="161">CONCATENATE(PROPER(C1003),". ",J1003)</f>
        <v>Qa1. UnsaveExit autosend[4]</v>
      </c>
      <c r="G1003" t="str">
        <f t="shared" ref="G1003:G1016" si="162">CONCATENATE(PROPER(E1003),". ",L1003)</f>
        <v xml:space="preserve">Qa1. Unsaveexit Autosend[4]. </v>
      </c>
      <c r="J1003" t="str">
        <f t="shared" si="157"/>
        <v>UnsaveExit autosend[4]</v>
      </c>
      <c r="K1003" s="32" t="s">
        <v>440</v>
      </c>
      <c r="R1003" t="s">
        <v>353</v>
      </c>
    </row>
    <row r="1004" spans="1:18" x14ac:dyDescent="0.25">
      <c r="A1004" t="s">
        <v>22</v>
      </c>
      <c r="B1004" t="str">
        <f t="shared" ref="B1004:B1014" si="163">CONCATENATE(SUBSTITUTE(A1004," ","_"),"_",C1004)</f>
        <v>text_qa2</v>
      </c>
      <c r="C1004" t="s">
        <v>976</v>
      </c>
      <c r="E1004" t="str">
        <f t="shared" si="161"/>
        <v>Qa2. UnsaveNew autosend[5]</v>
      </c>
      <c r="G1004" t="str">
        <f t="shared" si="162"/>
        <v xml:space="preserve">Qa2. Unsavenew Autosend[5]. </v>
      </c>
      <c r="J1004" t="str">
        <f t="shared" si="157"/>
        <v>UnsaveNew autosend[5]</v>
      </c>
      <c r="K1004" s="32" t="s">
        <v>439</v>
      </c>
      <c r="R1004" t="s">
        <v>354</v>
      </c>
    </row>
    <row r="1005" spans="1:18" x14ac:dyDescent="0.25">
      <c r="A1005" t="s">
        <v>22</v>
      </c>
      <c r="B1005" t="str">
        <f t="shared" si="163"/>
        <v>text_qa3</v>
      </c>
      <c r="C1005" t="s">
        <v>977</v>
      </c>
      <c r="E1005" t="str">
        <f t="shared" si="161"/>
        <v>Qa3. SaveIncompleteExit autosend[6]</v>
      </c>
      <c r="G1005" t="str">
        <f t="shared" si="162"/>
        <v xml:space="preserve">Qa3. Saveincompleteexit Autosend[6]. </v>
      </c>
      <c r="J1005" t="str">
        <f t="shared" si="157"/>
        <v>SaveIncompleteExit autosend[6]</v>
      </c>
      <c r="K1005" s="32" t="s">
        <v>364</v>
      </c>
      <c r="R1005" t="s">
        <v>355</v>
      </c>
    </row>
    <row r="1006" spans="1:18" x14ac:dyDescent="0.25">
      <c r="A1006" t="s">
        <v>22</v>
      </c>
      <c r="B1006" t="str">
        <f t="shared" si="163"/>
        <v>text_qa4</v>
      </c>
      <c r="C1006" t="s">
        <v>978</v>
      </c>
      <c r="E1006" t="str">
        <f t="shared" si="161"/>
        <v>Qa4. SaveFinalizedExit autosend[7]</v>
      </c>
      <c r="G1006" t="str">
        <f t="shared" si="162"/>
        <v xml:space="preserve">Qa4. Savefinalizedexit Autosend[7]. </v>
      </c>
      <c r="J1006" t="str">
        <f t="shared" si="157"/>
        <v>SaveFinalizedExit autosend[7]</v>
      </c>
      <c r="K1006" s="32" t="s">
        <v>365</v>
      </c>
      <c r="R1006" t="s">
        <v>356</v>
      </c>
    </row>
    <row r="1007" spans="1:18" x14ac:dyDescent="0.25">
      <c r="A1007" t="s">
        <v>22</v>
      </c>
      <c r="B1007" t="str">
        <f t="shared" si="163"/>
        <v>text_qa5</v>
      </c>
      <c r="C1007" t="s">
        <v>979</v>
      </c>
      <c r="E1007" t="str">
        <f t="shared" si="161"/>
        <v>Qa5. SaveIncompleteNew autosend[8]</v>
      </c>
      <c r="G1007" t="str">
        <f t="shared" si="162"/>
        <v xml:space="preserve">Qa5. Saveincompletenew Autosend[8]. </v>
      </c>
      <c r="J1007" t="str">
        <f t="shared" si="157"/>
        <v>SaveIncompleteNew autosend[8]</v>
      </c>
      <c r="K1007" s="32" t="s">
        <v>366</v>
      </c>
      <c r="R1007" t="s">
        <v>357</v>
      </c>
    </row>
    <row r="1008" spans="1:18" x14ac:dyDescent="0.25">
      <c r="A1008" t="s">
        <v>22</v>
      </c>
      <c r="B1008" t="str">
        <f t="shared" si="163"/>
        <v>text_qa6</v>
      </c>
      <c r="C1008" t="s">
        <v>980</v>
      </c>
      <c r="E1008" t="str">
        <f t="shared" si="161"/>
        <v>Qa6. SaveFinalizedNew autosend[9]</v>
      </c>
      <c r="G1008" t="str">
        <f t="shared" si="162"/>
        <v xml:space="preserve">Qa6. Savefinalizednew Autosend[9]. </v>
      </c>
      <c r="J1008" t="str">
        <f t="shared" si="157"/>
        <v>SaveFinalizedNew autosend[9]</v>
      </c>
      <c r="K1008" s="32" t="s">
        <v>367</v>
      </c>
      <c r="R1008" t="s">
        <v>358</v>
      </c>
    </row>
    <row r="1009" spans="1:18" x14ac:dyDescent="0.25">
      <c r="A1009" t="s">
        <v>22</v>
      </c>
      <c r="B1009" t="str">
        <f t="shared" si="163"/>
        <v>text_qa7</v>
      </c>
      <c r="C1009" t="s">
        <v>981</v>
      </c>
      <c r="E1009" t="str">
        <f t="shared" si="161"/>
        <v>Qa7. SaveFinalizedExitSend autosend[10]</v>
      </c>
      <c r="G1009" t="str">
        <f t="shared" si="162"/>
        <v xml:space="preserve">Qa7. Savefinalizedexitsend Autosend[10]. </v>
      </c>
      <c r="J1009" t="str">
        <f t="shared" si="157"/>
        <v>SaveFinalizedExitSend autosend[10]</v>
      </c>
      <c r="K1009" s="32" t="s">
        <v>368</v>
      </c>
      <c r="R1009" t="s">
        <v>359</v>
      </c>
    </row>
    <row r="1010" spans="1:18" x14ac:dyDescent="0.25">
      <c r="A1010" t="s">
        <v>22</v>
      </c>
      <c r="B1010" t="str">
        <f t="shared" si="163"/>
        <v>text_qa8</v>
      </c>
      <c r="C1010" t="s">
        <v>982</v>
      </c>
      <c r="E1010" t="str">
        <f t="shared" si="161"/>
        <v>Qa8. SaveFinalizedNewSend autosend[5]</v>
      </c>
      <c r="G1010" t="str">
        <f t="shared" si="162"/>
        <v xml:space="preserve">Qa8. Savefinalizednewsend Autosend[5]. </v>
      </c>
      <c r="J1010" t="str">
        <f t="shared" si="157"/>
        <v>SaveFinalizedNewSend autosend[5]</v>
      </c>
      <c r="K1010" s="32" t="s">
        <v>369</v>
      </c>
      <c r="R1010" t="s">
        <v>360</v>
      </c>
    </row>
    <row r="1011" spans="1:18" x14ac:dyDescent="0.25">
      <c r="A1011" t="s">
        <v>22</v>
      </c>
      <c r="B1011" t="str">
        <f t="shared" si="163"/>
        <v>text_qa9</v>
      </c>
      <c r="C1011" t="s">
        <v>983</v>
      </c>
      <c r="E1011" t="str">
        <f t="shared" si="161"/>
        <v>Qa9. SaveFinalizedNew(.,remove(text_a1, integer_a2, decimal_a3)) autosend[6]</v>
      </c>
      <c r="G1011" t="str">
        <f t="shared" si="162"/>
        <v xml:space="preserve">Qa9. Savefinalizednew(.,Remove(Text_A1, Integer_A2, Decimal_A3)) Autosend[6]. </v>
      </c>
      <c r="J1011" t="str">
        <f t="shared" si="157"/>
        <v>SaveFinalizedNew(.,remove(text_a1, integer_a2, decimal_a3)) autosend[6]</v>
      </c>
      <c r="K1011" s="32" t="s">
        <v>1119</v>
      </c>
      <c r="R1011" t="s">
        <v>361</v>
      </c>
    </row>
    <row r="1012" spans="1:18" x14ac:dyDescent="0.25">
      <c r="A1012" t="s">
        <v>22</v>
      </c>
      <c r="B1012" t="str">
        <f t="shared" si="163"/>
        <v>text_qa10</v>
      </c>
      <c r="C1012" t="s">
        <v>984</v>
      </c>
      <c r="E1012" t="str">
        <f t="shared" si="161"/>
        <v>Qa10. SaveFinalizedNewSend(.,remove(text_a1, integer_a2, decimal_a3)) autosend[7]</v>
      </c>
      <c r="G1012" t="str">
        <f t="shared" si="162"/>
        <v xml:space="preserve">Qa10. Savefinalizednewsend(.,Remove(Text_A1, Integer_A2, Decimal_A3)) Autosend[7]. </v>
      </c>
      <c r="J1012" t="str">
        <f t="shared" si="157"/>
        <v>SaveFinalizedNewSend(.,remove(text_a1, integer_a2, decimal_a3)) autosend[7]</v>
      </c>
      <c r="K1012" s="32" t="s">
        <v>1120</v>
      </c>
      <c r="R1012" t="s">
        <v>362</v>
      </c>
    </row>
    <row r="1013" spans="1:18" x14ac:dyDescent="0.25">
      <c r="A1013" t="s">
        <v>22</v>
      </c>
      <c r="B1013" t="str">
        <f t="shared" si="163"/>
        <v>text_qa11</v>
      </c>
      <c r="C1013" t="s">
        <v>985</v>
      </c>
      <c r="E1013" t="str">
        <f t="shared" si="161"/>
        <v>Qa11. SaveFinalizedNew(.,preload(text_a1=text_a1)) autosend[8]</v>
      </c>
      <c r="G1013" t="str">
        <f t="shared" si="162"/>
        <v xml:space="preserve">Qa11. Savefinalizednew(.,Preload(Text_A1=Text_A1)) Autosend[8]. </v>
      </c>
      <c r="J1013" t="str">
        <f t="shared" si="157"/>
        <v>SaveFinalizedNew(.,preload(text_a1=text_a1)) autosend[8]</v>
      </c>
      <c r="K1013" s="32" t="s">
        <v>1111</v>
      </c>
      <c r="R1013" t="s">
        <v>363</v>
      </c>
    </row>
    <row r="1014" spans="1:18" x14ac:dyDescent="0.25">
      <c r="A1014" t="s">
        <v>22</v>
      </c>
      <c r="B1014" t="str">
        <f t="shared" si="163"/>
        <v>text_qa12</v>
      </c>
      <c r="C1014" t="s">
        <v>986</v>
      </c>
      <c r="E1014" t="str">
        <f t="shared" si="161"/>
        <v>Qa12. SaveFinalizedNewSend(.,preload(text_a1=text_a1)) autosend[8]</v>
      </c>
      <c r="G1014" t="str">
        <f t="shared" si="162"/>
        <v xml:space="preserve">Qa12. Savefinalizednewsend(.,Preload(Text_A1=Text_A1)) Autosend[8]. </v>
      </c>
      <c r="J1014" t="str">
        <f t="shared" si="157"/>
        <v>SaveFinalizedNewSend(.,preload(text_a1=text_a1)) autosend[8]</v>
      </c>
      <c r="K1014" s="32" t="s">
        <v>1112</v>
      </c>
      <c r="R1014" t="s">
        <v>1280</v>
      </c>
    </row>
    <row r="1015" spans="1:18" x14ac:dyDescent="0.25">
      <c r="A1015" t="s">
        <v>22</v>
      </c>
      <c r="B1015" t="str">
        <f>CONCATENATE(SUBSTITUTE(A1015," ","_"),"_",C1015)</f>
        <v>text_qa13</v>
      </c>
      <c r="C1015" t="s">
        <v>987</v>
      </c>
      <c r="E1015" t="str">
        <f t="shared" si="161"/>
        <v>Qa13. SaveFinalizedNew(AIO_Appearance,preload(text_a1=text_a1)) autosend[5]</v>
      </c>
      <c r="G1015" t="str">
        <f t="shared" si="162"/>
        <v xml:space="preserve">Qa13. Savefinalizednew(Aio_Appearance,Preload(Text_A1=Text_A1)) Autosend[5]. </v>
      </c>
      <c r="J1015" t="str">
        <f t="shared" si="157"/>
        <v>SaveFinalizedNew(AIO_Appearance,preload(text_a1=text_a1)) autosend[5]</v>
      </c>
      <c r="K1015" s="32" t="s">
        <v>1348</v>
      </c>
      <c r="L1015" s="41"/>
      <c r="R1015" t="s">
        <v>1281</v>
      </c>
    </row>
    <row r="1016" spans="1:18" x14ac:dyDescent="0.25">
      <c r="A1016" t="s">
        <v>22</v>
      </c>
      <c r="B1016" t="str">
        <f>CONCATENATE(SUBSTITUTE(A1016," ","_"),"_",C1016)</f>
        <v>text_qa14</v>
      </c>
      <c r="C1016" t="s">
        <v>988</v>
      </c>
      <c r="E1016" t="str">
        <f t="shared" si="161"/>
        <v>Qa14. SaveFinalizedNewSend(AIO_Appearance,preload(text_a1=text_a1)) autosend[5]</v>
      </c>
      <c r="G1016" t="str">
        <f t="shared" si="162"/>
        <v xml:space="preserve">Qa14. Savefinalizednewsend(Aio_Appearance,Preload(Text_A1=Text_A1)) Autosend[5]. </v>
      </c>
      <c r="J1016" t="str">
        <f t="shared" si="157"/>
        <v>SaveFinalizedNewSend(AIO_Appearance,preload(text_a1=text_a1)) autosend[5]</v>
      </c>
      <c r="K1016" s="32" t="s">
        <v>1349</v>
      </c>
      <c r="L1016" s="41"/>
      <c r="R1016" t="s">
        <v>1282</v>
      </c>
    </row>
    <row r="1017" spans="1:18" x14ac:dyDescent="0.25">
      <c r="A1017" t="s">
        <v>39</v>
      </c>
      <c r="J1017" t="str">
        <f t="shared" si="157"/>
        <v/>
      </c>
      <c r="L1017" s="41"/>
    </row>
    <row r="1018" spans="1:18" x14ac:dyDescent="0.25">
      <c r="A1018" t="s">
        <v>39</v>
      </c>
      <c r="J1018" t="str">
        <f t="shared" si="157"/>
        <v/>
      </c>
      <c r="L1018" s="41"/>
    </row>
  </sheetData>
  <autoFilter ref="A1:AH35" xr:uid="{00000000-0009-0000-0000-000000000000}"/>
  <phoneticPr fontId="33" type="noConversion"/>
  <conditionalFormatting sqref="A18:A20 A22:A23">
    <cfRule type="expression" dxfId="8777" priority="28572">
      <formula>$A18="begin group"</formula>
    </cfRule>
    <cfRule type="expression" dxfId="8776" priority="28573">
      <formula>$A18 ="end group"</formula>
    </cfRule>
    <cfRule type="expression" dxfId="8775" priority="28576">
      <formula>AND($M$1 = "disabled",#REF!= "yes")</formula>
    </cfRule>
    <cfRule type="expression" dxfId="8774" priority="28575">
      <formula>$A18="end repeat"</formula>
    </cfRule>
    <cfRule type="expression" dxfId="8773" priority="28574">
      <formula>$A18="begin repeat"</formula>
    </cfRule>
  </conditionalFormatting>
  <conditionalFormatting sqref="A27">
    <cfRule type="expression" dxfId="8772" priority="743086">
      <formula>$A27="begin repeat"</formula>
    </cfRule>
    <cfRule type="expression" dxfId="8771" priority="743084">
      <formula>$A27="begin group"</formula>
    </cfRule>
    <cfRule type="expression" dxfId="8770" priority="743088">
      <formula>AND($S$1 = "disabled",#REF!= "yes")</formula>
    </cfRule>
    <cfRule type="expression" dxfId="8769" priority="743087">
      <formula>$A27="end repeat"</formula>
    </cfRule>
    <cfRule type="expression" dxfId="8768" priority="743085">
      <formula>$A27 ="end group"</formula>
    </cfRule>
  </conditionalFormatting>
  <conditionalFormatting sqref="A73 I73 L73:W73 D110:D113 J104:J109 B104:B113 M188:W191 A190:A191 J194 B192:B194">
    <cfRule type="expression" dxfId="8767" priority="8470">
      <formula>AND($U$1="disabled",$U73="yes")</formula>
    </cfRule>
    <cfRule type="expression" dxfId="8766" priority="8471">
      <formula>$A73 = "begin repeat"</formula>
    </cfRule>
    <cfRule type="expression" dxfId="8765" priority="8472">
      <formula xml:space="preserve"> $A96 = "end repeat"</formula>
    </cfRule>
  </conditionalFormatting>
  <conditionalFormatting sqref="A80 I80 L80:W80">
    <cfRule type="expression" dxfId="8764" priority="8330">
      <formula>$A80 = "begin repeat"</formula>
    </cfRule>
    <cfRule type="expression" dxfId="8763" priority="8329">
      <formula>AND($U$1="disabled",$U80="yes")</formula>
    </cfRule>
    <cfRule type="expression" dxfId="8762" priority="8331">
      <formula xml:space="preserve"> $A114 = "end repeat"</formula>
    </cfRule>
  </conditionalFormatting>
  <conditionalFormatting sqref="A81 L81:W81 I55:I56 I81:I88 L55:W56 I60:I61 L60:W61 J200 M174:W176 I185 L185:W185">
    <cfRule type="expression" dxfId="8761" priority="8542">
      <formula>AND($U$1="disabled",$U55="yes")</formula>
    </cfRule>
    <cfRule type="expression" dxfId="8760" priority="8544">
      <formula xml:space="preserve"> $A70 = "end repeat"</formula>
    </cfRule>
    <cfRule type="expression" dxfId="8759" priority="8543">
      <formula>$A55 = "begin repeat"</formula>
    </cfRule>
  </conditionalFormatting>
  <conditionalFormatting sqref="A96:A97 L96:W97">
    <cfRule type="expression" dxfId="8758" priority="8523">
      <formula xml:space="preserve"> $A127 = "end repeat"</formula>
    </cfRule>
    <cfRule type="expression" dxfId="8757" priority="8522">
      <formula>$A96 = "begin repeat"</formula>
    </cfRule>
    <cfRule type="expression" dxfId="8756" priority="8521">
      <formula>AND($U$1="disabled",$U96="yes")</formula>
    </cfRule>
  </conditionalFormatting>
  <conditionalFormatting sqref="A99:A100 L99:W100 I103:I104 L104:W104 A104">
    <cfRule type="expression" dxfId="8755" priority="8288">
      <formula xml:space="preserve"> $A129 = "end repeat"</formula>
    </cfRule>
    <cfRule type="expression" dxfId="8754" priority="8287">
      <formula>$A99 = "begin repeat"</formula>
    </cfRule>
    <cfRule type="expression" dxfId="8753" priority="8286">
      <formula>AND($U$1="disabled",$U99="yes")</formula>
    </cfRule>
  </conditionalFormatting>
  <conditionalFormatting sqref="A101:A102 L101:W102">
    <cfRule type="expression" dxfId="8752" priority="8283">
      <formula>AND($U$1="disabled",$U101="yes")</formula>
    </cfRule>
    <cfRule type="expression" dxfId="8751" priority="8284">
      <formula>$A101 = "begin repeat"</formula>
    </cfRule>
    <cfRule type="expression" dxfId="8750" priority="8285">
      <formula xml:space="preserve"> $A133 = "end repeat"</formula>
    </cfRule>
  </conditionalFormatting>
  <conditionalFormatting sqref="A105 A89 I91:I94 A91:A94 L103:W103 L105:W105 L89:W89 L91:W94 L74:W74 I58 L58:W58 A40:B40 L42:W42 L44:W44 I44 I42 I40 L40:W40 I100 L98:W98 A103:B103 B46:B48 D103 A42:B42 A44:B44 B50 B52 A74:B74 A98:B98 K124:W124 I181:I184 M184:W184 M177:W180 M170:W171 I170:I171 A128:D128 K128:W129 A129 C129:D129 B133 K125:K126 J102:J103 D118 L118:W118 I118 K114:W115 I120:I122 A120:A122 J115:J117 A118:B118 K116:K119 K120:W122 D120:D122 E128:I129 B54:B73 B75:B97 B99:B102 B104:B106 D44 D42 D40 E36:E37 D130:E130 A114:A115 C114:I115 A124:I124 L107:W107 A107:B108 B109:B117 I105:I113 K39:K113 E39:E113 M187:W187 A206 K206:W206 K209:W209 K202:W204 H202:I204 A202:A204 D202:D204 F202:F204 A209:I209 A201:W201 C206:I206 L192:W192 A192:B193 B194 I191:I199 E192:E194 K132:K199">
    <cfRule type="expression" dxfId="8749" priority="8557">
      <formula>AND($U$1="disabled",$U36="yes")</formula>
    </cfRule>
    <cfRule type="expression" dxfId="8748" priority="8559">
      <formula xml:space="preserve"> #REF! = "end repeat"</formula>
    </cfRule>
    <cfRule type="expression" dxfId="8747" priority="8558">
      <formula>$A36 = "begin repeat"</formula>
    </cfRule>
  </conditionalFormatting>
  <conditionalFormatting sqref="A117 D117 K115 I116:I117 L116:W117 B117:C122 A116:D116">
    <cfRule type="expression" dxfId="8746" priority="8480">
      <formula>$A115 = "begin repeat"</formula>
    </cfRule>
    <cfRule type="expression" dxfId="8745" priority="8479">
      <formula>AND($U$1="disabled",$U115="yes")</formula>
    </cfRule>
    <cfRule type="expression" dxfId="8744" priority="8481">
      <formula xml:space="preserve"> $A89 = "end repeat"</formula>
    </cfRule>
  </conditionalFormatting>
  <conditionalFormatting sqref="A117">
    <cfRule type="expression" dxfId="8743" priority="8232">
      <formula>AND($J117 = "section",$A117 = "end group")</formula>
    </cfRule>
    <cfRule type="expression" dxfId="8742" priority="8233">
      <formula xml:space="preserve"> $A117 = "begin group"</formula>
    </cfRule>
    <cfRule type="expression" dxfId="8741" priority="8234">
      <formula xml:space="preserve"> AND($J117="gg",$A117 = "end group")</formula>
    </cfRule>
    <cfRule type="expression" dxfId="8740" priority="8231">
      <formula>AND($J117="section",$A117="begin group")</formula>
    </cfRule>
  </conditionalFormatting>
  <conditionalFormatting sqref="A131">
    <cfRule type="expression" dxfId="8739" priority="8306">
      <formula>AND($J131 = "section",$A131 = "end group")</formula>
    </cfRule>
    <cfRule type="expression" dxfId="8738" priority="8307">
      <formula xml:space="preserve"> $A131 = "begin group"</formula>
    </cfRule>
    <cfRule type="expression" dxfId="8737" priority="8308">
      <formula xml:space="preserve"> AND($J131="gg",$A131 = "end group")</formula>
    </cfRule>
    <cfRule type="expression" dxfId="8736" priority="8305">
      <formula>AND($J131="section",$A131="begin group")</formula>
    </cfRule>
  </conditionalFormatting>
  <conditionalFormatting sqref="A132 A160 A188 I132 C132:D132 D133:D191 C133:C199">
    <cfRule type="expression" dxfId="8735" priority="8795">
      <formula xml:space="preserve"> $A132 = "begin group"</formula>
    </cfRule>
    <cfRule type="expression" dxfId="8734" priority="8794">
      <formula>AND(#REF! = "section",$A132 = "end group")</formula>
    </cfRule>
    <cfRule type="expression" dxfId="8733" priority="8793">
      <formula>AND(#REF!="section",$A132="begin group")</formula>
    </cfRule>
    <cfRule type="expression" dxfId="8732" priority="8796">
      <formula xml:space="preserve"> AND(#REF!="gg",$A132 = "end group")</formula>
    </cfRule>
  </conditionalFormatting>
  <conditionalFormatting sqref="A133 I133 O133 Q133 A161">
    <cfRule type="expression" dxfId="8731" priority="8767">
      <formula>AND($U$1="disabled",#REF!="yes")</formula>
    </cfRule>
  </conditionalFormatting>
  <conditionalFormatting sqref="A133:A134 A161:A162 O133:O134 Q133:Q134 I133:I134">
    <cfRule type="expression" dxfId="8730" priority="8617">
      <formula>AND($J137 = "section",$A133 = "end group")</formula>
    </cfRule>
    <cfRule type="expression" dxfId="8729" priority="8619">
      <formula xml:space="preserve"> AND($J137="gg",$A133 = "end group")</formula>
    </cfRule>
    <cfRule type="expression" dxfId="8728" priority="8618">
      <formula xml:space="preserve"> $A133 = "begin group"</formula>
    </cfRule>
    <cfRule type="expression" dxfId="8727" priority="8616">
      <formula>AND($J137="section",$A133="begin group")</formula>
    </cfRule>
  </conditionalFormatting>
  <conditionalFormatting sqref="A135 A163 O135 Q135 I135">
    <cfRule type="expression" dxfId="8726" priority="8677">
      <formula>AND($J142 = "section",$A135 = "end group")</formula>
    </cfRule>
    <cfRule type="expression" dxfId="8725" priority="8678">
      <formula xml:space="preserve"> $A135 = "begin group"</formula>
    </cfRule>
    <cfRule type="expression" dxfId="8724" priority="8676">
      <formula>AND($J142="section",$A135="begin group")</formula>
    </cfRule>
    <cfRule type="expression" dxfId="8723" priority="8679">
      <formula xml:space="preserve"> AND($J142="gg",$A135 = "end group")</formula>
    </cfRule>
  </conditionalFormatting>
  <conditionalFormatting sqref="A136 A164 O136 Q136 I136 M104:W104">
    <cfRule type="expression" dxfId="8722" priority="8633">
      <formula>AND($J124 = "section",$A104 = "end group")</formula>
    </cfRule>
    <cfRule type="expression" dxfId="8721" priority="8634">
      <formula xml:space="preserve"> $A104 = "begin group"</formula>
    </cfRule>
    <cfRule type="expression" dxfId="8720" priority="8635">
      <formula xml:space="preserve"> AND($J124="gg",$A104 = "end group")</formula>
    </cfRule>
    <cfRule type="expression" dxfId="8719" priority="8632">
      <formula>AND($J124="section",$A104="begin group")</formula>
    </cfRule>
  </conditionalFormatting>
  <conditionalFormatting sqref="A137:A143 O137:O143 Q137:Q143 I137:I143 A165:A170">
    <cfRule type="expression" dxfId="8718" priority="8644">
      <formula>AND($J158="section",$A137="begin group")</formula>
    </cfRule>
    <cfRule type="expression" dxfId="8717" priority="8645">
      <formula>AND($J158 = "section",$A137 = "end group")</formula>
    </cfRule>
    <cfRule type="expression" dxfId="8716" priority="8646">
      <formula xml:space="preserve"> $A137 = "begin group"</formula>
    </cfRule>
    <cfRule type="expression" dxfId="8715" priority="8647">
      <formula xml:space="preserve"> AND($J158="gg",$A137 = "end group")</formula>
    </cfRule>
  </conditionalFormatting>
  <conditionalFormatting sqref="A147 I147 A175 O147 Q147">
    <cfRule type="expression" dxfId="8714" priority="8787">
      <formula xml:space="preserve"> $A147 = "begin group"</formula>
    </cfRule>
    <cfRule type="expression" dxfId="8713" priority="8786">
      <formula>AND(#REF! = "section",$A147 = "end group")</formula>
    </cfRule>
    <cfRule type="expression" dxfId="8712" priority="8785">
      <formula>AND(#REF!="section",$A147="begin group")</formula>
    </cfRule>
    <cfRule type="expression" dxfId="8711" priority="8788">
      <formula xml:space="preserve"> AND(#REF!="gg",$A147 = "end group")</formula>
    </cfRule>
  </conditionalFormatting>
  <conditionalFormatting sqref="A155 A149:A153 A183 A177:A181 O155 Q155 O149:O153 Q149:Q153 I155 I149:I153 M119:W122 M202:W204">
    <cfRule type="expression" dxfId="8710" priority="8687">
      <formula xml:space="preserve"> AND($J127="gg",$A119 = "end group")</formula>
    </cfRule>
    <cfRule type="expression" dxfId="8709" priority="8686">
      <formula xml:space="preserve"> $A119 = "begin group"</formula>
    </cfRule>
    <cfRule type="expression" dxfId="8708" priority="8685">
      <formula>AND($J127 = "section",$A119 = "end group")</formula>
    </cfRule>
    <cfRule type="expression" dxfId="8707" priority="8684">
      <formula>AND($J127="section",$A119="begin group")</formula>
    </cfRule>
  </conditionalFormatting>
  <conditionalFormatting sqref="A156:A159 A144:A146 A172:A174 O156:O159 Q156:Q159 O144:O146 Q144:Q146 M58:W58 I156:I159 I144:I146">
    <cfRule type="expression" dxfId="8706" priority="8690">
      <formula xml:space="preserve"> $A58 = "begin group"</formula>
    </cfRule>
    <cfRule type="expression" dxfId="8705" priority="8688">
      <formula>AND($J67="section",$A58="begin group")</formula>
    </cfRule>
    <cfRule type="expression" dxfId="8704" priority="8689">
      <formula>AND($J67 = "section",$A58 = "end group")</formula>
    </cfRule>
    <cfRule type="expression" dxfId="8703" priority="8691">
      <formula xml:space="preserve"> AND($J67="gg",$A58 = "end group")</formula>
    </cfRule>
  </conditionalFormatting>
  <conditionalFormatting sqref="A171">
    <cfRule type="expression" dxfId="8702" priority="7985">
      <formula xml:space="preserve"> $A171 = "begin group"</formula>
    </cfRule>
    <cfRule type="expression" dxfId="8701" priority="7986">
      <formula xml:space="preserve"> AND($J200="gg",$A171 = "end group")</formula>
    </cfRule>
    <cfRule type="expression" dxfId="8700" priority="7984">
      <formula>AND($J200 = "section",$A171 = "end group")</formula>
    </cfRule>
    <cfRule type="expression" dxfId="8699" priority="7983">
      <formula>AND($J200="section",$A171="begin group")</formula>
    </cfRule>
  </conditionalFormatting>
  <conditionalFormatting sqref="A182 I154 A154 O154 Q154">
    <cfRule type="expression" dxfId="8698" priority="8611">
      <formula xml:space="preserve"> AND($J126="gg",$A154 = "end group")</formula>
    </cfRule>
    <cfRule type="expression" dxfId="8697" priority="8610">
      <formula xml:space="preserve"> $A154 = "begin group"</formula>
    </cfRule>
    <cfRule type="expression" dxfId="8696" priority="8609">
      <formula>AND($J126 = "section",$A154 = "end group")</formula>
    </cfRule>
    <cfRule type="expression" dxfId="8695" priority="8608">
      <formula>AND($J126="section",$A154="begin group")</formula>
    </cfRule>
  </conditionalFormatting>
  <conditionalFormatting sqref="A182 O154 A154 Q154 I154">
    <cfRule type="expression" dxfId="8694" priority="8367">
      <formula xml:space="preserve"> #REF! = "end repeat"</formula>
    </cfRule>
    <cfRule type="expression" dxfId="8693" priority="8366">
      <formula>$A154 = "begin repeat"</formula>
    </cfRule>
    <cfRule type="expression" dxfId="8692" priority="8365">
      <formula>AND($U$1="disabled",$U126="yes")</formula>
    </cfRule>
  </conditionalFormatting>
  <conditionalFormatting sqref="A185:A187">
    <cfRule type="expression" dxfId="8691" priority="7955">
      <formula>AND($U$1="disabled",$U206="yes")</formula>
    </cfRule>
    <cfRule type="expression" dxfId="8690" priority="7956">
      <formula>$A185 = "begin repeat"</formula>
    </cfRule>
    <cfRule type="expression" dxfId="8689" priority="7957">
      <formula xml:space="preserve"> #REF! = "end repeat"</formula>
    </cfRule>
  </conditionalFormatting>
  <conditionalFormatting sqref="A188 D188">
    <cfRule type="expression" dxfId="8688" priority="8113">
      <formula>AND($U$1="disabled",$U200="yes")</formula>
    </cfRule>
    <cfRule type="expression" dxfId="8687" priority="8115">
      <formula xml:space="preserve"> $A206 = "end repeat"</formula>
    </cfRule>
    <cfRule type="expression" dxfId="8686" priority="8114">
      <formula>$A188 = "begin repeat"</formula>
    </cfRule>
  </conditionalFormatting>
  <conditionalFormatting sqref="A189">
    <cfRule type="expression" dxfId="8685" priority="7970">
      <formula>AND($J206="section",$A189="begin group")</formula>
    </cfRule>
    <cfRule type="expression" dxfId="8684" priority="7971">
      <formula>AND($J206 = "section",$A189 = "end group")</formula>
    </cfRule>
    <cfRule type="expression" dxfId="8683" priority="7972">
      <formula xml:space="preserve"> $A189 = "begin group"</formula>
    </cfRule>
    <cfRule type="expression" dxfId="8682" priority="7973">
      <formula xml:space="preserve"> AND($J206="gg",$A189 = "end group")</formula>
    </cfRule>
    <cfRule type="expression" dxfId="8681" priority="8117">
      <formula>$A189 = "begin repeat"</formula>
    </cfRule>
    <cfRule type="expression" dxfId="8680" priority="8118">
      <formula xml:space="preserve"> $A207 = "end repeat"</formula>
    </cfRule>
    <cfRule type="expression" dxfId="8679" priority="8116">
      <formula>AND($U$1="disabled",#REF!="yes")</formula>
    </cfRule>
  </conditionalFormatting>
  <conditionalFormatting sqref="A207:A208 K207:W208 C207:D208 I207:I208">
    <cfRule type="expression" dxfId="8678" priority="7866">
      <formula>AND($U$1="disabled",$U207="yes")</formula>
    </cfRule>
    <cfRule type="expression" dxfId="8677" priority="7867">
      <formula>$A207 = "begin repeat"</formula>
    </cfRule>
    <cfRule type="expression" dxfId="8676" priority="7868">
      <formula xml:space="preserve"> $A189 = "end repeat"</formula>
    </cfRule>
  </conditionalFormatting>
  <conditionalFormatting sqref="A217:A218 I217:I218 M217:W218">
    <cfRule type="expression" dxfId="8675" priority="7602">
      <formula>AND($J221="section",$A217="begin group")</formula>
    </cfRule>
    <cfRule type="expression" dxfId="8674" priority="7605">
      <formula xml:space="preserve"> AND($J221="gg",$A217 = "end group")</formula>
    </cfRule>
    <cfRule type="expression" dxfId="8673" priority="7604">
      <formula xml:space="preserve"> $A217 = "begin group"</formula>
    </cfRule>
    <cfRule type="expression" dxfId="8672" priority="7603">
      <formula>AND($J221 = "section",$A217 = "end group")</formula>
    </cfRule>
  </conditionalFormatting>
  <conditionalFormatting sqref="A219:A223 I219:I223 M219:W223 I253:I254 M253:W254">
    <cfRule type="expression" dxfId="8671" priority="7583">
      <formula xml:space="preserve"> $A223 = "end repeat"</formula>
    </cfRule>
    <cfRule type="expression" dxfId="8670" priority="7582">
      <formula>$A219 = "begin repeat"</formula>
    </cfRule>
    <cfRule type="expression" dxfId="8669" priority="7581">
      <formula>AND($U$1="disabled",$U219="yes")</formula>
    </cfRule>
  </conditionalFormatting>
  <conditionalFormatting sqref="A224 I224">
    <cfRule type="expression" dxfId="8668" priority="7653">
      <formula xml:space="preserve"> $A224 = "begin group"</formula>
    </cfRule>
    <cfRule type="expression" dxfId="8667" priority="7651">
      <formula>AND(#REF!="section",$A224="begin group")</formula>
    </cfRule>
    <cfRule type="expression" dxfId="8666" priority="7652">
      <formula>AND(#REF! = "section",$A224 = "end group")</formula>
    </cfRule>
    <cfRule type="expression" dxfId="8665" priority="7654">
      <formula xml:space="preserve"> AND(#REF!="gg",$A224 = "end group")</formula>
    </cfRule>
  </conditionalFormatting>
  <conditionalFormatting sqref="A224:A226 I224:I226 L225:L226 M224:W226 A344 M344:W344 I344">
    <cfRule type="expression" dxfId="8664" priority="7569">
      <formula>AND($U$1="disabled",$U224="yes")</formula>
    </cfRule>
    <cfRule type="expression" dxfId="8663" priority="7570">
      <formula>$A224 = "begin repeat"</formula>
    </cfRule>
    <cfRule type="expression" dxfId="8662" priority="7571">
      <formula xml:space="preserve"> $A243 = "end repeat"</formula>
    </cfRule>
  </conditionalFormatting>
  <conditionalFormatting sqref="A225 I225">
    <cfRule type="expression" dxfId="8661" priority="7648">
      <formula>AND(#REF! = "section",$A225 = "end group")</formula>
    </cfRule>
    <cfRule type="expression" dxfId="8660" priority="7647">
      <formula>AND(#REF!="section",$A225="begin group")</formula>
    </cfRule>
    <cfRule type="expression" dxfId="8659" priority="7650">
      <formula xml:space="preserve"> AND(#REF!="gg",$A225 = "end group")</formula>
    </cfRule>
    <cfRule type="expression" dxfId="8658" priority="7649">
      <formula xml:space="preserve"> $A225 = "begin group"</formula>
    </cfRule>
  </conditionalFormatting>
  <conditionalFormatting sqref="A226 I226 M226:W226">
    <cfRule type="expression" dxfId="8657" priority="7607">
      <formula>AND($J217 = "section",$A226 = "end group")</formula>
    </cfRule>
    <cfRule type="expression" dxfId="8656" priority="7608">
      <formula xml:space="preserve"> $A226 = "begin group"</formula>
    </cfRule>
    <cfRule type="expression" dxfId="8655" priority="7609">
      <formula xml:space="preserve"> AND($J217="gg",$A226 = "end group")</formula>
    </cfRule>
    <cfRule type="expression" dxfId="8654" priority="7606">
      <formula>AND($J217="section",$A226="begin group")</formula>
    </cfRule>
  </conditionalFormatting>
  <conditionalFormatting sqref="A275 K275:W275 D276 C275:I275 A342 I342 K351:K352 L342:W342 K354">
    <cfRule type="expression" dxfId="8653" priority="7556">
      <formula xml:space="preserve"> $A295 = "end repeat"</formula>
    </cfRule>
    <cfRule type="expression" dxfId="8652" priority="7554">
      <formula>AND($U$1="disabled",$U275="yes")</formula>
    </cfRule>
    <cfRule type="expression" dxfId="8651" priority="7555">
      <formula>$A275 = "begin repeat"</formula>
    </cfRule>
  </conditionalFormatting>
  <conditionalFormatting sqref="A279 I279 L279:W279 J272 B256:B272 B224:B240 M321:W323 I321:I323 J340 F340 B340 H340 J240 A321:A323">
    <cfRule type="expression" dxfId="8650" priority="7575">
      <formula>AND($U$1="disabled",$U224="yes")</formula>
    </cfRule>
    <cfRule type="expression" dxfId="8649" priority="7577">
      <formula xml:space="preserve"> $A241 = "end repeat"</formula>
    </cfRule>
    <cfRule type="expression" dxfId="8648" priority="7576">
      <formula>$A224 = "begin repeat"</formula>
    </cfRule>
  </conditionalFormatting>
  <conditionalFormatting sqref="A285:A286 M285:W286 I285:I286 A335 I335 A337:A339 M337:W339 I337:I339 M335:W335">
    <cfRule type="expression" dxfId="8647" priority="7392">
      <formula>$A285 = "begin repeat"</formula>
    </cfRule>
    <cfRule type="expression" dxfId="8646" priority="7393">
      <formula xml:space="preserve"> $A346 = "end repeat"</formula>
    </cfRule>
    <cfRule type="expression" dxfId="8645" priority="7391">
      <formula>AND($U$1="disabled",$U285="yes")</formula>
    </cfRule>
  </conditionalFormatting>
  <conditionalFormatting sqref="A290 A278 I290 L290:W290 I278 L278:W278 K212 K244 C278:D278 L326 A331 I331 L331:W331 D327:D333 D279:D299 C279:C345 A343 I343 L343:W343 D324:D325">
    <cfRule type="expression" dxfId="8644" priority="7544">
      <formula xml:space="preserve"> $A218 = "end repeat"</formula>
    </cfRule>
    <cfRule type="expression" dxfId="8643" priority="7543">
      <formula>$A212 = "begin repeat"</formula>
    </cfRule>
    <cfRule type="expression" dxfId="8642" priority="7542">
      <formula>AND($U$1="disabled",$U212="yes")</formula>
    </cfRule>
  </conditionalFormatting>
  <conditionalFormatting sqref="A327 M327:W327 I327">
    <cfRule type="expression" dxfId="8641" priority="7205">
      <formula>$A327 = "begin repeat"</formula>
    </cfRule>
    <cfRule type="expression" dxfId="8640" priority="7206">
      <formula xml:space="preserve"> $A391 = "end repeat"</formula>
    </cfRule>
    <cfRule type="expression" dxfId="8639" priority="7204">
      <formula>AND($U$1="disabled",$U327="yes")</formula>
    </cfRule>
  </conditionalFormatting>
  <conditionalFormatting sqref="A345">
    <cfRule type="expression" dxfId="8638" priority="7423">
      <formula>AND($K345="section",$A345="begin group")</formula>
    </cfRule>
    <cfRule type="expression" dxfId="8637" priority="7426">
      <formula xml:space="preserve"> AND($K345="gg",$A345 = "end group")</formula>
    </cfRule>
    <cfRule type="expression" dxfId="8636" priority="7425">
      <formula xml:space="preserve"> $A345 = "begin group"</formula>
    </cfRule>
    <cfRule type="expression" dxfId="8635" priority="7424">
      <formula>AND($K345 = "section",$A345 = "end group")</formula>
    </cfRule>
  </conditionalFormatting>
  <conditionalFormatting sqref="A361:A371">
    <cfRule type="expression" dxfId="8634" priority="6615">
      <formula>AND($J361 = "section",$A361 = "end group")</formula>
    </cfRule>
    <cfRule type="expression" dxfId="8633" priority="6617">
      <formula xml:space="preserve"> AND($J361="gg",$A361 = "end group")</formula>
    </cfRule>
    <cfRule type="expression" dxfId="8632" priority="6616">
      <formula xml:space="preserve"> $A361 = "begin group"</formula>
    </cfRule>
    <cfRule type="expression" dxfId="8631" priority="6614">
      <formula>AND($J361="section",$A361="begin group")</formula>
    </cfRule>
  </conditionalFormatting>
  <conditionalFormatting sqref="A363:A364 M363:W364 I363:I364 A428:A429 M428:W429 I428:I429 A449:A450 M449:W450 I449:I450 D428:D432 D449:D451 A439:A440 M439:W440 I439:I440 D439:D444">
    <cfRule type="expression" dxfId="8630" priority="6467">
      <formula xml:space="preserve"> $A368 = "end repeat"</formula>
    </cfRule>
    <cfRule type="expression" dxfId="8629" priority="6465">
      <formula>AND($U$1="disabled",$U363="yes")</formula>
    </cfRule>
    <cfRule type="expression" dxfId="8628" priority="6466">
      <formula>$A363 = "begin repeat"</formula>
    </cfRule>
  </conditionalFormatting>
  <conditionalFormatting sqref="A410:A411 D410:D411 I410:I411">
    <cfRule type="expression" dxfId="8627" priority="3342">
      <formula>AND($U$1="disabled",$U410="yes")</formula>
    </cfRule>
    <cfRule type="expression" dxfId="8626" priority="3343">
      <formula>$A410 = "begin repeat"</formula>
    </cfRule>
    <cfRule type="expression" dxfId="8625" priority="3344">
      <formula xml:space="preserve"> $A493 = "end repeat"</formula>
    </cfRule>
  </conditionalFormatting>
  <conditionalFormatting sqref="A424 K424:W424 C424:I424 I534 D534 D456 K549 M454:W455 I454:I455 I550:I551 D550:D551 J532:J533">
    <cfRule type="expression" dxfId="8624" priority="6684">
      <formula>AND($U$1="disabled",$U424="yes")</formula>
    </cfRule>
    <cfRule type="expression" dxfId="8623" priority="6686">
      <formula xml:space="preserve"> $A456 = "end repeat"</formula>
    </cfRule>
    <cfRule type="expression" dxfId="8622" priority="6685">
      <formula>$A424 = "begin repeat"</formula>
    </cfRule>
  </conditionalFormatting>
  <conditionalFormatting sqref="A433 M433:W433 I433 A368:A369 M368:W369 I368:I369 A374:A375 A380:A381 A386:A387 I374:I375 I380:I381 I386:I387 A444:A445 M444:W445 I444:I445 D446:D447">
    <cfRule type="expression" dxfId="8621" priority="6794">
      <formula>AND($U$1="disabled",$U368="yes")</formula>
    </cfRule>
    <cfRule type="expression" dxfId="8620" priority="6796">
      <formula xml:space="preserve"> $A372 = "end repeat"</formula>
    </cfRule>
    <cfRule type="expression" dxfId="8619" priority="6795">
      <formula>$A368 = "begin repeat"</formula>
    </cfRule>
  </conditionalFormatting>
  <conditionalFormatting sqref="A434 M434:W434 I434 D435:D436">
    <cfRule type="expression" dxfId="8618" priority="6797">
      <formula>AND($U$1="disabled",$U434="yes")</formula>
    </cfRule>
    <cfRule type="expression" dxfId="8617" priority="6798">
      <formula>$A434 = "begin repeat"</formula>
    </cfRule>
    <cfRule type="expression" dxfId="8616" priority="6799">
      <formula xml:space="preserve"> $A448 = "end repeat"</formula>
    </cfRule>
  </conditionalFormatting>
  <conditionalFormatting sqref="A435:A436 I435:I436 I430:I432 A430:A432 M430:W431 M435:W436 B429:B436">
    <cfRule type="expression" dxfId="8615" priority="6789">
      <formula>$A429 = "begin repeat"</formula>
    </cfRule>
    <cfRule type="expression" dxfId="8614" priority="6790">
      <formula xml:space="preserve"> $A448 = "end repeat"</formula>
    </cfRule>
    <cfRule type="expression" dxfId="8613" priority="6788">
      <formula>AND($U$1="disabled",$U429="yes")</formula>
    </cfRule>
  </conditionalFormatting>
  <conditionalFormatting sqref="A437 I437 M437:W437 F545 H545 D436:D437">
    <cfRule type="expression" dxfId="8612" priority="6804">
      <formula>$A436 = "begin repeat"</formula>
    </cfRule>
    <cfRule type="expression" dxfId="8611" priority="6805">
      <formula xml:space="preserve"> $A448 = "end repeat"</formula>
    </cfRule>
    <cfRule type="expression" dxfId="8610" priority="6803">
      <formula>AND($U$1="disabled",$U436="yes")</formula>
    </cfRule>
  </conditionalFormatting>
  <conditionalFormatting sqref="A438:A447">
    <cfRule type="expression" dxfId="8609" priority="6517">
      <formula xml:space="preserve"> AND($J438="gg",$A438 = "end group")</formula>
    </cfRule>
    <cfRule type="expression" dxfId="8608" priority="6516">
      <formula xml:space="preserve"> $A438 = "begin group"</formula>
    </cfRule>
  </conditionalFormatting>
  <conditionalFormatting sqref="A448 I448 M448:W448 A438 I438 M438:W438 C426:D426 A426:A427 I426:I427 M426:W427 D438:D454 D427:D435 C427:C485">
    <cfRule type="expression" dxfId="8607" priority="6736">
      <formula xml:space="preserve"> $A428 = "end repeat"</formula>
    </cfRule>
    <cfRule type="expression" dxfId="8606" priority="6734">
      <formula>AND($U$1="disabled",$U426="yes")</formula>
    </cfRule>
    <cfRule type="expression" dxfId="8605" priority="6735">
      <formula>$A426 = "begin repeat"</formula>
    </cfRule>
  </conditionalFormatting>
  <conditionalFormatting sqref="A466">
    <cfRule type="expression" dxfId="8604" priority="3739">
      <formula xml:space="preserve"> AND($J466="gg",$A466 = "end group")</formula>
    </cfRule>
    <cfRule type="expression" dxfId="8603" priority="3738">
      <formula xml:space="preserve"> $A466 = "begin group"</formula>
    </cfRule>
  </conditionalFormatting>
  <conditionalFormatting sqref="A467">
    <cfRule type="expression" dxfId="8602" priority="3697">
      <formula xml:space="preserve"> $A467 = "begin group"</formula>
    </cfRule>
    <cfRule type="expression" dxfId="8601" priority="3698">
      <formula xml:space="preserve"> AND($J467="gg",$A467 = "end group")</formula>
    </cfRule>
  </conditionalFormatting>
  <conditionalFormatting sqref="A481">
    <cfRule type="expression" dxfId="8600" priority="3654">
      <formula xml:space="preserve"> AND($J481="gg",$A481 = "end group")</formula>
    </cfRule>
    <cfRule type="expression" dxfId="8599" priority="3653">
      <formula xml:space="preserve"> $A481 = "begin group"</formula>
    </cfRule>
  </conditionalFormatting>
  <conditionalFormatting sqref="A482:A485">
    <cfRule type="expression" dxfId="8598" priority="3573">
      <formula xml:space="preserve"> $A482 = "begin group"</formula>
    </cfRule>
    <cfRule type="expression" dxfId="8597" priority="3574">
      <formula xml:space="preserve"> AND($J482="gg",$A482 = "end group")</formula>
    </cfRule>
    <cfRule type="expression" dxfId="8596" priority="3572">
      <formula>AND($J482 = "section",$A482 = "end group")</formula>
    </cfRule>
    <cfRule type="expression" dxfId="8595" priority="3571">
      <formula>AND($J482="section",$A482="begin group")</formula>
    </cfRule>
  </conditionalFormatting>
  <conditionalFormatting sqref="A495 I495 M495:W495">
    <cfRule type="expression" dxfId="8594" priority="6847">
      <formula>AND(#REF!="section",$A495="begin group")</formula>
    </cfRule>
    <cfRule type="expression" dxfId="8593" priority="6848">
      <formula>AND(#REF! = "section",$A495 = "end group")</formula>
    </cfRule>
    <cfRule type="expression" dxfId="8592" priority="6849">
      <formula xml:space="preserve"> $A495 = "begin group"</formula>
    </cfRule>
    <cfRule type="expression" dxfId="8591" priority="6850">
      <formula xml:space="preserve"> AND(#REF!="gg",$A495 = "end group")</formula>
    </cfRule>
  </conditionalFormatting>
  <conditionalFormatting sqref="A495:A499 B501:B502">
    <cfRule type="expression" dxfId="8590" priority="3608">
      <formula>AND($U$1="disabled",$U495="yes")</formula>
    </cfRule>
    <cfRule type="expression" dxfId="8589" priority="3610">
      <formula xml:space="preserve"> $A567 = "end repeat"</formula>
    </cfRule>
    <cfRule type="expression" dxfId="8588" priority="3609">
      <formula>$A495 = "begin repeat"</formula>
    </cfRule>
  </conditionalFormatting>
  <conditionalFormatting sqref="A500 L378:W378 I496:J499 B496:B499 D514:D517">
    <cfRule type="expression" dxfId="8587" priority="5650">
      <formula>$A378 = "begin repeat"</formula>
    </cfRule>
    <cfRule type="expression" dxfId="8586" priority="5649">
      <formula>AND($U$1="disabled",$U378="yes")</formula>
    </cfRule>
    <cfRule type="expression" dxfId="8585" priority="5651">
      <formula xml:space="preserve"> $A449 = "end repeat"</formula>
    </cfRule>
  </conditionalFormatting>
  <conditionalFormatting sqref="A508 I508 M508:W508">
    <cfRule type="expression" dxfId="8584" priority="6643">
      <formula>AND(#REF!="section",$A508="begin group")</formula>
    </cfRule>
    <cfRule type="expression" dxfId="8583" priority="6644">
      <formula>AND(#REF! = "section",$A508 = "end group")</formula>
    </cfRule>
    <cfRule type="expression" dxfId="8582" priority="6646">
      <formula xml:space="preserve"> AND(#REF!="gg",$A508 = "end group")</formula>
    </cfRule>
    <cfRule type="expression" dxfId="8581" priority="6645">
      <formula xml:space="preserve"> $A508 = "begin group"</formula>
    </cfRule>
  </conditionalFormatting>
  <conditionalFormatting sqref="A518 L501 J412 B412 D413:D415 K410:K411 I413:I415 A413:A415 I514:J517 M515:W517 M512:W513 B514:B518">
    <cfRule type="expression" dxfId="8580" priority="6404">
      <formula xml:space="preserve"> $A488 = "end repeat"</formula>
    </cfRule>
    <cfRule type="expression" dxfId="8579" priority="6403">
      <formula>$A410 = "begin repeat"</formula>
    </cfRule>
    <cfRule type="expression" dxfId="8578" priority="6402">
      <formula>AND($U$1="disabled",$U410="yes")</formula>
    </cfRule>
  </conditionalFormatting>
  <conditionalFormatting sqref="A519 I518:J518 M518:W518 A508:A510 B514:B520 J413:J415 B413:B415">
    <cfRule type="expression" dxfId="8577" priority="6676">
      <formula>$A413 = "begin repeat"</formula>
    </cfRule>
    <cfRule type="expression" dxfId="8576" priority="6675">
      <formula>AND($U$1="disabled",$U413="yes")</formula>
    </cfRule>
    <cfRule type="expression" dxfId="8575" priority="6677">
      <formula xml:space="preserve"> $A490 = "end repeat"</formula>
    </cfRule>
  </conditionalFormatting>
  <conditionalFormatting sqref="A521 I510:J510 I508:I509 J507:J509 B507:B510 A511:A513 A526:A528 I519:J520 M519:W520 B521:B531">
    <cfRule type="expression" dxfId="8574" priority="4234">
      <formula>AND($U$1="disabled",$U507="yes")</formula>
    </cfRule>
    <cfRule type="expression" dxfId="8573" priority="4236">
      <formula xml:space="preserve"> $A583 = "end repeat"</formula>
    </cfRule>
    <cfRule type="expression" dxfId="8572" priority="4235">
      <formula>$A507 = "begin repeat"</formula>
    </cfRule>
  </conditionalFormatting>
  <conditionalFormatting sqref="A534:A536 A549:A553">
    <cfRule type="expression" dxfId="8571" priority="4199">
      <formula>$A534 = "begin repeat"</formula>
    </cfRule>
    <cfRule type="expression" dxfId="8570" priority="4200">
      <formula xml:space="preserve"> $A643 = "end repeat"</formula>
    </cfRule>
    <cfRule type="expression" dxfId="8569" priority="4198">
      <formula>AND($U$1="disabled",$U534="yes")</formula>
    </cfRule>
  </conditionalFormatting>
  <conditionalFormatting sqref="A540:A545">
    <cfRule type="expression" dxfId="8568" priority="4118">
      <formula>AND($U$1="disabled",$U540="yes")</formula>
    </cfRule>
    <cfRule type="expression" dxfId="8567" priority="4119">
      <formula>$A540 = "begin repeat"</formula>
    </cfRule>
    <cfRule type="expression" dxfId="8566" priority="4120">
      <formula xml:space="preserve"> $A668 = "end repeat"</formula>
    </cfRule>
  </conditionalFormatting>
  <conditionalFormatting sqref="A546:A548">
    <cfRule type="expression" dxfId="8565" priority="4181">
      <formula>$A546 = "begin repeat"</formula>
    </cfRule>
    <cfRule type="expression" dxfId="8564" priority="4182">
      <formula xml:space="preserve"> $A675 = "end repeat"</formula>
    </cfRule>
    <cfRule type="expression" dxfId="8563" priority="4180">
      <formula>AND($U$1="disabled",$U546="yes")</formula>
    </cfRule>
  </conditionalFormatting>
  <conditionalFormatting sqref="A569 I569 L569:W569 C838 B798:B807 J798:J807 C824:D825 K824:K825">
    <cfRule type="expression" dxfId="8562" priority="2729">
      <formula xml:space="preserve"> $A584 = "end repeat"</formula>
    </cfRule>
    <cfRule type="expression" dxfId="8561" priority="2728">
      <formula>$A569 = "begin repeat"</formula>
    </cfRule>
    <cfRule type="expression" dxfId="8560" priority="2727">
      <formula>AND($U$1="disabled",$U569="yes")</formula>
    </cfRule>
  </conditionalFormatting>
  <conditionalFormatting sqref="A572 I572 L572:W572 K636 R790 K569:K570 D831:D834">
    <cfRule type="expression" dxfId="8559" priority="2730">
      <formula>AND($U$1="disabled",$U569="yes")</formula>
    </cfRule>
    <cfRule type="expression" dxfId="8558" priority="2731">
      <formula>$A569 = "begin repeat"</formula>
    </cfRule>
    <cfRule type="expression" dxfId="8557" priority="2732">
      <formula xml:space="preserve"> $A586 = "end repeat"</formula>
    </cfRule>
  </conditionalFormatting>
  <conditionalFormatting sqref="A573 I573 L573:W573 A685 M685:W685 I685 K685 D829 B830 J830 L745 L750 C822:D828 C829:C832 J834:J838 B834:B838">
    <cfRule type="expression" dxfId="8556" priority="2726">
      <formula xml:space="preserve"> $A592 = "end repeat"</formula>
    </cfRule>
    <cfRule type="expression" dxfId="8555" priority="2724">
      <formula>AND($U$1="disabled",$U573="yes")</formula>
    </cfRule>
    <cfRule type="expression" dxfId="8554" priority="2725">
      <formula>$A573 = "begin repeat"</formula>
    </cfRule>
  </conditionalFormatting>
  <conditionalFormatting sqref="A574 A576 L576:W576 I576 I574 L574:W574 R641 E643 C821 C823 C825 C827 C829 C831 K570:K572 G641:G643 A686:A693 M686:W693 I686:I693 K686:K693 B684:B693 L687:L693 F684:F693 H684:H693 J684:J693 J695:J698 D684:D693 F701:F702 H701:W702 D701:D702 G741:G743 C819:D820 E741:E743 A701:B702 C833:C838 B819:B831 J819:J831">
    <cfRule type="expression" dxfId="8553" priority="2711">
      <formula xml:space="preserve"> $A590 = "end repeat"</formula>
    </cfRule>
    <cfRule type="expression" dxfId="8552" priority="2709">
      <formula>AND($U$1="disabled",$U570="yes")</formula>
    </cfRule>
    <cfRule type="expression" dxfId="8551" priority="2710">
      <formula>$A570 = "begin repeat"</formula>
    </cfRule>
  </conditionalFormatting>
  <conditionalFormatting sqref="A609 I609 M609:W609 B613 J613 A611:B611 M611:W611 I611:J611 A644 I644 K644:W644 B635 J635 I743 J786 D810 C820 C822 C824 C826 C828 K831 E817 E743 E559:E560 F562:F569 H562:H569 B583:B586 J583:J586 F581:F586 H581:H586 B608:B609 J608:J609 A649:A656 M649:W656 I649:I656 K649:K656 G641:G643 B641:B656 J639:J656 L650:L656 E641:E643 F644:F669 H644:H669 B682:B683 F682:F683 H682:H683 J682:J683 D682:D683 C644:D656 G706:G708 E706:E708 J704:J712 F709:F712 H709:H712 F724:F725 H724:H725 J723:J725 I817:I818 M741:W743 K741:K743 A741:A743 C741:D743 B741:B774 J739:J774 G790:G792 B790:B797 J788:J797 B778:B786 K815:W818 A815:D818 A805:A807 M805:W807 I805:I807 K805:K807 D805:D808 J813:J818 G815:G817 G741:G743 E741:F742 H741:I742 E790:E792 E815:F816 H815:I816 F744:F784 H744:H784 F793:F811 H793:H811 F818:F828 H818:H828 F832:F838 H832:H838 B706:B728 C657:C703 J839:J840">
    <cfRule type="expression" dxfId="8550" priority="2751">
      <formula>AND($U$1="disabled",$U559="yes")</formula>
    </cfRule>
    <cfRule type="expression" dxfId="8549" priority="2752">
      <formula>$A559 = "begin repeat"</formula>
    </cfRule>
    <cfRule type="expression" dxfId="8548" priority="2753">
      <formula xml:space="preserve"> $A569 = "end repeat"</formula>
    </cfRule>
  </conditionalFormatting>
  <conditionalFormatting sqref="A619 I619 L619:W619 D735 K720:W720 A711 K781 K809 D737 K619:K620 K615:K617 K626:K628 K630:K631 I712:I713 A725:A726 D724:D733 K775:K776 K783:W785 K811:K812 K734:W738">
    <cfRule type="expression" dxfId="8547" priority="2537">
      <formula>AND($U$1="disabled",$U615="yes")</formula>
    </cfRule>
    <cfRule type="expression" dxfId="8546" priority="2539">
      <formula xml:space="preserve"> $A647 = "end repeat"</formula>
    </cfRule>
    <cfRule type="expression" dxfId="8545" priority="2538">
      <formula>$A615 = "begin repeat"</formula>
    </cfRule>
  </conditionalFormatting>
  <conditionalFormatting sqref="A621 D621 K621 M621:W621 I621">
    <cfRule type="expression" dxfId="8544" priority="1908">
      <formula>AND($J636 = "section",$A621 = "end group")</formula>
    </cfRule>
    <cfRule type="expression" dxfId="8543" priority="1909">
      <formula xml:space="preserve"> $A621 = "begin group"</formula>
    </cfRule>
    <cfRule type="expression" dxfId="8542" priority="1907">
      <formula>AND($J636="section",$A621="begin group")</formula>
    </cfRule>
    <cfRule type="expression" dxfId="8541" priority="1910">
      <formula xml:space="preserve"> AND($J636="gg",$A621 = "end group")</formula>
    </cfRule>
  </conditionalFormatting>
  <conditionalFormatting sqref="A635 L635:W635 I635 K801:W801 D830 K569:K571 M788:W789 D835:D838 J831:J833 B831:B833">
    <cfRule type="expression" dxfId="8540" priority="2714">
      <formula xml:space="preserve"> $A587 = "end repeat"</formula>
    </cfRule>
    <cfRule type="expression" dxfId="8539" priority="2713">
      <formula>$A569 = "begin repeat"</formula>
    </cfRule>
    <cfRule type="expression" dxfId="8538" priority="2712">
      <formula>AND($U$1="disabled",$U569="yes")</formula>
    </cfRule>
  </conditionalFormatting>
  <conditionalFormatting sqref="A667:A668">
    <cfRule type="expression" dxfId="8537" priority="2517">
      <formula xml:space="preserve"> AND($J667="gg",$A667 = "end group")</formula>
    </cfRule>
    <cfRule type="expression" dxfId="8536" priority="2516">
      <formula xml:space="preserve"> $A667 = "begin group"</formula>
    </cfRule>
    <cfRule type="expression" dxfId="8535" priority="2515">
      <formula>AND($J667 = "section",$A667 = "end group")</formula>
    </cfRule>
    <cfRule type="expression" dxfId="8534" priority="2514">
      <formula>AND($J667="section",$A667="begin group")</formula>
    </cfRule>
  </conditionalFormatting>
  <conditionalFormatting sqref="A680 M680:W680 D680 I680:K680 I692:K693 I691 K691 I682:K690 D682:D693 M682:W693 A682:A693">
    <cfRule type="expression" dxfId="8533" priority="1821">
      <formula xml:space="preserve"> AND($J680="gg",$A680 = "end group")</formula>
    </cfRule>
    <cfRule type="expression" dxfId="8532" priority="1820">
      <formula xml:space="preserve"> $A680 = "begin group"</formula>
    </cfRule>
  </conditionalFormatting>
  <conditionalFormatting sqref="A699 M699:W699 D699 I699:K699">
    <cfRule type="expression" dxfId="8531" priority="1689">
      <formula xml:space="preserve"> AND($J699="gg",$A699 = "end group")</formula>
    </cfRule>
    <cfRule type="expression" dxfId="8530" priority="1688">
      <formula xml:space="preserve"> $A699 = "begin group"</formula>
    </cfRule>
  </conditionalFormatting>
  <conditionalFormatting sqref="A757:A761">
    <cfRule type="expression" dxfId="8529" priority="3058">
      <formula>AND(#REF! = "section",$A757 = "end group")</formula>
    </cfRule>
    <cfRule type="expression" dxfId="8528" priority="3057">
      <formula>AND(#REF!="section",$A757="begin group")</formula>
    </cfRule>
    <cfRule type="expression" dxfId="8527" priority="3060">
      <formula xml:space="preserve"> AND(#REF!="gg",$A757 = "end group")</formula>
    </cfRule>
    <cfRule type="expression" dxfId="8526" priority="3059">
      <formula xml:space="preserve"> $A757 = "begin group"</formula>
    </cfRule>
  </conditionalFormatting>
  <conditionalFormatting sqref="A762">
    <cfRule type="expression" dxfId="8525" priority="3038">
      <formula>AND(#REF! = "section",$A762 = "end group")</formula>
    </cfRule>
    <cfRule type="expression" dxfId="8524" priority="3037">
      <formula>AND(#REF!="section",$A762="begin group")</formula>
    </cfRule>
    <cfRule type="expression" dxfId="8523" priority="3040">
      <formula xml:space="preserve"> AND(#REF!="gg",$A762 = "end group")</formula>
    </cfRule>
    <cfRule type="expression" dxfId="8522" priority="3039">
      <formula xml:space="preserve"> $A762 = "begin group"</formula>
    </cfRule>
  </conditionalFormatting>
  <conditionalFormatting sqref="A763">
    <cfRule type="expression" dxfId="8521" priority="2859">
      <formula xml:space="preserve"> $A763 = "begin group"</formula>
    </cfRule>
    <cfRule type="expression" dxfId="8520" priority="2860">
      <formula xml:space="preserve"> AND(#REF!="gg",$A763 = "end group")</formula>
    </cfRule>
    <cfRule type="expression" dxfId="8519" priority="2857">
      <formula>AND(#REF!="section",$A763="begin group")</formula>
    </cfRule>
    <cfRule type="expression" dxfId="8518" priority="2858">
      <formula>AND(#REF! = "section",$A763 = "end group")</formula>
    </cfRule>
  </conditionalFormatting>
  <conditionalFormatting sqref="A764">
    <cfRule type="expression" dxfId="8517" priority="2867">
      <formula>AND(#REF!="section",$A764="begin group")</formula>
    </cfRule>
    <cfRule type="expression" dxfId="8516" priority="2868">
      <formula>AND(#REF! = "section",$A764 = "end group")</formula>
    </cfRule>
    <cfRule type="expression" dxfId="8515" priority="2869">
      <formula xml:space="preserve"> $A764 = "begin group"</formula>
    </cfRule>
    <cfRule type="expression" dxfId="8514" priority="2870">
      <formula xml:space="preserve"> AND(#REF!="gg",$A764 = "end group")</formula>
    </cfRule>
  </conditionalFormatting>
  <conditionalFormatting sqref="A765">
    <cfRule type="expression" dxfId="8513" priority="2877">
      <formula>AND(#REF!="section",$A765="begin group")</formula>
    </cfRule>
    <cfRule type="expression" dxfId="8512" priority="2878">
      <formula>AND(#REF! = "section",$A765 = "end group")</formula>
    </cfRule>
    <cfRule type="expression" dxfId="8511" priority="2879">
      <formula xml:space="preserve"> $A765 = "begin group"</formula>
    </cfRule>
    <cfRule type="expression" dxfId="8510" priority="2880">
      <formula xml:space="preserve"> AND(#REF!="gg",$A765 = "end group")</formula>
    </cfRule>
  </conditionalFormatting>
  <conditionalFormatting sqref="A766">
    <cfRule type="expression" dxfId="8509" priority="2889">
      <formula xml:space="preserve"> $A766 = "begin group"</formula>
    </cfRule>
    <cfRule type="expression" dxfId="8508" priority="2890">
      <formula xml:space="preserve"> AND(#REF!="gg",$A766 = "end group")</formula>
    </cfRule>
    <cfRule type="expression" dxfId="8507" priority="2888">
      <formula>AND(#REF! = "section",$A766 = "end group")</formula>
    </cfRule>
    <cfRule type="expression" dxfId="8506" priority="2887">
      <formula>AND(#REF!="section",$A766="begin group")</formula>
    </cfRule>
  </conditionalFormatting>
  <conditionalFormatting sqref="A767">
    <cfRule type="expression" dxfId="8505" priority="2819">
      <formula xml:space="preserve"> $A767 = "begin group"</formula>
    </cfRule>
    <cfRule type="expression" dxfId="8504" priority="2820">
      <formula xml:space="preserve"> AND(#REF!="gg",$A767 = "end group")</formula>
    </cfRule>
    <cfRule type="expression" dxfId="8503" priority="2817">
      <formula>AND(#REF!="section",$A767="begin group")</formula>
    </cfRule>
    <cfRule type="expression" dxfId="8502" priority="2818">
      <formula>AND(#REF! = "section",$A767 = "end group")</formula>
    </cfRule>
  </conditionalFormatting>
  <conditionalFormatting sqref="A768">
    <cfRule type="expression" dxfId="8501" priority="2829">
      <formula xml:space="preserve"> $A768 = "begin group"</formula>
    </cfRule>
    <cfRule type="expression" dxfId="8500" priority="2828">
      <formula>AND(#REF! = "section",$A768 = "end group")</formula>
    </cfRule>
    <cfRule type="expression" dxfId="8499" priority="2827">
      <formula>AND(#REF!="section",$A768="begin group")</formula>
    </cfRule>
    <cfRule type="expression" dxfId="8498" priority="2830">
      <formula xml:space="preserve"> AND(#REF!="gg",$A768 = "end group")</formula>
    </cfRule>
  </conditionalFormatting>
  <conditionalFormatting sqref="A769">
    <cfRule type="expression" dxfId="8497" priority="2838">
      <formula>AND(#REF! = "section",$A769 = "end group")</formula>
    </cfRule>
    <cfRule type="expression" dxfId="8496" priority="2839">
      <formula xml:space="preserve"> $A769 = "begin group"</formula>
    </cfRule>
    <cfRule type="expression" dxfId="8495" priority="2840">
      <formula xml:space="preserve"> AND(#REF!="gg",$A769 = "end group")</formula>
    </cfRule>
    <cfRule type="expression" dxfId="8494" priority="2837">
      <formula>AND(#REF!="section",$A769="begin group")</formula>
    </cfRule>
  </conditionalFormatting>
  <conditionalFormatting sqref="A770">
    <cfRule type="expression" dxfId="8493" priority="2847">
      <formula>AND(#REF!="section",$A770="begin group")</formula>
    </cfRule>
    <cfRule type="expression" dxfId="8492" priority="2848">
      <formula>AND(#REF! = "section",$A770 = "end group")</formula>
    </cfRule>
    <cfRule type="expression" dxfId="8491" priority="2849">
      <formula xml:space="preserve"> $A770 = "begin group"</formula>
    </cfRule>
    <cfRule type="expression" dxfId="8490" priority="2850">
      <formula xml:space="preserve"> AND(#REF!="gg",$A770 = "end group")</formula>
    </cfRule>
  </conditionalFormatting>
  <conditionalFormatting sqref="A771">
    <cfRule type="expression" dxfId="8489" priority="2899">
      <formula xml:space="preserve"> $A771 = "begin group"</formula>
    </cfRule>
    <cfRule type="expression" dxfId="8488" priority="2900">
      <formula xml:space="preserve"> AND(#REF!="gg",$A771 = "end group")</formula>
    </cfRule>
    <cfRule type="expression" dxfId="8487" priority="2897">
      <formula>AND(#REF!="section",$A771="begin group")</formula>
    </cfRule>
    <cfRule type="expression" dxfId="8486" priority="2898">
      <formula>AND(#REF! = "section",$A771 = "end group")</formula>
    </cfRule>
  </conditionalFormatting>
  <conditionalFormatting sqref="A772">
    <cfRule type="expression" dxfId="8485" priority="2907">
      <formula>AND(#REF!="section",$A772="begin group")</formula>
    </cfRule>
    <cfRule type="expression" dxfId="8484" priority="2908">
      <formula>AND(#REF! = "section",$A772 = "end group")</formula>
    </cfRule>
    <cfRule type="expression" dxfId="8483" priority="2909">
      <formula xml:space="preserve"> $A772 = "begin group"</formula>
    </cfRule>
    <cfRule type="expression" dxfId="8482" priority="2910">
      <formula xml:space="preserve"> AND(#REF!="gg",$A772 = "end group")</formula>
    </cfRule>
  </conditionalFormatting>
  <conditionalFormatting sqref="A773">
    <cfRule type="expression" dxfId="8481" priority="2918">
      <formula>AND(#REF! = "section",$A773 = "end group")</formula>
    </cfRule>
    <cfRule type="expression" dxfId="8480" priority="2919">
      <formula xml:space="preserve"> $A773 = "begin group"</formula>
    </cfRule>
    <cfRule type="expression" dxfId="8479" priority="2917">
      <formula>AND(#REF!="section",$A773="begin group")</formula>
    </cfRule>
    <cfRule type="expression" dxfId="8478" priority="2920">
      <formula xml:space="preserve"> AND(#REF!="gg",$A773 = "end group")</formula>
    </cfRule>
  </conditionalFormatting>
  <conditionalFormatting sqref="A774">
    <cfRule type="expression" dxfId="8477" priority="2928">
      <formula>AND(#REF! = "section",$A774 = "end group")</formula>
    </cfRule>
    <cfRule type="expression" dxfId="8476" priority="2929">
      <formula xml:space="preserve"> $A774 = "begin group"</formula>
    </cfRule>
    <cfRule type="expression" dxfId="8475" priority="2930">
      <formula xml:space="preserve"> AND(#REF!="gg",$A774 = "end group")</formula>
    </cfRule>
    <cfRule type="expression" dxfId="8474" priority="2927">
      <formula>AND(#REF!="section",$A774="begin group")</formula>
    </cfRule>
  </conditionalFormatting>
  <conditionalFormatting sqref="A775">
    <cfRule type="expression" dxfId="8473" priority="2979">
      <formula xml:space="preserve"> $A775 = "begin group"</formula>
    </cfRule>
    <cfRule type="expression" dxfId="8472" priority="2978">
      <formula>AND(#REF! = "section",$A775 = "end group")</formula>
    </cfRule>
    <cfRule type="expression" dxfId="8471" priority="2977">
      <formula>AND(#REF!="section",$A775="begin group")</formula>
    </cfRule>
    <cfRule type="expression" dxfId="8470" priority="2980">
      <formula xml:space="preserve"> AND(#REF!="gg",$A775 = "end group")</formula>
    </cfRule>
  </conditionalFormatting>
  <conditionalFormatting sqref="A776">
    <cfRule type="expression" dxfId="8469" priority="2990">
      <formula xml:space="preserve"> AND(#REF!="gg",$A776 = "end group")</formula>
    </cfRule>
    <cfRule type="expression" dxfId="8468" priority="2989">
      <formula xml:space="preserve"> $A776 = "begin group"</formula>
    </cfRule>
    <cfRule type="expression" dxfId="8467" priority="2988">
      <formula>AND(#REF! = "section",$A776 = "end group")</formula>
    </cfRule>
    <cfRule type="expression" dxfId="8466" priority="2987">
      <formula>AND(#REF!="section",$A776="begin group")</formula>
    </cfRule>
  </conditionalFormatting>
  <conditionalFormatting sqref="A777">
    <cfRule type="expression" dxfId="8465" priority="2998">
      <formula>AND(#REF! = "section",$A777 = "end group")</formula>
    </cfRule>
    <cfRule type="expression" dxfId="8464" priority="2997">
      <formula>AND(#REF!="section",$A777="begin group")</formula>
    </cfRule>
    <cfRule type="expression" dxfId="8463" priority="3000">
      <formula xml:space="preserve"> AND(#REF!="gg",$A777 = "end group")</formula>
    </cfRule>
    <cfRule type="expression" dxfId="8462" priority="2999">
      <formula xml:space="preserve"> $A777 = "begin group"</formula>
    </cfRule>
  </conditionalFormatting>
  <conditionalFormatting sqref="A778">
    <cfRule type="expression" dxfId="8461" priority="3010">
      <formula xml:space="preserve"> AND(#REF!="gg",$A778 = "end group")</formula>
    </cfRule>
    <cfRule type="expression" dxfId="8460" priority="3009">
      <formula xml:space="preserve"> $A778 = "begin group"</formula>
    </cfRule>
    <cfRule type="expression" dxfId="8459" priority="3008">
      <formula>AND(#REF! = "section",$A778 = "end group")</formula>
    </cfRule>
    <cfRule type="expression" dxfId="8458" priority="3007">
      <formula>AND(#REF!="section",$A778="begin group")</formula>
    </cfRule>
  </conditionalFormatting>
  <conditionalFormatting sqref="A779">
    <cfRule type="expression" dxfId="8457" priority="2939">
      <formula xml:space="preserve"> $A779 = "begin group"</formula>
    </cfRule>
    <cfRule type="expression" dxfId="8456" priority="2940">
      <formula xml:space="preserve"> AND(#REF!="gg",$A779 = "end group")</formula>
    </cfRule>
    <cfRule type="expression" dxfId="8455" priority="2937">
      <formula>AND(#REF!="section",$A779="begin group")</formula>
    </cfRule>
    <cfRule type="expression" dxfId="8454" priority="2938">
      <formula>AND(#REF! = "section",$A779 = "end group")</formula>
    </cfRule>
  </conditionalFormatting>
  <conditionalFormatting sqref="A780">
    <cfRule type="expression" dxfId="8453" priority="2950">
      <formula xml:space="preserve"> AND(#REF!="gg",$A780 = "end group")</formula>
    </cfRule>
    <cfRule type="expression" dxfId="8452" priority="2949">
      <formula xml:space="preserve"> $A780 = "begin group"</formula>
    </cfRule>
    <cfRule type="expression" dxfId="8451" priority="2948">
      <formula>AND(#REF! = "section",$A780 = "end group")</formula>
    </cfRule>
    <cfRule type="expression" dxfId="8450" priority="2947">
      <formula>AND(#REF!="section",$A780="begin group")</formula>
    </cfRule>
  </conditionalFormatting>
  <conditionalFormatting sqref="A781">
    <cfRule type="expression" dxfId="8449" priority="2958">
      <formula>AND(#REF! = "section",$A781 = "end group")</formula>
    </cfRule>
    <cfRule type="expression" dxfId="8448" priority="2960">
      <formula xml:space="preserve"> AND(#REF!="gg",$A781 = "end group")</formula>
    </cfRule>
    <cfRule type="expression" dxfId="8447" priority="2959">
      <formula xml:space="preserve"> $A781 = "begin group"</formula>
    </cfRule>
    <cfRule type="expression" dxfId="8446" priority="2957">
      <formula>AND(#REF!="section",$A781="begin group")</formula>
    </cfRule>
  </conditionalFormatting>
  <conditionalFormatting sqref="A782">
    <cfRule type="expression" dxfId="8445" priority="2969">
      <formula xml:space="preserve"> $A782 = "begin group"</formula>
    </cfRule>
    <cfRule type="expression" dxfId="8444" priority="2968">
      <formula>AND(#REF! = "section",$A782 = "end group")</formula>
    </cfRule>
    <cfRule type="expression" dxfId="8443" priority="2970">
      <formula xml:space="preserve"> AND(#REF!="gg",$A782 = "end group")</formula>
    </cfRule>
    <cfRule type="expression" dxfId="8442" priority="2967">
      <formula>AND(#REF!="section",$A782="begin group")</formula>
    </cfRule>
  </conditionalFormatting>
  <conditionalFormatting sqref="A783">
    <cfRule type="expression" dxfId="8441" priority="3020">
      <formula xml:space="preserve"> AND(#REF!="gg",$A783 = "end group")</formula>
    </cfRule>
    <cfRule type="expression" dxfId="8440" priority="3017">
      <formula>AND(#REF!="section",$A783="begin group")</formula>
    </cfRule>
    <cfRule type="expression" dxfId="8439" priority="3018">
      <formula>AND(#REF! = "section",$A783 = "end group")</formula>
    </cfRule>
    <cfRule type="expression" dxfId="8438" priority="3019">
      <formula xml:space="preserve"> $A783 = "begin group"</formula>
    </cfRule>
  </conditionalFormatting>
  <conditionalFormatting sqref="A784:A787">
    <cfRule type="expression" dxfId="8437" priority="3030">
      <formula xml:space="preserve"> AND(#REF!="gg",$A784 = "end group")</formula>
    </cfRule>
    <cfRule type="expression" dxfId="8436" priority="3029">
      <formula xml:space="preserve"> $A784 = "begin group"</formula>
    </cfRule>
    <cfRule type="expression" dxfId="8435" priority="3028">
      <formula>AND(#REF! = "section",$A784 = "end group")</formula>
    </cfRule>
    <cfRule type="expression" dxfId="8434" priority="3027">
      <formula>AND(#REF!="section",$A784="begin group")</formula>
    </cfRule>
  </conditionalFormatting>
  <conditionalFormatting sqref="A800:A801 M800:W801 I800:I801 K800:K801 M578:W579 I578:I579 A578:A579 D578:D579 K578:K579 K636">
    <cfRule type="expression" dxfId="8433" priority="2773">
      <formula xml:space="preserve"> AND($J583="gg",$A578 = "end group")</formula>
    </cfRule>
    <cfRule type="expression" dxfId="8432" priority="2772">
      <formula xml:space="preserve"> $A578 = "begin group"</formula>
    </cfRule>
    <cfRule type="expression" dxfId="8431" priority="2771">
      <formula>AND($J583 = "section",$A578 = "end group")</formula>
    </cfRule>
    <cfRule type="expression" dxfId="8430" priority="2770">
      <formula>AND($J583="section",$A578="begin group")</formula>
    </cfRule>
  </conditionalFormatting>
  <conditionalFormatting sqref="A802:A806 M802:W806 I802:I806 K802:K806">
    <cfRule type="expression" dxfId="8429" priority="2774">
      <formula>AND($J800="section",$A802="begin group")</formula>
    </cfRule>
    <cfRule type="expression" dxfId="8428" priority="2777">
      <formula xml:space="preserve"> AND($J800="gg",$A802 = "end group")</formula>
    </cfRule>
    <cfRule type="expression" dxfId="8427" priority="2776">
      <formula xml:space="preserve"> $A802 = "begin group"</formula>
    </cfRule>
    <cfRule type="expression" dxfId="8426" priority="2775">
      <formula>AND($J800 = "section",$A802 = "end group")</formula>
    </cfRule>
  </conditionalFormatting>
  <conditionalFormatting sqref="A852 D852 J852">
    <cfRule type="expression" dxfId="8425" priority="27">
      <formula>AND($J852 = "section",$A852 = "end group")</formula>
    </cfRule>
  </conditionalFormatting>
  <conditionalFormatting sqref="A852 J852 D852">
    <cfRule type="expression" dxfId="8424" priority="28">
      <formula xml:space="preserve"> $A852 = "begin group"</formula>
    </cfRule>
    <cfRule type="expression" dxfId="8423" priority="29">
      <formula xml:space="preserve"> AND($J852="gg",$A852 = "end group")</formula>
    </cfRule>
    <cfRule type="expression" dxfId="8422" priority="26">
      <formula>AND($J852="section",$A852="begin group")</formula>
    </cfRule>
  </conditionalFormatting>
  <conditionalFormatting sqref="A854:A856 I854:I856 L854:W856 K984:K985">
    <cfRule type="expression" dxfId="8421" priority="1040">
      <formula xml:space="preserve"> $A878 = "end repeat"</formula>
    </cfRule>
    <cfRule type="expression" dxfId="8420" priority="1039">
      <formula>$A854 = "begin repeat"</formula>
    </cfRule>
    <cfRule type="expression" dxfId="8419" priority="1038">
      <formula>AND($U$1="disabled",$U854="yes")</formula>
    </cfRule>
  </conditionalFormatting>
  <conditionalFormatting sqref="A857 I857 L857:W857">
    <cfRule type="expression" dxfId="8418" priority="1037">
      <formula xml:space="preserve"> $A880 = "end repeat"</formula>
    </cfRule>
    <cfRule type="expression" dxfId="8417" priority="1036">
      <formula>$A857 = "begin repeat"</formula>
    </cfRule>
    <cfRule type="expression" dxfId="8416" priority="1035">
      <formula>AND($U$1="disabled",$U857="yes")</formula>
    </cfRule>
  </conditionalFormatting>
  <conditionalFormatting sqref="A858 I858 A862 I862 R841:R842 K843:W845 I874 I877 L858:W858 L862:W862 M841:Q841 S841:W841 I843:I849 L909:W952 A909:A954 M953:W954 L846:W849 B955:B956 L888:L889 G843 M961:W961 K961 K958:W960 M969:W969 B1001 K1011 L1003:W1014 A993 D993 M993:W993 H993:I993 A1017:B1018 M1015:W1018 A1003:A1016 S1001:W1001 M1001:Q1001 G1002 D1003:D1018 H1003:I1016 H966:I966 K962:W966 A968:D968 H968:W968 J1004:J1016 R957 J957:J966 D999 H999:I999 M999:W999 K999 G957 A962:D966 C1004:C1018 B1005:B1016 A958:D960 A999 K1015:K1016 F966 F968 A961:E961 E1017:K1018 G961 I958:I965 E971 E969 B957:E957 F972:F999 E1002 F1003:F1016 E841:E843 F947:F948 H947:H948 A843:A853 K846:K856 C843:D954">
    <cfRule type="expression" dxfId="8415" priority="1087">
      <formula>$A841 = "begin repeat"</formula>
    </cfRule>
    <cfRule type="expression" dxfId="8414" priority="1086">
      <formula>AND($U$1="disabled",$U841="yes")</formula>
    </cfRule>
    <cfRule type="expression" dxfId="8413" priority="1088">
      <formula xml:space="preserve"> #REF! = "end repeat"</formula>
    </cfRule>
  </conditionalFormatting>
  <conditionalFormatting sqref="A859:A861 I859:I861 L859:W861">
    <cfRule type="expression" dxfId="8412" priority="1078">
      <formula>$A859 = "begin repeat"</formula>
    </cfRule>
    <cfRule type="expression" dxfId="8411" priority="1079">
      <formula xml:space="preserve"> $A866 = "end repeat"</formula>
    </cfRule>
    <cfRule type="expression" dxfId="8410" priority="1077">
      <formula>AND($U$1="disabled",$U859="yes")</formula>
    </cfRule>
  </conditionalFormatting>
  <conditionalFormatting sqref="A908">
    <cfRule type="expression" dxfId="8409" priority="90">
      <formula xml:space="preserve"> $A986 = "end repeat"</formula>
    </cfRule>
    <cfRule type="expression" dxfId="8408" priority="89">
      <formula>$A908 = "begin repeat"</formula>
    </cfRule>
    <cfRule type="expression" dxfId="8407" priority="88">
      <formula>AND($U$1="disabled",$U908="yes")</formula>
    </cfRule>
  </conditionalFormatting>
  <conditionalFormatting sqref="A912 L912 M909:N915 P909:P915 R909:W915">
    <cfRule type="expression" dxfId="8406" priority="1194">
      <formula>AND(#REF!="section",$A909="begin group")</formula>
    </cfRule>
    <cfRule type="expression" dxfId="8405" priority="1195">
      <formula>AND(#REF! = "section",$A909 = "end group")</formula>
    </cfRule>
    <cfRule type="expression" dxfId="8404" priority="1196">
      <formula xml:space="preserve"> $A909 = "begin group"</formula>
    </cfRule>
    <cfRule type="expression" dxfId="8403" priority="1197">
      <formula xml:space="preserve"> AND(#REF!="gg",$A909 = "end group")</formula>
    </cfRule>
  </conditionalFormatting>
  <conditionalFormatting sqref="A913:A915">
    <cfRule type="expression" dxfId="8402" priority="1204">
      <formula>AND(#REF! = "section",$A913 = "end group")</formula>
    </cfRule>
    <cfRule type="expression" dxfId="8401" priority="1205">
      <formula xml:space="preserve"> $A913 = "begin group"</formula>
    </cfRule>
    <cfRule type="expression" dxfId="8400" priority="1206">
      <formula xml:space="preserve"> AND(#REF!="gg",$A913 = "end group")</formula>
    </cfRule>
    <cfRule type="expression" dxfId="8399" priority="1203">
      <formula>AND(#REF!="section",$A913="begin group")</formula>
    </cfRule>
  </conditionalFormatting>
  <conditionalFormatting sqref="A916:A924 A909:A911">
    <cfRule type="expression" dxfId="8398" priority="1211">
      <formula>AND(#REF!="section",$A909="begin group")</formula>
    </cfRule>
    <cfRule type="expression" dxfId="8397" priority="1213">
      <formula xml:space="preserve"> $A909 = "begin group"</formula>
    </cfRule>
    <cfRule type="expression" dxfId="8396" priority="1212">
      <formula>AND(#REF! = "section",$A909 = "end group")</formula>
    </cfRule>
    <cfRule type="expression" dxfId="8395" priority="1214">
      <formula xml:space="preserve"> AND(#REF!="gg",$A909 = "end group")</formula>
    </cfRule>
  </conditionalFormatting>
  <conditionalFormatting sqref="A925:A927 L925:L927 M916:N924 P916:P924 R916:W924 L929:L942 O909:O942 Q909:Q942 A929:A942 A957 K957:N957 H957:I957 A1002 K1002:N1002 A1000:B1000 K1000:N1000 D1000 H1002:I1002 G1000:I1000">
    <cfRule type="expression" dxfId="8394" priority="1278">
      <formula xml:space="preserve"> AND(#REF!="gg",$A909 = "end group")</formula>
    </cfRule>
    <cfRule type="expression" dxfId="8393" priority="1276">
      <formula>AND(#REF! = "section",$A909 = "end group")</formula>
    </cfRule>
    <cfRule type="expression" dxfId="8392" priority="1275">
      <formula>AND(#REF!="section",$A909="begin group")</formula>
    </cfRule>
    <cfRule type="expression" dxfId="8391" priority="1277">
      <formula xml:space="preserve"> $A909 = "begin group"</formula>
    </cfRule>
  </conditionalFormatting>
  <conditionalFormatting sqref="A928 L928">
    <cfRule type="expression" dxfId="8390" priority="1264">
      <formula xml:space="preserve"> $A928 = "begin group"</formula>
    </cfRule>
    <cfRule type="expression" dxfId="8389" priority="1262">
      <formula>AND(#REF!="section",$A928="begin group")</formula>
    </cfRule>
    <cfRule type="expression" dxfId="8388" priority="1263">
      <formula>AND(#REF! = "section",$A928 = "end group")</formula>
    </cfRule>
    <cfRule type="expression" dxfId="8387" priority="1265">
      <formula xml:space="preserve"> AND(#REF!="gg",$A928 = "end group")</formula>
    </cfRule>
  </conditionalFormatting>
  <conditionalFormatting sqref="A971 K971:W971 D1002 B985 J985 C1005 C1007 G969 C971:D971 D969 F971:I971 M842:W842 G842:G843 E842:E843 R1001:R1002 J996:J999 C1000:C1003 B842:B954 J842:J852 F844:F852 H844:H852">
    <cfRule type="expression" dxfId="8386" priority="1065">
      <formula>AND($U$1="disabled",$U842="yes")</formula>
    </cfRule>
    <cfRule type="expression" dxfId="8385" priority="1066">
      <formula>$A842 = "begin repeat"</formula>
    </cfRule>
    <cfRule type="expression" dxfId="8384" priority="1067">
      <formula xml:space="preserve"> $A853 = "end repeat"</formula>
    </cfRule>
  </conditionalFormatting>
  <conditionalFormatting sqref="A986:A990 D986:D990 H986:I990 M986:W990 D983:D984 H983:W984 A983:A984">
    <cfRule type="expression" dxfId="8383" priority="1076">
      <formula xml:space="preserve"> $A1000 = "end repeat"</formula>
    </cfRule>
    <cfRule type="expression" dxfId="8382" priority="1075">
      <formula>$A983 = "begin repeat"</formula>
    </cfRule>
    <cfRule type="expression" dxfId="8381" priority="1074">
      <formula>AND($U$1="disabled",$U983="yes")</formula>
    </cfRule>
  </conditionalFormatting>
  <conditionalFormatting sqref="A991:A992 D991:D992 M991:W992 H991:I992">
    <cfRule type="expression" dxfId="8380" priority="876">
      <formula>AND($U$1="disabled",$U991="yes")</formula>
    </cfRule>
    <cfRule type="expression" dxfId="8379" priority="878">
      <formula xml:space="preserve"> $A1017 = "end repeat"</formula>
    </cfRule>
    <cfRule type="expression" dxfId="8378" priority="877">
      <formula>$A991 = "begin repeat"</formula>
    </cfRule>
  </conditionalFormatting>
  <conditionalFormatting sqref="A994:A995 H994:I995 K994:K995 D994:D995 M994:W995">
    <cfRule type="expression" dxfId="8377" priority="713">
      <formula xml:space="preserve"> $A963 = "end repeat"</formula>
    </cfRule>
    <cfRule type="expression" dxfId="8376" priority="712">
      <formula>$A994 = "begin repeat"</formula>
    </cfRule>
    <cfRule type="expression" dxfId="8375" priority="711">
      <formula>AND($U$1="disabled",$U994="yes")</formula>
    </cfRule>
  </conditionalFormatting>
  <conditionalFormatting sqref="A996:A997 D996:D997 H996:I997 M996:W997 K996:K997">
    <cfRule type="expression" dxfId="8374" priority="716">
      <formula xml:space="preserve"> $A964 = "end repeat"</formula>
    </cfRule>
    <cfRule type="expression" dxfId="8373" priority="715">
      <formula>$A996 = "begin repeat"</formula>
    </cfRule>
    <cfRule type="expression" dxfId="8372" priority="714">
      <formula>AND($U$1="disabled",$U996="yes")</formula>
    </cfRule>
  </conditionalFormatting>
  <conditionalFormatting sqref="A998 D998 H998:I998 M998:W998 K998">
    <cfRule type="expression" dxfId="8371" priority="680">
      <formula>AND($U$1="disabled",$U998="yes")</formula>
    </cfRule>
    <cfRule type="expression" dxfId="8370" priority="682">
      <formula xml:space="preserve"> $A962 = "end repeat"</formula>
    </cfRule>
    <cfRule type="expression" dxfId="8369" priority="681">
      <formula>$A998 = "begin repeat"</formula>
    </cfRule>
  </conditionalFormatting>
  <conditionalFormatting sqref="A24:B24">
    <cfRule type="expression" dxfId="8368" priority="28567">
      <formula>$A24="begin group"</formula>
    </cfRule>
    <cfRule type="expression" dxfId="8367" priority="28568">
      <formula>$A24 ="end group"</formula>
    </cfRule>
    <cfRule type="expression" dxfId="8366" priority="28569">
      <formula>$A24="begin repeat"</formula>
    </cfRule>
    <cfRule type="expression" dxfId="8365" priority="28570">
      <formula>$A24="end repeat"</formula>
    </cfRule>
    <cfRule type="expression" dxfId="8364" priority="28571">
      <formula>AND($M$1 = "disabled",#REF!= "yes")</formula>
    </cfRule>
  </conditionalFormatting>
  <conditionalFormatting sqref="A41:B41 A51:B51 D51 D41 L41:W41 L51:W51 I41 I51 I66:I69 L66:W69 V150:W151 T150:T151 J118:J122 B118:B122 B210 B134:B182 J202:J204 B202:B204">
    <cfRule type="expression" dxfId="8363" priority="8567">
      <formula>$A41 = "begin repeat"</formula>
    </cfRule>
    <cfRule type="expression" dxfId="8362" priority="8568">
      <formula xml:space="preserve"> $A50 = "end repeat"</formula>
    </cfRule>
    <cfRule type="expression" dxfId="8361" priority="8566">
      <formula>AND($U$1="disabled",$U41="yes")</formula>
    </cfRule>
  </conditionalFormatting>
  <conditionalFormatting sqref="A43:B43 A50:B50 D50 D43 L43:W43 L50:W50 I43 I50 G124 K127:W127 K115 A127:I127 I62:I65 L62:W65 N44 B124:B126 J124:J126 M210:W210">
    <cfRule type="expression" dxfId="8360" priority="8560">
      <formula>AND($U$1="disabled",$U43="yes")</formula>
    </cfRule>
    <cfRule type="expression" dxfId="8359" priority="8561">
      <formula>$A43 = "begin repeat"</formula>
    </cfRule>
    <cfRule type="expression" dxfId="8358" priority="8562">
      <formula xml:space="preserve"> $A51 = "end repeat"</formula>
    </cfRule>
  </conditionalFormatting>
  <conditionalFormatting sqref="A306:B311">
    <cfRule type="expression" dxfId="8357" priority="7231">
      <formula>AND($J306 = "section",$A306 = "end group")</formula>
    </cfRule>
    <cfRule type="expression" dxfId="8356" priority="7230">
      <formula>AND($J306="section",$A306="begin group")</formula>
    </cfRule>
  </conditionalFormatting>
  <conditionalFormatting sqref="A323:B323 M323:W323 I323:K323 D323">
    <cfRule type="expression" dxfId="8355" priority="7003">
      <formula xml:space="preserve"> AND($J323="gg",$A323 = "end group")</formula>
    </cfRule>
    <cfRule type="expression" dxfId="8354" priority="7002">
      <formula xml:space="preserve"> $A323 = "begin group"</formula>
    </cfRule>
  </conditionalFormatting>
  <conditionalFormatting sqref="A340:B340 M340:W340 I340:K340 D340">
    <cfRule type="expression" dxfId="8353" priority="7078">
      <formula xml:space="preserve"> AND($J340="gg",$A340 = "end group")</formula>
    </cfRule>
    <cfRule type="expression" dxfId="8352" priority="7077">
      <formula xml:space="preserve"> $A340 = "begin group"</formula>
    </cfRule>
  </conditionalFormatting>
  <conditionalFormatting sqref="A341:B341 M341:W341 I341:K341 D341">
    <cfRule type="expression" dxfId="8351" priority="7057">
      <formula xml:space="preserve"> $A341 = "begin group"</formula>
    </cfRule>
    <cfRule type="expression" dxfId="8350" priority="7058">
      <formula xml:space="preserve"> AND($J341="gg",$A341 = "end group")</formula>
    </cfRule>
  </conditionalFormatting>
  <conditionalFormatting sqref="A342:B344 M342:W344 I342:K344 D342:D344">
    <cfRule type="expression" dxfId="8349" priority="7040">
      <formula xml:space="preserve"> $A342 = "begin group"</formula>
    </cfRule>
    <cfRule type="expression" dxfId="8348" priority="7041">
      <formula xml:space="preserve"> AND($J342="gg",$A342 = "end group")</formula>
    </cfRule>
  </conditionalFormatting>
  <conditionalFormatting sqref="A351:B351 M351:W351 D351">
    <cfRule type="expression" dxfId="8347" priority="6969">
      <formula>AND(#REF!="section",$A351="begin group")</formula>
    </cfRule>
    <cfRule type="expression" dxfId="8346" priority="6970">
      <formula>AND(#REF! = "section",$A351 = "end group")</formula>
    </cfRule>
    <cfRule type="expression" dxfId="8345" priority="6971">
      <formula xml:space="preserve"> $A351 = "begin group"</formula>
    </cfRule>
    <cfRule type="expression" dxfId="8344" priority="6972">
      <formula xml:space="preserve"> AND(#REF!="gg",$A351 = "end group")</formula>
    </cfRule>
  </conditionalFormatting>
  <conditionalFormatting sqref="A352:B352 D352 M352:W352">
    <cfRule type="expression" dxfId="8343" priority="7022">
      <formula>AND($J352="section",$A352="begin group")</formula>
    </cfRule>
    <cfRule type="expression" dxfId="8342" priority="7023">
      <formula>AND($J352 = "section",$A352 = "end group")</formula>
    </cfRule>
  </conditionalFormatting>
  <conditionalFormatting sqref="A352:B352 M352:W352 I352 K352 D352">
    <cfRule type="expression" dxfId="8341" priority="7024">
      <formula xml:space="preserve"> $A352 = "begin group"</formula>
    </cfRule>
    <cfRule type="expression" dxfId="8340" priority="7025">
      <formula xml:space="preserve"> AND($J352="gg",$A352 = "end group")</formula>
    </cfRule>
  </conditionalFormatting>
  <conditionalFormatting sqref="A354:B354 M354:W354 D354">
    <cfRule type="expression" dxfId="8339" priority="6938">
      <formula xml:space="preserve"> AND(#REF!="gg",$A354 = "end group")</formula>
    </cfRule>
    <cfRule type="expression" dxfId="8338" priority="6935">
      <formula>AND(#REF!="section",$A354="begin group")</formula>
    </cfRule>
    <cfRule type="expression" dxfId="8337" priority="6936">
      <formula>AND(#REF! = "section",$A354 = "end group")</formula>
    </cfRule>
    <cfRule type="expression" dxfId="8336" priority="6937">
      <formula xml:space="preserve"> $A354 = "begin group"</formula>
    </cfRule>
  </conditionalFormatting>
  <conditionalFormatting sqref="A392:B392 I392:J392 D392">
    <cfRule type="expression" dxfId="8335" priority="6366">
      <formula>AND($J392 = "section",$A392 = "end group")</formula>
    </cfRule>
    <cfRule type="expression" dxfId="8334" priority="6365">
      <formula>AND($J392="section",$A392="begin group")</formula>
    </cfRule>
  </conditionalFormatting>
  <conditionalFormatting sqref="A394:B394">
    <cfRule type="expression" dxfId="8333" priority="5752">
      <formula>AND($J394 = "section",$A394 = "end group")</formula>
    </cfRule>
  </conditionalFormatting>
  <conditionalFormatting sqref="A395:B395">
    <cfRule type="expression" dxfId="8332" priority="5731">
      <formula>AND($J395 = "section",$A395 = "end group")</formula>
    </cfRule>
  </conditionalFormatting>
  <conditionalFormatting sqref="A396:B396 I396:J396 D396">
    <cfRule type="expression" dxfId="8331" priority="5988">
      <formula xml:space="preserve"> AND($J396="gg",$A396 = "end group")</formula>
    </cfRule>
    <cfRule type="expression" dxfId="8330" priority="5987">
      <formula xml:space="preserve"> $A396 = "begin group"</formula>
    </cfRule>
  </conditionalFormatting>
  <conditionalFormatting sqref="A396:B396">
    <cfRule type="expression" dxfId="8329" priority="5986">
      <formula>AND($J396 = "section",$A396 = "end group")</formula>
    </cfRule>
    <cfRule type="expression" dxfId="8328" priority="5985">
      <formula>AND($J396="section",$A396="begin group")</formula>
    </cfRule>
  </conditionalFormatting>
  <conditionalFormatting sqref="A397:B397 I397:J397 D397">
    <cfRule type="expression" dxfId="8327" priority="5717">
      <formula xml:space="preserve"> AND($J397="gg",$A397 = "end group")</formula>
    </cfRule>
    <cfRule type="expression" dxfId="8326" priority="5716">
      <formula xml:space="preserve"> $A397 = "begin group"</formula>
    </cfRule>
  </conditionalFormatting>
  <conditionalFormatting sqref="A397:B397">
    <cfRule type="expression" dxfId="8325" priority="5714">
      <formula>AND($J397="section",$A397="begin group")</formula>
    </cfRule>
    <cfRule type="expression" dxfId="8324" priority="5715">
      <formula>AND($J397 = "section",$A397 = "end group")</formula>
    </cfRule>
  </conditionalFormatting>
  <conditionalFormatting sqref="A398:B398 I398:J398 D398">
    <cfRule type="expression" dxfId="8323" priority="6320">
      <formula xml:space="preserve"> AND($J398="gg",$A398 = "end group")</formula>
    </cfRule>
    <cfRule type="expression" dxfId="8322" priority="6319">
      <formula xml:space="preserve"> $A398 = "begin group"</formula>
    </cfRule>
  </conditionalFormatting>
  <conditionalFormatting sqref="A398:B398">
    <cfRule type="expression" dxfId="8321" priority="6318">
      <formula>AND($J398 = "section",$A398 = "end group")</formula>
    </cfRule>
    <cfRule type="expression" dxfId="8320" priority="6317">
      <formula>AND($J398="section",$A398="begin group")</formula>
    </cfRule>
  </conditionalFormatting>
  <conditionalFormatting sqref="A399:B399 I399:J399 D399">
    <cfRule type="expression" dxfId="8319" priority="6288">
      <formula xml:space="preserve"> $A399 = "begin group"</formula>
    </cfRule>
    <cfRule type="expression" dxfId="8318" priority="6289">
      <formula xml:space="preserve"> AND($J399="gg",$A399 = "end group")</formula>
    </cfRule>
  </conditionalFormatting>
  <conditionalFormatting sqref="A399:B399">
    <cfRule type="expression" dxfId="8317" priority="6286">
      <formula>AND($J399="section",$A399="begin group")</formula>
    </cfRule>
    <cfRule type="expression" dxfId="8316" priority="6287">
      <formula>AND($J399 = "section",$A399 = "end group")</formula>
    </cfRule>
  </conditionalFormatting>
  <conditionalFormatting sqref="A400:B400 I400:J400 D400">
    <cfRule type="expression" dxfId="8315" priority="6257">
      <formula xml:space="preserve"> $A400 = "begin group"</formula>
    </cfRule>
    <cfRule type="expression" dxfId="8314" priority="6258">
      <formula xml:space="preserve"> AND($J400="gg",$A400 = "end group")</formula>
    </cfRule>
  </conditionalFormatting>
  <conditionalFormatting sqref="A400:B400">
    <cfRule type="expression" dxfId="8313" priority="6255">
      <formula>AND($J400="section",$A400="begin group")</formula>
    </cfRule>
    <cfRule type="expression" dxfId="8312" priority="6256">
      <formula>AND($J400 = "section",$A400 = "end group")</formula>
    </cfRule>
  </conditionalFormatting>
  <conditionalFormatting sqref="A401:B401 I401:J401 D401">
    <cfRule type="expression" dxfId="8311" priority="3444">
      <formula xml:space="preserve"> AND($J401="gg",$A401 = "end group")</formula>
    </cfRule>
    <cfRule type="expression" dxfId="8310" priority="3443">
      <formula xml:space="preserve"> $A401 = "begin group"</formula>
    </cfRule>
  </conditionalFormatting>
  <conditionalFormatting sqref="A401:B401">
    <cfRule type="expression" dxfId="8309" priority="3442">
      <formula>AND($J401 = "section",$A401 = "end group")</formula>
    </cfRule>
    <cfRule type="expression" dxfId="8308" priority="3441">
      <formula>AND($J401="section",$A401="begin group")</formula>
    </cfRule>
  </conditionalFormatting>
  <conditionalFormatting sqref="A402:B402 I402:J402 D402">
    <cfRule type="expression" dxfId="8307" priority="3409">
      <formula xml:space="preserve"> $A402 = "begin group"</formula>
    </cfRule>
    <cfRule type="expression" dxfId="8306" priority="3410">
      <formula xml:space="preserve"> AND($J402="gg",$A402 = "end group")</formula>
    </cfRule>
  </conditionalFormatting>
  <conditionalFormatting sqref="A402:B402">
    <cfRule type="expression" dxfId="8305" priority="3407">
      <formula>AND($J402="section",$A402="begin group")</formula>
    </cfRule>
    <cfRule type="expression" dxfId="8304" priority="3408">
      <formula>AND($J402 = "section",$A402 = "end group")</formula>
    </cfRule>
  </conditionalFormatting>
  <conditionalFormatting sqref="A403:B403 I403:J403 D403">
    <cfRule type="expression" dxfId="8303" priority="5954">
      <formula xml:space="preserve"> AND($J403="gg",$A403 = "end group")</formula>
    </cfRule>
    <cfRule type="expression" dxfId="8302" priority="5953">
      <formula xml:space="preserve"> $A403 = "begin group"</formula>
    </cfRule>
  </conditionalFormatting>
  <conditionalFormatting sqref="A403:B403">
    <cfRule type="expression" dxfId="8301" priority="5952">
      <formula>AND($J403 = "section",$A403 = "end group")</formula>
    </cfRule>
    <cfRule type="expression" dxfId="8300" priority="5951">
      <formula>AND($J403="section",$A403="begin group")</formula>
    </cfRule>
  </conditionalFormatting>
  <conditionalFormatting sqref="A404:B404 I404:J404 D404">
    <cfRule type="expression" dxfId="8299" priority="5792">
      <formula xml:space="preserve"> $A404 = "begin group"</formula>
    </cfRule>
    <cfRule type="expression" dxfId="8298" priority="5793">
      <formula xml:space="preserve"> AND($J404="gg",$A404 = "end group")</formula>
    </cfRule>
  </conditionalFormatting>
  <conditionalFormatting sqref="A404:B404">
    <cfRule type="expression" dxfId="8297" priority="5791">
      <formula>AND($J404 = "section",$A404 = "end group")</formula>
    </cfRule>
    <cfRule type="expression" dxfId="8296" priority="5790">
      <formula>AND($J404="section",$A404="begin group")</formula>
    </cfRule>
  </conditionalFormatting>
  <conditionalFormatting sqref="A405:B405 I405:J405 D405">
    <cfRule type="expression" dxfId="8295" priority="6227">
      <formula xml:space="preserve"> AND($J405="gg",$A405 = "end group")</formula>
    </cfRule>
    <cfRule type="expression" dxfId="8294" priority="6226">
      <formula xml:space="preserve"> $A405 = "begin group"</formula>
    </cfRule>
  </conditionalFormatting>
  <conditionalFormatting sqref="A405:B405">
    <cfRule type="expression" dxfId="8293" priority="6225">
      <formula>AND($J405 = "section",$A405 = "end group")</formula>
    </cfRule>
    <cfRule type="expression" dxfId="8292" priority="6224">
      <formula>AND($J405="section",$A405="begin group")</formula>
    </cfRule>
  </conditionalFormatting>
  <conditionalFormatting sqref="A406:B406 I406:J406 D406">
    <cfRule type="expression" dxfId="8291" priority="6195">
      <formula xml:space="preserve"> $A406 = "begin group"</formula>
    </cfRule>
    <cfRule type="expression" dxfId="8290" priority="6196">
      <formula xml:space="preserve"> AND($J406="gg",$A406 = "end group")</formula>
    </cfRule>
  </conditionalFormatting>
  <conditionalFormatting sqref="A406:B406">
    <cfRule type="expression" dxfId="8289" priority="6193">
      <formula>AND($J406="section",$A406="begin group")</formula>
    </cfRule>
    <cfRule type="expression" dxfId="8288" priority="6194">
      <formula>AND($J406 = "section",$A406 = "end group")</formula>
    </cfRule>
  </conditionalFormatting>
  <conditionalFormatting sqref="A407:B407 I407:J407 D407">
    <cfRule type="expression" dxfId="8287" priority="5922">
      <formula xml:space="preserve"> $A407 = "begin group"</formula>
    </cfRule>
    <cfRule type="expression" dxfId="8286" priority="5923">
      <formula xml:space="preserve"> AND($J407="gg",$A407 = "end group")</formula>
    </cfRule>
  </conditionalFormatting>
  <conditionalFormatting sqref="A407:B407">
    <cfRule type="expression" dxfId="8285" priority="5920">
      <formula>AND($J407="section",$A407="begin group")</formula>
    </cfRule>
    <cfRule type="expression" dxfId="8284" priority="5921">
      <formula>AND($J407 = "section",$A407 = "end group")</formula>
    </cfRule>
  </conditionalFormatting>
  <conditionalFormatting sqref="A408:B408 I408:J408 D408">
    <cfRule type="expression" dxfId="8283" priority="5824">
      <formula xml:space="preserve"> AND($J408="gg",$A408 = "end group")</formula>
    </cfRule>
    <cfRule type="expression" dxfId="8282" priority="5823">
      <formula xml:space="preserve"> $A408 = "begin group"</formula>
    </cfRule>
  </conditionalFormatting>
  <conditionalFormatting sqref="A408:B408">
    <cfRule type="expression" dxfId="8281" priority="5822">
      <formula>AND($J408 = "section",$A408 = "end group")</formula>
    </cfRule>
    <cfRule type="expression" dxfId="8280" priority="5821">
      <formula>AND($J408="section",$A408="begin group")</formula>
    </cfRule>
  </conditionalFormatting>
  <conditionalFormatting sqref="A409:B409 I409:J409 D409">
    <cfRule type="expression" dxfId="8279" priority="5892">
      <formula xml:space="preserve"> AND($J409="gg",$A409 = "end group")</formula>
    </cfRule>
    <cfRule type="expression" dxfId="8278" priority="5891">
      <formula xml:space="preserve"> $A409 = "begin group"</formula>
    </cfRule>
  </conditionalFormatting>
  <conditionalFormatting sqref="A409:B409">
    <cfRule type="expression" dxfId="8277" priority="5889">
      <formula>AND($J409="section",$A409="begin group")</formula>
    </cfRule>
    <cfRule type="expression" dxfId="8276" priority="5890">
      <formula>AND($J409 = "section",$A409 = "end group")</formula>
    </cfRule>
  </conditionalFormatting>
  <conditionalFormatting sqref="A410:B410 I410:J410 D410">
    <cfRule type="expression" dxfId="8275" priority="6155">
      <formula xml:space="preserve"> $A410 = "begin group"</formula>
    </cfRule>
    <cfRule type="expression" dxfId="8274" priority="6156">
      <formula xml:space="preserve"> AND($J410="gg",$A410 = "end group")</formula>
    </cfRule>
  </conditionalFormatting>
  <conditionalFormatting sqref="A410:B410">
    <cfRule type="expression" dxfId="8273" priority="6153">
      <formula>AND($J410="section",$A410="begin group")</formula>
    </cfRule>
    <cfRule type="expression" dxfId="8272" priority="6154">
      <formula>AND($J410 = "section",$A410 = "end group")</formula>
    </cfRule>
  </conditionalFormatting>
  <conditionalFormatting sqref="A411:B411 I411:J411 D411">
    <cfRule type="expression" dxfId="8271" priority="6124">
      <formula xml:space="preserve"> $A411 = "begin group"</formula>
    </cfRule>
    <cfRule type="expression" dxfId="8270" priority="6125">
      <formula xml:space="preserve"> AND($J411="gg",$A411 = "end group")</formula>
    </cfRule>
  </conditionalFormatting>
  <conditionalFormatting sqref="A411:B411">
    <cfRule type="expression" dxfId="8269" priority="6122">
      <formula>AND($J411="section",$A411="begin group")</formula>
    </cfRule>
    <cfRule type="expression" dxfId="8268" priority="6123">
      <formula>AND($J411 = "section",$A411 = "end group")</formula>
    </cfRule>
  </conditionalFormatting>
  <conditionalFormatting sqref="A412:B412 I412:J412 D412">
    <cfRule type="expression" dxfId="8267" priority="5860">
      <formula xml:space="preserve"> $A412 = "begin group"</formula>
    </cfRule>
    <cfRule type="expression" dxfId="8266" priority="5861">
      <formula xml:space="preserve"> AND($J412="gg",$A412 = "end group")</formula>
    </cfRule>
  </conditionalFormatting>
  <conditionalFormatting sqref="A412:B412">
    <cfRule type="expression" dxfId="8265" priority="5859">
      <formula>AND($J412 = "section",$A412 = "end group")</formula>
    </cfRule>
    <cfRule type="expression" dxfId="8264" priority="5858">
      <formula>AND($J412="section",$A412="begin group")</formula>
    </cfRule>
  </conditionalFormatting>
  <conditionalFormatting sqref="A413:B413 I413:J413 D413">
    <cfRule type="expression" dxfId="8263" priority="5683">
      <formula xml:space="preserve"> AND($J413="gg",$A413 = "end group")</formula>
    </cfRule>
    <cfRule type="expression" dxfId="8262" priority="5682">
      <formula xml:space="preserve"> $A413 = "begin group"</formula>
    </cfRule>
  </conditionalFormatting>
  <conditionalFormatting sqref="A413:B413">
    <cfRule type="expression" dxfId="8261" priority="5680">
      <formula>AND($J413="section",$A413="begin group")</formula>
    </cfRule>
    <cfRule type="expression" dxfId="8260" priority="5681">
      <formula>AND($J413 = "section",$A413 = "end group")</formula>
    </cfRule>
  </conditionalFormatting>
  <conditionalFormatting sqref="A414:B414 I414:J414 D414">
    <cfRule type="expression" dxfId="8259" priority="6094">
      <formula xml:space="preserve"> AND($J414="gg",$A414 = "end group")</formula>
    </cfRule>
    <cfRule type="expression" dxfId="8258" priority="6093">
      <formula xml:space="preserve"> $A414 = "begin group"</formula>
    </cfRule>
  </conditionalFormatting>
  <conditionalFormatting sqref="A414:B414">
    <cfRule type="expression" dxfId="8257" priority="6091">
      <formula>AND($J414="section",$A414="begin group")</formula>
    </cfRule>
    <cfRule type="expression" dxfId="8256" priority="6092">
      <formula>AND($J414 = "section",$A414 = "end group")</formula>
    </cfRule>
  </conditionalFormatting>
  <conditionalFormatting sqref="A415:B415 I415:J415 D415">
    <cfRule type="expression" dxfId="8255" priority="6062">
      <formula xml:space="preserve"> $A415 = "begin group"</formula>
    </cfRule>
    <cfRule type="expression" dxfId="8254" priority="6063">
      <formula xml:space="preserve"> AND($J415="gg",$A415 = "end group")</formula>
    </cfRule>
  </conditionalFormatting>
  <conditionalFormatting sqref="A415:B415">
    <cfRule type="expression" dxfId="8253" priority="6061">
      <formula>AND($J415 = "section",$A415 = "end group")</formula>
    </cfRule>
    <cfRule type="expression" dxfId="8252" priority="6060">
      <formula>AND($J415="section",$A415="begin group")</formula>
    </cfRule>
  </conditionalFormatting>
  <conditionalFormatting sqref="A416:B416 D394:D416">
    <cfRule type="expression" dxfId="8251" priority="3371">
      <formula>AND($J394 = "section",$A394 = "end group")</formula>
    </cfRule>
    <cfRule type="expression" dxfId="8250" priority="3370">
      <formula>AND($J394="section",$A394="begin group")</formula>
    </cfRule>
  </conditionalFormatting>
  <conditionalFormatting sqref="A416:B416 I416:J416 D416">
    <cfRule type="expression" dxfId="8249" priority="3373">
      <formula xml:space="preserve"> AND($J416="gg",$A416 = "end group")</formula>
    </cfRule>
    <cfRule type="expression" dxfId="8248" priority="3372">
      <formula xml:space="preserve"> $A416 = "begin group"</formula>
    </cfRule>
  </conditionalFormatting>
  <conditionalFormatting sqref="A417:B417 I417:J417 D417">
    <cfRule type="expression" dxfId="8247" priority="3253">
      <formula xml:space="preserve"> AND($J417="gg",$A417 = "end group")</formula>
    </cfRule>
    <cfRule type="expression" dxfId="8246" priority="3252">
      <formula xml:space="preserve"> $A417 = "begin group"</formula>
    </cfRule>
  </conditionalFormatting>
  <conditionalFormatting sqref="A417:B417">
    <cfRule type="expression" dxfId="8245" priority="3250">
      <formula>AND($J417="section",$A417="begin group")</formula>
    </cfRule>
    <cfRule type="expression" dxfId="8244" priority="3251">
      <formula>AND($J417 = "section",$A417 = "end group")</formula>
    </cfRule>
  </conditionalFormatting>
  <conditionalFormatting sqref="A418:B418 D417:D420">
    <cfRule type="expression" dxfId="8243" priority="3219">
      <formula>AND($J417="section",$A417="begin group")</formula>
    </cfRule>
    <cfRule type="expression" dxfId="8242" priority="3220">
      <formula>AND($J417 = "section",$A417 = "end group")</formula>
    </cfRule>
  </conditionalFormatting>
  <conditionalFormatting sqref="A418:B418 I418:J418 D418">
    <cfRule type="expression" dxfId="8241" priority="3221">
      <formula xml:space="preserve"> $A418 = "begin group"</formula>
    </cfRule>
    <cfRule type="expression" dxfId="8240" priority="3222">
      <formula xml:space="preserve"> AND($J418="gg",$A418 = "end group")</formula>
    </cfRule>
  </conditionalFormatting>
  <conditionalFormatting sqref="A419:B419 I419:J419 D419">
    <cfRule type="expression" dxfId="8239" priority="3315">
      <formula xml:space="preserve"> AND($J419="gg",$A419 = "end group")</formula>
    </cfRule>
    <cfRule type="expression" dxfId="8238" priority="3314">
      <formula xml:space="preserve"> $A419 = "begin group"</formula>
    </cfRule>
  </conditionalFormatting>
  <conditionalFormatting sqref="A419:B419">
    <cfRule type="expression" dxfId="8237" priority="3312">
      <formula>AND($J419="section",$A419="begin group")</formula>
    </cfRule>
    <cfRule type="expression" dxfId="8236" priority="3313">
      <formula>AND($J419 = "section",$A419 = "end group")</formula>
    </cfRule>
  </conditionalFormatting>
  <conditionalFormatting sqref="A420:B420 I420:J420 D420">
    <cfRule type="expression" dxfId="8235" priority="3283">
      <formula xml:space="preserve"> $A420 = "begin group"</formula>
    </cfRule>
    <cfRule type="expression" dxfId="8234" priority="3284">
      <formula xml:space="preserve"> AND($J420="gg",$A420 = "end group")</formula>
    </cfRule>
  </conditionalFormatting>
  <conditionalFormatting sqref="A420:B420">
    <cfRule type="expression" dxfId="8233" priority="3281">
      <formula>AND($J420="section",$A420="begin group")</formula>
    </cfRule>
    <cfRule type="expression" dxfId="8232" priority="3282">
      <formula>AND($J420 = "section",$A420 = "end group")</formula>
    </cfRule>
  </conditionalFormatting>
  <conditionalFormatting sqref="A438:B447">
    <cfRule type="expression" dxfId="8231" priority="6509">
      <formula>AND($J438 = "section",$A438 = "end group")</formula>
    </cfRule>
    <cfRule type="expression" dxfId="8230" priority="6508">
      <formula>AND($J438="section",$A438="begin group")</formula>
    </cfRule>
  </conditionalFormatting>
  <conditionalFormatting sqref="A466:B466">
    <cfRule type="expression" dxfId="8229" priority="3728">
      <formula>AND($J466 = "section",$A466 = "end group")</formula>
    </cfRule>
    <cfRule type="expression" dxfId="8228" priority="3727">
      <formula>AND($J466="section",$A466="begin group")</formula>
    </cfRule>
  </conditionalFormatting>
  <conditionalFormatting sqref="A467:B467 D457:D467">
    <cfRule type="expression" dxfId="8227" priority="3689">
      <formula>AND($J457="section",$A457="begin group")</formula>
    </cfRule>
    <cfRule type="expression" dxfId="8226" priority="3690">
      <formula>AND($J457 = "section",$A457 = "end group")</formula>
    </cfRule>
  </conditionalFormatting>
  <conditionalFormatting sqref="A481:B481">
    <cfRule type="expression" dxfId="8225" priority="3645">
      <formula>AND($J481="section",$A481="begin group")</formula>
    </cfRule>
    <cfRule type="expression" dxfId="8224" priority="3646">
      <formula>AND($J481 = "section",$A481 = "end group")</formula>
    </cfRule>
  </conditionalFormatting>
  <conditionalFormatting sqref="A522:B522 J391 B391 D392 L481 L416 L463:L464 L398:L399">
    <cfRule type="expression" dxfId="8223" priority="6751">
      <formula xml:space="preserve"> $A449 = "end repeat"</formula>
    </cfRule>
    <cfRule type="expression" dxfId="8222" priority="6749">
      <formula>AND($U$1="disabled",$U391="yes")</formula>
    </cfRule>
    <cfRule type="expression" dxfId="8221" priority="6750">
      <formula>$A391 = "begin repeat"</formula>
    </cfRule>
  </conditionalFormatting>
  <conditionalFormatting sqref="A531:B531">
    <cfRule type="expression" dxfId="8220" priority="3839">
      <formula xml:space="preserve"> AND($J531="gg",$A531 = "end group")</formula>
    </cfRule>
    <cfRule type="expression" dxfId="8219" priority="3838">
      <formula xml:space="preserve"> $A531 = "begin group"</formula>
    </cfRule>
    <cfRule type="expression" dxfId="8218" priority="3837">
      <formula>AND($J531 = "section",$A531 = "end group")</formula>
    </cfRule>
    <cfRule type="expression" dxfId="8217" priority="3836">
      <formula>AND($J531="section",$A531="begin group")</formula>
    </cfRule>
  </conditionalFormatting>
  <conditionalFormatting sqref="A533:B533">
    <cfRule type="expression" dxfId="8216" priority="3774">
      <formula xml:space="preserve"> AND($J533="gg",$A533 = "end group")</formula>
    </cfRule>
    <cfRule type="expression" dxfId="8215" priority="3773">
      <formula xml:space="preserve"> $A533 = "begin group"</formula>
    </cfRule>
    <cfRule type="expression" dxfId="8214" priority="3772">
      <formula>AND($J533 = "section",$A533 = "end group")</formula>
    </cfRule>
    <cfRule type="expression" dxfId="8213" priority="3771">
      <formula>AND($J533="section",$A533="begin group")</formula>
    </cfRule>
  </conditionalFormatting>
  <conditionalFormatting sqref="A549:B549">
    <cfRule type="expression" dxfId="8212" priority="4161">
      <formula>AND($J549="section",$A549="begin group")</formula>
    </cfRule>
    <cfRule type="expression" dxfId="8211" priority="4162">
      <formula>AND($J549 = "section",$A549 = "end group")</formula>
    </cfRule>
    <cfRule type="expression" dxfId="8210" priority="4163">
      <formula xml:space="preserve"> $A549 = "begin group"</formula>
    </cfRule>
    <cfRule type="expression" dxfId="8209" priority="4164">
      <formula xml:space="preserve"> AND($J549="gg",$A549 = "end group")</formula>
    </cfRule>
  </conditionalFormatting>
  <conditionalFormatting sqref="A550:B550">
    <cfRule type="expression" dxfId="8208" priority="4102">
      <formula>AND($J550="section",$A550="begin group")</formula>
    </cfRule>
    <cfRule type="expression" dxfId="8207" priority="4103">
      <formula>AND($J550 = "section",$A550 = "end group")</formula>
    </cfRule>
    <cfRule type="expression" dxfId="8206" priority="4105">
      <formula xml:space="preserve"> AND($J550="gg",$A550 = "end group")</formula>
    </cfRule>
    <cfRule type="expression" dxfId="8205" priority="4104">
      <formula xml:space="preserve"> $A550 = "begin group"</formula>
    </cfRule>
  </conditionalFormatting>
  <conditionalFormatting sqref="A551:B556">
    <cfRule type="expression" dxfId="8204" priority="4022">
      <formula>AND($J551="section",$A551="begin group")</formula>
    </cfRule>
    <cfRule type="expression" dxfId="8203" priority="4025">
      <formula xml:space="preserve"> AND($J551="gg",$A551 = "end group")</formula>
    </cfRule>
    <cfRule type="expression" dxfId="8202" priority="4024">
      <formula xml:space="preserve"> $A551 = "begin group"</formula>
    </cfRule>
    <cfRule type="expression" dxfId="8201" priority="4023">
      <formula>AND($J551 = "section",$A551 = "end group")</formula>
    </cfRule>
  </conditionalFormatting>
  <conditionalFormatting sqref="A634:B634 I634:J634 M634:W634">
    <cfRule type="expression" dxfId="8200" priority="2691">
      <formula>AND($U$1="disabled",$U634="yes")</formula>
    </cfRule>
    <cfRule type="expression" dxfId="8199" priority="2692">
      <formula>$A634 = "begin repeat"</formula>
    </cfRule>
    <cfRule type="expression" dxfId="8198" priority="2693">
      <formula xml:space="preserve"> $A640 = "end repeat"</formula>
    </cfRule>
  </conditionalFormatting>
  <conditionalFormatting sqref="A680:B693">
    <cfRule type="expression" dxfId="8197" priority="1748">
      <formula>AND($J680 = "section",$A680 = "end group")</formula>
    </cfRule>
    <cfRule type="expression" dxfId="8196" priority="1747">
      <formula>AND($J680="section",$A680="begin group")</formula>
    </cfRule>
  </conditionalFormatting>
  <conditionalFormatting sqref="A699:B702">
    <cfRule type="expression" dxfId="8195" priority="1580">
      <formula>AND($J699="section",$A699="begin group")</formula>
    </cfRule>
  </conditionalFormatting>
  <conditionalFormatting sqref="A1:D8 G1:W8 S9 G10:W15 A10:D17 G16:J17 L16:W17 J33:K35">
    <cfRule type="expression" dxfId="8194" priority="737762">
      <formula xml:space="preserve"> AND($J1="gg",$A1 = "end group")</formula>
    </cfRule>
    <cfRule type="expression" dxfId="8193" priority="737761">
      <formula xml:space="preserve"> $A1 = "begin group"</formula>
    </cfRule>
  </conditionalFormatting>
  <conditionalFormatting sqref="A2:D2 G2:W2">
    <cfRule type="expression" dxfId="8192" priority="743491">
      <formula xml:space="preserve"> #REF! = "end repeat"</formula>
    </cfRule>
    <cfRule type="expression" dxfId="8191" priority="743489">
      <formula>AND($U$1="disabled",$U2="yes")</formula>
    </cfRule>
    <cfRule type="expression" dxfId="8190" priority="743490">
      <formula>$A2 = "begin repeat"</formula>
    </cfRule>
  </conditionalFormatting>
  <conditionalFormatting sqref="A9:D9 J9 Q9 T9:Y9 M9:O9">
    <cfRule type="expression" dxfId="8189" priority="30234">
      <formula>AND(#REF!="disabled",#REF!="yes")</formula>
    </cfRule>
    <cfRule type="expression" dxfId="8188" priority="30239">
      <formula xml:space="preserve"> $A9 = "end repeat"</formula>
    </cfRule>
    <cfRule type="expression" dxfId="8187" priority="30238">
      <formula>$A9 = "begin repeat"</formula>
    </cfRule>
    <cfRule type="expression" dxfId="8186" priority="30237">
      <formula xml:space="preserve"> $A9 = "end group"</formula>
    </cfRule>
    <cfRule type="expression" dxfId="8185" priority="30236">
      <formula xml:space="preserve"> $A9 = "begin group"</formula>
    </cfRule>
    <cfRule type="expression" dxfId="8184" priority="30235">
      <formula>#REF!="section"</formula>
    </cfRule>
  </conditionalFormatting>
  <conditionalFormatting sqref="A34:E34 G34 K34:N35 P34:P35 R34:S35 U34:V35 A35:I35">
    <cfRule type="expression" dxfId="8183" priority="744053">
      <formula xml:space="preserve"> $A34 = "begin group"</formula>
    </cfRule>
    <cfRule type="expression" dxfId="8182" priority="744054">
      <formula xml:space="preserve"> AND($K34="gg",$A34 = "end group")</formula>
    </cfRule>
    <cfRule type="expression" dxfId="8181" priority="742976">
      <formula xml:space="preserve"> #REF! = "end repeat"</formula>
    </cfRule>
    <cfRule type="expression" dxfId="8180" priority="742975">
      <formula>$A34 = "begin repeat"</formula>
    </cfRule>
    <cfRule type="expression" dxfId="8179" priority="744051">
      <formula>AND($K34="section",$A34="begin group")</formula>
    </cfRule>
    <cfRule type="expression" dxfId="8178" priority="744052">
      <formula>AND($K34 = "section",$A34 = "end group")</formula>
    </cfRule>
  </conditionalFormatting>
  <conditionalFormatting sqref="A1:F8 A10:F17">
    <cfRule type="expression" dxfId="8177" priority="25564">
      <formula>AND($J1="section",$A1="begin group")</formula>
    </cfRule>
    <cfRule type="expression" dxfId="8176" priority="25565">
      <formula>AND($J1 = "section",$A1 = "end group")</formula>
    </cfRule>
  </conditionalFormatting>
  <conditionalFormatting sqref="A273:I273 L273:W273">
    <cfRule type="expression" dxfId="8175" priority="7160">
      <formula>$A273 = "begin repeat"</formula>
    </cfRule>
    <cfRule type="expression" dxfId="8174" priority="7159">
      <formula>AND($U$1="disabled",$U273="yes")</formula>
    </cfRule>
    <cfRule type="expression" dxfId="8173" priority="7161">
      <formula xml:space="preserve"> $A349 = "end repeat"</formula>
    </cfRule>
  </conditionalFormatting>
  <conditionalFormatting sqref="A357:I357 M357:W357">
    <cfRule type="expression" dxfId="8172" priority="7155">
      <formula>AND($J351="section",$A357="begin group")</formula>
    </cfRule>
    <cfRule type="expression" dxfId="8171" priority="7156">
      <formula>AND($J351 = "section",$A357 = "end group")</formula>
    </cfRule>
    <cfRule type="expression" dxfId="8170" priority="7157">
      <formula xml:space="preserve"> $A357 = "begin group"</formula>
    </cfRule>
    <cfRule type="expression" dxfId="8169" priority="7158">
      <formula xml:space="preserve"> AND($J351="gg",$A357 = "end group")</formula>
    </cfRule>
  </conditionalFormatting>
  <conditionalFormatting sqref="A3:W8">
    <cfRule type="expression" dxfId="8168" priority="1630959">
      <formula>$A3 = "begin repeat"</formula>
    </cfRule>
    <cfRule type="expression" dxfId="8167" priority="1630960">
      <formula xml:space="preserve"> #REF! = "end repeat"</formula>
    </cfRule>
    <cfRule type="expression" dxfId="8166" priority="1630958">
      <formula>AND($U$1="disabled",$U3="yes")</formula>
    </cfRule>
  </conditionalFormatting>
  <conditionalFormatting sqref="A10:W13">
    <cfRule type="expression" dxfId="8165" priority="1630954">
      <formula xml:space="preserve"> #REF! = "end repeat"</formula>
    </cfRule>
  </conditionalFormatting>
  <conditionalFormatting sqref="A10:W15 S16:S17">
    <cfRule type="expression" dxfId="8164" priority="1630918">
      <formula>$A10 = "begin repeat"</formula>
    </cfRule>
    <cfRule type="expression" dxfId="8163" priority="1630917">
      <formula>AND($U$1="disabled",$U10="yes")</formula>
    </cfRule>
  </conditionalFormatting>
  <conditionalFormatting sqref="A14:W15 S16:S17">
    <cfRule type="expression" dxfId="8162" priority="1630919">
      <formula xml:space="preserve"> #REF! = "end repeat"</formula>
    </cfRule>
  </conditionalFormatting>
  <conditionalFormatting sqref="B2:B8 B10:B17">
    <cfRule type="duplicateValues" dxfId="8161" priority="1631056"/>
  </conditionalFormatting>
  <conditionalFormatting sqref="B9">
    <cfRule type="duplicateValues" dxfId="8160" priority="30216"/>
    <cfRule type="duplicateValues" dxfId="8159" priority="30242"/>
  </conditionalFormatting>
  <conditionalFormatting sqref="B18:B20 B22:B23">
    <cfRule type="duplicateValues" dxfId="8158" priority="28598"/>
  </conditionalFormatting>
  <conditionalFormatting sqref="B18:B20 B22:B24">
    <cfRule type="duplicateValues" dxfId="8157" priority="28596"/>
  </conditionalFormatting>
  <conditionalFormatting sqref="B18:B20">
    <cfRule type="duplicateValues" dxfId="8156" priority="28595"/>
    <cfRule type="duplicateValues" dxfId="8155" priority="28563"/>
  </conditionalFormatting>
  <conditionalFormatting sqref="B24">
    <cfRule type="duplicateValues" dxfId="8154" priority="28600"/>
    <cfRule type="duplicateValues" dxfId="8153" priority="28594"/>
    <cfRule type="duplicateValues" dxfId="8152" priority="28593"/>
    <cfRule type="duplicateValues" dxfId="8151" priority="28599"/>
  </conditionalFormatting>
  <conditionalFormatting sqref="B28:B32 B10:B17 B1:B8">
    <cfRule type="duplicateValues" dxfId="8150" priority="1631139"/>
  </conditionalFormatting>
  <conditionalFormatting sqref="B28:B32">
    <cfRule type="duplicateValues" dxfId="8149" priority="31894"/>
    <cfRule type="duplicateValues" dxfId="8148" priority="31889"/>
  </conditionalFormatting>
  <conditionalFormatting sqref="B49:B86">
    <cfRule type="expression" dxfId="8147" priority="7952">
      <formula>AND($U$1="disabled",$U49="yes")</formula>
    </cfRule>
    <cfRule type="expression" dxfId="8146" priority="7954">
      <formula xml:space="preserve"> $A154 = "end repeat"</formula>
    </cfRule>
    <cfRule type="expression" dxfId="8145" priority="7953">
      <formula>$A49 = "begin repeat"</formula>
    </cfRule>
  </conditionalFormatting>
  <conditionalFormatting sqref="B87">
    <cfRule type="expression" dxfId="8144" priority="7862">
      <formula xml:space="preserve"> $A195 = "end repeat"</formula>
    </cfRule>
    <cfRule type="expression" dxfId="8143" priority="7861">
      <formula>$A87 = "begin repeat"</formula>
    </cfRule>
    <cfRule type="expression" dxfId="8142" priority="7860">
      <formula>AND($U$1="disabled",$U87="yes")</formula>
    </cfRule>
  </conditionalFormatting>
  <conditionalFormatting sqref="B88">
    <cfRule type="expression" dxfId="8141" priority="7977">
      <formula>AND($U$1="disabled",$U88="yes")</formula>
    </cfRule>
    <cfRule type="expression" dxfId="8140" priority="7978">
      <formula>$A88 = "begin repeat"</formula>
    </cfRule>
    <cfRule type="expression" dxfId="8139" priority="7979">
      <formula xml:space="preserve"> $A200 = "end repeat"</formula>
    </cfRule>
  </conditionalFormatting>
  <conditionalFormatting sqref="B89:B109 B192:B194">
    <cfRule type="expression" dxfId="8138" priority="7951">
      <formula xml:space="preserve"> $A206 = "end repeat"</formula>
    </cfRule>
    <cfRule type="expression" dxfId="8137" priority="7950">
      <formula>$A89 = "begin repeat"</formula>
    </cfRule>
    <cfRule type="expression" dxfId="8136" priority="7949">
      <formula>AND($U$1="disabled",$U89="yes")</formula>
    </cfRule>
  </conditionalFormatting>
  <conditionalFormatting sqref="B99:B101 J99:J101 D104:D105 B104:B105 B107 D107 B192 D192">
    <cfRule type="expression" dxfId="8135" priority="8473">
      <formula>AND($U$1="disabled",$U99="yes")</formula>
    </cfRule>
    <cfRule type="expression" dxfId="8134" priority="8474">
      <formula>$A99 = "begin repeat"</formula>
    </cfRule>
    <cfRule type="expression" dxfId="8133" priority="8475">
      <formula xml:space="preserve"> $A124 = "end repeat"</formula>
    </cfRule>
  </conditionalFormatting>
  <conditionalFormatting sqref="B107:B108 J107:J108">
    <cfRule type="expression" dxfId="8132" priority="7926">
      <formula xml:space="preserve"> AND($J107="gg",$A107 = "end group")</formula>
    </cfRule>
    <cfRule type="expression" dxfId="8131" priority="7925">
      <formula xml:space="preserve"> $A107 = "begin group"</formula>
    </cfRule>
  </conditionalFormatting>
  <conditionalFormatting sqref="B107:B108">
    <cfRule type="duplicateValues" dxfId="8130" priority="7928"/>
    <cfRule type="duplicateValues" dxfId="8129" priority="7927"/>
  </conditionalFormatting>
  <conditionalFormatting sqref="B107:B109 J107:J109">
    <cfRule type="expression" dxfId="8128" priority="7893">
      <formula>AND($J107="section",$A107="begin group")</formula>
    </cfRule>
    <cfRule type="expression" dxfId="8127" priority="7894">
      <formula>AND($J107 = "section",$A107 = "end group")</formula>
    </cfRule>
  </conditionalFormatting>
  <conditionalFormatting sqref="B109 J109">
    <cfRule type="expression" dxfId="8126" priority="7895">
      <formula xml:space="preserve"> $A109 = "begin group"</formula>
    </cfRule>
    <cfRule type="expression" dxfId="8125" priority="7896">
      <formula xml:space="preserve"> AND($J109="gg",$A109 = "end group")</formula>
    </cfRule>
  </conditionalFormatting>
  <conditionalFormatting sqref="B109">
    <cfRule type="duplicateValues" dxfId="8124" priority="7897"/>
    <cfRule type="duplicateValues" dxfId="8123" priority="7898"/>
  </conditionalFormatting>
  <conditionalFormatting sqref="B110:B113">
    <cfRule type="expression" dxfId="8122" priority="7940">
      <formula>$A110 = "begin repeat"</formula>
    </cfRule>
    <cfRule type="expression" dxfId="8121" priority="7939">
      <formula>AND($U$1="disabled",$U110="yes")</formula>
    </cfRule>
    <cfRule type="expression" dxfId="8120" priority="7941">
      <formula xml:space="preserve"> $A224 = "end repeat"</formula>
    </cfRule>
  </conditionalFormatting>
  <conditionalFormatting sqref="B120">
    <cfRule type="expression" dxfId="8119" priority="8208">
      <formula xml:space="preserve"> $A120 = "begin group"</formula>
    </cfRule>
    <cfRule type="expression" dxfId="8118" priority="8209">
      <formula xml:space="preserve"> AND($J120="gg",$A120 = "end group")</formula>
    </cfRule>
    <cfRule type="duplicateValues" dxfId="8117" priority="8210"/>
    <cfRule type="duplicateValues" dxfId="8116" priority="8211"/>
  </conditionalFormatting>
  <conditionalFormatting sqref="B120:B122">
    <cfRule type="expression" dxfId="8115" priority="8190">
      <formula>AND($J120 = "section",$A120 = "end group")</formula>
    </cfRule>
    <cfRule type="expression" dxfId="8114" priority="8189">
      <formula>AND($J120="section",$A120="begin group")</formula>
    </cfRule>
  </conditionalFormatting>
  <conditionalFormatting sqref="B121:B122">
    <cfRule type="expression" dxfId="8113" priority="8191">
      <formula xml:space="preserve"> $A121 = "begin group"</formula>
    </cfRule>
    <cfRule type="duplicateValues" dxfId="8112" priority="8194"/>
    <cfRule type="duplicateValues" dxfId="8111" priority="8193"/>
    <cfRule type="expression" dxfId="8110" priority="8192">
      <formula xml:space="preserve"> AND($J121="gg",$A121 = "end group")</formula>
    </cfRule>
  </conditionalFormatting>
  <conditionalFormatting sqref="B123 B115:B119">
    <cfRule type="duplicateValues" dxfId="8109" priority="8235"/>
    <cfRule type="duplicateValues" dxfId="8108" priority="8236"/>
  </conditionalFormatting>
  <conditionalFormatting sqref="B123">
    <cfRule type="expression" dxfId="8107" priority="8258">
      <formula xml:space="preserve"> $A92 = "end repeat"</formula>
    </cfRule>
    <cfRule type="expression" dxfId="8106" priority="8257">
      <formula>$A123 = "begin repeat"</formula>
    </cfRule>
    <cfRule type="expression" dxfId="8105" priority="8256">
      <formula>AND($U$1="disabled",$U123="yes")</formula>
    </cfRule>
  </conditionalFormatting>
  <conditionalFormatting sqref="B129:B191 B195:B199">
    <cfRule type="expression" dxfId="8104" priority="8300">
      <formula xml:space="preserve"> $A129 = "begin group"</formula>
    </cfRule>
    <cfRule type="expression" dxfId="8103" priority="8301">
      <formula xml:space="preserve"> AND($J129="gg",$A129 = "end group")</formula>
    </cfRule>
    <cfRule type="duplicateValues" dxfId="8102" priority="8302"/>
    <cfRule type="duplicateValues" dxfId="8101" priority="8303"/>
  </conditionalFormatting>
  <conditionalFormatting sqref="B129:B199 J194">
    <cfRule type="expression" dxfId="8100" priority="7822">
      <formula>AND($J129 = "section",$A129 = "end group")</formula>
    </cfRule>
    <cfRule type="expression" dxfId="8099" priority="7821">
      <formula>AND($J129="section",$A129="begin group")</formula>
    </cfRule>
  </conditionalFormatting>
  <conditionalFormatting sqref="B183">
    <cfRule type="expression" dxfId="8098" priority="8563">
      <formula>AND($U$1="disabled",$U183="yes")</formula>
    </cfRule>
    <cfRule type="expression" dxfId="8097" priority="8565">
      <formula xml:space="preserve"> $A195 = "end repeat"</formula>
    </cfRule>
    <cfRule type="expression" dxfId="8096" priority="8564">
      <formula>$A183 = "begin repeat"</formula>
    </cfRule>
  </conditionalFormatting>
  <conditionalFormatting sqref="B185:B191 D195:D199">
    <cfRule type="expression" dxfId="8095" priority="8492">
      <formula>$A185 = "begin repeat"</formula>
    </cfRule>
    <cfRule type="expression" dxfId="8094" priority="8493">
      <formula xml:space="preserve"> $A206 = "end repeat"</formula>
    </cfRule>
    <cfRule type="expression" dxfId="8093" priority="8491">
      <formula>AND($U$1="disabled",$U185="yes")</formula>
    </cfRule>
  </conditionalFormatting>
  <conditionalFormatting sqref="B192:B193">
    <cfRule type="duplicateValues" dxfId="8092" priority="7853"/>
    <cfRule type="duplicateValues" dxfId="8091" priority="7852"/>
    <cfRule type="expression" dxfId="8090" priority="7850">
      <formula xml:space="preserve"> $A192 = "begin group"</formula>
    </cfRule>
    <cfRule type="expression" dxfId="8089" priority="7851">
      <formula xml:space="preserve"> AND($J192="gg",$A192 = "end group")</formula>
    </cfRule>
  </conditionalFormatting>
  <conditionalFormatting sqref="B194 J194">
    <cfRule type="expression" dxfId="8088" priority="7824">
      <formula xml:space="preserve"> AND($J194="gg",$A194 = "end group")</formula>
    </cfRule>
    <cfRule type="expression" dxfId="8087" priority="7823">
      <formula xml:space="preserve"> $A194 = "begin group"</formula>
    </cfRule>
  </conditionalFormatting>
  <conditionalFormatting sqref="B194">
    <cfRule type="duplicateValues" dxfId="8086" priority="7826"/>
    <cfRule type="duplicateValues" dxfId="8085" priority="7825"/>
  </conditionalFormatting>
  <conditionalFormatting sqref="B200 B124:B128 B36:B106 B110:B114">
    <cfRule type="duplicateValues" dxfId="8084" priority="8725"/>
    <cfRule type="duplicateValues" dxfId="8083" priority="8708"/>
  </conditionalFormatting>
  <conditionalFormatting sqref="B202">
    <cfRule type="duplicateValues" dxfId="8082" priority="8157"/>
    <cfRule type="duplicateValues" dxfId="8081" priority="8156"/>
    <cfRule type="expression" dxfId="8080" priority="8155">
      <formula xml:space="preserve"> AND($J202="gg",$A202 = "end group")</formula>
    </cfRule>
    <cfRule type="expression" dxfId="8079" priority="8154">
      <formula xml:space="preserve"> $A202 = "begin group"</formula>
    </cfRule>
  </conditionalFormatting>
  <conditionalFormatting sqref="B203:B204">
    <cfRule type="expression" dxfId="8078" priority="8133">
      <formula xml:space="preserve"> $A203 = "begin group"</formula>
    </cfRule>
    <cfRule type="expression" dxfId="8077" priority="8134">
      <formula xml:space="preserve"> AND($J203="gg",$A203 = "end group")</formula>
    </cfRule>
    <cfRule type="duplicateValues" dxfId="8076" priority="8136"/>
    <cfRule type="duplicateValues" dxfId="8075" priority="8135"/>
  </conditionalFormatting>
  <conditionalFormatting sqref="B205 B201">
    <cfRule type="duplicateValues" dxfId="8074" priority="8170"/>
    <cfRule type="duplicateValues" dxfId="8073" priority="8169"/>
  </conditionalFormatting>
  <conditionalFormatting sqref="B205">
    <cfRule type="expression" dxfId="8072" priority="7974">
      <formula>AND($U$1="disabled",$U205="yes")</formula>
    </cfRule>
    <cfRule type="expression" dxfId="8071" priority="7975">
      <formula>$A205 = "begin repeat"</formula>
    </cfRule>
    <cfRule type="expression" dxfId="8070" priority="7976">
      <formula xml:space="preserve"> $A177 = "end repeat"</formula>
    </cfRule>
  </conditionalFormatting>
  <conditionalFormatting sqref="B206:B210">
    <cfRule type="expression" dxfId="8069" priority="8295">
      <formula xml:space="preserve"> AND($J206="gg",$A206 = "end group")</formula>
    </cfRule>
    <cfRule type="expression" dxfId="8068" priority="8294">
      <formula xml:space="preserve"> $A206 = "begin group"</formula>
    </cfRule>
    <cfRule type="duplicateValues" dxfId="8067" priority="8297"/>
    <cfRule type="duplicateValues" dxfId="8066" priority="8296"/>
  </conditionalFormatting>
  <conditionalFormatting sqref="B206:B240">
    <cfRule type="expression" dxfId="8065" priority="7326">
      <formula>AND($J206 = "section",$A206 = "end group")</formula>
    </cfRule>
    <cfRule type="expression" dxfId="8064" priority="7325">
      <formula>AND($J206="section",$A206="begin group")</formula>
    </cfRule>
  </conditionalFormatting>
  <conditionalFormatting sqref="B211:B237">
    <cfRule type="duplicateValues" dxfId="8063" priority="7475"/>
    <cfRule type="duplicateValues" dxfId="8062" priority="7474"/>
    <cfRule type="expression" dxfId="8061" priority="7472">
      <formula xml:space="preserve"> $A211 = "begin group"</formula>
    </cfRule>
    <cfRule type="expression" dxfId="8060" priority="7473">
      <formula xml:space="preserve"> AND($J211="gg",$A211 = "end group")</formula>
    </cfRule>
  </conditionalFormatting>
  <conditionalFormatting sqref="B238:B240">
    <cfRule type="expression" dxfId="8059" priority="7327">
      <formula xml:space="preserve"> $A238 = "begin group"</formula>
    </cfRule>
    <cfRule type="expression" dxfId="8058" priority="7328">
      <formula xml:space="preserve"> AND($J238="gg",$A238 = "end group")</formula>
    </cfRule>
    <cfRule type="duplicateValues" dxfId="8057" priority="7329"/>
    <cfRule type="duplicateValues" dxfId="8056" priority="7330"/>
  </conditionalFormatting>
  <conditionalFormatting sqref="B241:B242 B273:B274 B346 B356:B357">
    <cfRule type="duplicateValues" dxfId="8055" priority="7626"/>
  </conditionalFormatting>
  <conditionalFormatting sqref="B241:B242 H243:I244 R275 A287:A289 A284 M287:W288 M314:W314 M312:W312 M304:W304 M302:W302 M299:W300 M284:W284 I287:I288 I302 I299:I300 I284 L211:W216 K243:W247 A211:A216 I245:I247 I277 I260:I261 L260:W261 B215 B247 B279 A299:A305 L305:W305 L313:W313 A276:A277 K276:W277 C276:D277 L291:W291 I291 A291 A293 M293:W293 I293 K315:W315 L303:W303 B304:B305 I268 G243:G245 G277 G213 F243:F244 E276:I276 E211:I212 A243:A272 I213:I216 K312:K314 D314:D317 A328:A330 M328:W329 I328:I329 M334:W334 K346:W346 J346:J347 G347 B347 A346:I346 B345 E347 K328:K339 M357:W357 K357 A357:B357 D357:I357 C243:D272 K250:K272 C211:D240 K211:K240 E213 E243:E245 E275 E277 M308:W308 M306:W306 L307:W307 K309:W309 K287:K308 I304:J317 A306:B317 D306:D311 F306:F307 H306:H307 L330:W330 F330:F336 H330:H336 J330:J336 B330:B337 A326 M326:W326 I326 B319 D319 D334:D339 A332:A334 I332:I334 L332:W333 L334:L337 B342 D342 I348:I355 A348:A355 L348:W355 C348:D355">
    <cfRule type="expression" dxfId="8054" priority="7589">
      <formula xml:space="preserve"> #REF! = "end repeat"</formula>
    </cfRule>
    <cfRule type="expression" dxfId="8053" priority="7588">
      <formula>$A211 = "begin repeat"</formula>
    </cfRule>
    <cfRule type="expression" dxfId="8052" priority="7587">
      <formula>AND($U$1="disabled",$U211="yes")</formula>
    </cfRule>
  </conditionalFormatting>
  <conditionalFormatting sqref="B243:B268">
    <cfRule type="expression" dxfId="8051" priority="7466">
      <formula xml:space="preserve"> $A243 = "begin group"</formula>
    </cfRule>
    <cfRule type="duplicateValues" dxfId="8050" priority="7469"/>
    <cfRule type="duplicateValues" dxfId="8049" priority="7468"/>
    <cfRule type="expression" dxfId="8048" priority="7467">
      <formula xml:space="preserve"> AND($J243="gg",$A243 = "end group")</formula>
    </cfRule>
  </conditionalFormatting>
  <conditionalFormatting sqref="B243:B272">
    <cfRule type="expression" dxfId="8047" priority="7342">
      <formula>AND($J243 = "section",$A243 = "end group")</formula>
    </cfRule>
    <cfRule type="expression" dxfId="8046" priority="7341">
      <formula>AND($J243="section",$A243="begin group")</formula>
    </cfRule>
  </conditionalFormatting>
  <conditionalFormatting sqref="B269:B272">
    <cfRule type="duplicateValues" dxfId="8045" priority="7346"/>
    <cfRule type="duplicateValues" dxfId="8044" priority="7345"/>
    <cfRule type="expression" dxfId="8043" priority="7344">
      <formula xml:space="preserve"> AND($J269="gg",$A269 = "end group")</formula>
    </cfRule>
    <cfRule type="expression" dxfId="8042" priority="7343">
      <formula xml:space="preserve"> $A269 = "begin group"</formula>
    </cfRule>
  </conditionalFormatting>
  <conditionalFormatting sqref="B272 A281:A282 M281:W282 I281:I282 B296:B299 J296:J299 F296:F301 H296:H301 H341 F341 J341 B341 C356:C357 B240">
    <cfRule type="expression" dxfId="8041" priority="7566">
      <formula>AND($U$1="disabled",$U240="yes")</formula>
    </cfRule>
    <cfRule type="expression" dxfId="8040" priority="7568">
      <formula xml:space="preserve"> $A256 = "end repeat"</formula>
    </cfRule>
    <cfRule type="expression" dxfId="8039" priority="7567">
      <formula>$A240 = "begin repeat"</formula>
    </cfRule>
  </conditionalFormatting>
  <conditionalFormatting sqref="B275:B305">
    <cfRule type="expression" dxfId="8038" priority="7460">
      <formula>AND($J275="section",$A275="begin group")</formula>
    </cfRule>
    <cfRule type="expression" dxfId="8037" priority="7462">
      <formula xml:space="preserve"> $A275 = "begin group"</formula>
    </cfRule>
    <cfRule type="expression" dxfId="8036" priority="7463">
      <formula xml:space="preserve"> AND($J275="gg",$A275 = "end group")</formula>
    </cfRule>
    <cfRule type="expression" dxfId="8035" priority="7461">
      <formula>AND($J275 = "section",$A275 = "end group")</formula>
    </cfRule>
  </conditionalFormatting>
  <conditionalFormatting sqref="B301:B304">
    <cfRule type="expression" dxfId="8034" priority="7381">
      <formula>AND($U$1="disabled",$U301="yes")</formula>
    </cfRule>
    <cfRule type="expression" dxfId="8033" priority="7382">
      <formula>$A301 = "begin repeat"</formula>
    </cfRule>
    <cfRule type="expression" dxfId="8032" priority="7383">
      <formula xml:space="preserve"> $A346 = "end repeat"</formula>
    </cfRule>
  </conditionalFormatting>
  <conditionalFormatting sqref="B306:B311">
    <cfRule type="duplicateValues" dxfId="8031" priority="7235"/>
    <cfRule type="expression" dxfId="8030" priority="7232">
      <formula xml:space="preserve"> $A306 = "begin group"</formula>
    </cfRule>
    <cfRule type="expression" dxfId="8029" priority="7233">
      <formula xml:space="preserve"> AND($J306="gg",$A306 = "end group")</formula>
    </cfRule>
    <cfRule type="duplicateValues" dxfId="8028" priority="7234"/>
  </conditionalFormatting>
  <conditionalFormatting sqref="B318:B322 B324 B326:B339">
    <cfRule type="duplicateValues" dxfId="8027" priority="7085"/>
    <cfRule type="duplicateValues" dxfId="8026" priority="7086"/>
  </conditionalFormatting>
  <conditionalFormatting sqref="B323">
    <cfRule type="duplicateValues" dxfId="8025" priority="6994"/>
    <cfRule type="duplicateValues" dxfId="8024" priority="6993"/>
  </conditionalFormatting>
  <conditionalFormatting sqref="B325">
    <cfRule type="duplicateValues" dxfId="8023" priority="6973"/>
    <cfRule type="duplicateValues" dxfId="8022" priority="6974"/>
  </conditionalFormatting>
  <conditionalFormatting sqref="B338:B339 H318:H323 J318:J323 B318:B323 F318:F323">
    <cfRule type="expression" dxfId="8021" priority="7565">
      <formula xml:space="preserve"> $A329 = "end repeat"</formula>
    </cfRule>
    <cfRule type="expression" dxfId="8020" priority="7563">
      <formula>AND($U$1="disabled",$U318="yes")</formula>
    </cfRule>
    <cfRule type="expression" dxfId="8019" priority="7564">
      <formula>$A318 = "begin repeat"</formula>
    </cfRule>
  </conditionalFormatting>
  <conditionalFormatting sqref="B340">
    <cfRule type="duplicateValues" dxfId="8018" priority="7066"/>
    <cfRule type="duplicateValues" dxfId="8017" priority="7065"/>
  </conditionalFormatting>
  <conditionalFormatting sqref="B341">
    <cfRule type="duplicateValues" dxfId="8016" priority="7049"/>
    <cfRule type="duplicateValues" dxfId="8015" priority="7048"/>
  </conditionalFormatting>
  <conditionalFormatting sqref="B342:B344">
    <cfRule type="duplicateValues" dxfId="8014" priority="7032"/>
    <cfRule type="duplicateValues" dxfId="8013" priority="7031"/>
  </conditionalFormatting>
  <conditionalFormatting sqref="B345 B275:B305 B312:B317">
    <cfRule type="duplicateValues" dxfId="8012" priority="7210"/>
    <cfRule type="duplicateValues" dxfId="8011" priority="7211"/>
  </conditionalFormatting>
  <conditionalFormatting sqref="B346 B357 B241:B242 B273:B274">
    <cfRule type="duplicateValues" dxfId="8010" priority="7621"/>
  </conditionalFormatting>
  <conditionalFormatting sqref="B347:B351">
    <cfRule type="duplicateValues" dxfId="8009" priority="7379"/>
    <cfRule type="duplicateValues" dxfId="8008" priority="7378"/>
  </conditionalFormatting>
  <conditionalFormatting sqref="B352">
    <cfRule type="duplicateValues" dxfId="8007" priority="7021"/>
    <cfRule type="duplicateValues" dxfId="8006" priority="7020"/>
  </conditionalFormatting>
  <conditionalFormatting sqref="B353 B355">
    <cfRule type="duplicateValues" dxfId="8005" priority="6863"/>
    <cfRule type="duplicateValues" dxfId="8004" priority="6862"/>
  </conditionalFormatting>
  <conditionalFormatting sqref="B354">
    <cfRule type="duplicateValues" dxfId="8003" priority="6929"/>
    <cfRule type="duplicateValues" dxfId="8002" priority="6928"/>
  </conditionalFormatting>
  <conditionalFormatting sqref="B356">
    <cfRule type="duplicateValues" dxfId="8001" priority="7790"/>
  </conditionalFormatting>
  <conditionalFormatting sqref="B358:B360 B372:B373 B378:B379 B384:B385 B390:B391">
    <cfRule type="duplicateValues" dxfId="8000" priority="6544"/>
    <cfRule type="duplicateValues" dxfId="7999" priority="6545"/>
  </conditionalFormatting>
  <conditionalFormatting sqref="B358:B360">
    <cfRule type="expression" dxfId="7998" priority="6715">
      <formula xml:space="preserve"> AND($J358="gg",$A358 = "end group")</formula>
    </cfRule>
    <cfRule type="expression" dxfId="7997" priority="6714">
      <formula xml:space="preserve"> $A358 = "begin group"</formula>
    </cfRule>
  </conditionalFormatting>
  <conditionalFormatting sqref="B358:B371">
    <cfRule type="expression" dxfId="7996" priority="6608">
      <formula>AND($J358="section",$A358="begin group")</formula>
    </cfRule>
    <cfRule type="expression" dxfId="7995" priority="6609">
      <formula>AND($J358 = "section",$A358 = "end group")</formula>
    </cfRule>
  </conditionalFormatting>
  <conditionalFormatting sqref="B361:B371 B374:B377 B380:B383 B386:B389">
    <cfRule type="duplicateValues" dxfId="7994" priority="6612"/>
    <cfRule type="duplicateValues" dxfId="7993" priority="6613"/>
  </conditionalFormatting>
  <conditionalFormatting sqref="B361:B371">
    <cfRule type="expression" dxfId="7992" priority="6611">
      <formula xml:space="preserve"> AND($J361="gg",$A361 = "end group")</formula>
    </cfRule>
    <cfRule type="expression" dxfId="7991" priority="6610">
      <formula xml:space="preserve"> $A361 = "begin group"</formula>
    </cfRule>
  </conditionalFormatting>
  <conditionalFormatting sqref="B374 B380 J374 J380 D374 D380 J486 B361:B368 J361:J368 D364:D368 E358:E359 F361:F381 H361:H381 B426:B427 J426:J427 B438:B446 J438:J446 E423:E424 F426:F446 H426:H446 E488:E489 F491:F509 H491:H509">
    <cfRule type="expression" dxfId="7990" priority="6809">
      <formula>AND($U$1="disabled",$U358="yes")</formula>
    </cfRule>
    <cfRule type="expression" dxfId="7989" priority="6810">
      <formula>$A358 = "begin repeat"</formula>
    </cfRule>
    <cfRule type="expression" dxfId="7988" priority="6811">
      <formula xml:space="preserve"> $A368 = "end repeat"</formula>
    </cfRule>
  </conditionalFormatting>
  <conditionalFormatting sqref="B386 J386 D386 L549 J526:J527 I528:I531 F447:F456 H447:H456 F382:F391 H382:H391 D528:D531">
    <cfRule type="expression" dxfId="7987" priority="6762">
      <formula>$A382 = "begin repeat"</formula>
    </cfRule>
    <cfRule type="expression" dxfId="7986" priority="6763">
      <formula xml:space="preserve"> $A421 = "end repeat"</formula>
    </cfRule>
    <cfRule type="expression" dxfId="7985" priority="6761">
      <formula>AND($U$1="disabled",$U382="yes")</formula>
    </cfRule>
  </conditionalFormatting>
  <conditionalFormatting sqref="B386:B387 F393:F395 H393:H395 J448:J456 B448:B457 F458:F460 H458:H460 J528:J531">
    <cfRule type="expression" dxfId="7984" priority="6671">
      <formula xml:space="preserve"> $A424 = "end repeat"</formula>
    </cfRule>
    <cfRule type="expression" dxfId="7983" priority="6670">
      <formula>$A386 = "begin repeat"</formula>
    </cfRule>
    <cfRule type="expression" dxfId="7982" priority="6669">
      <formula>AND($U$1="disabled",$U386="yes")</formula>
    </cfRule>
  </conditionalFormatting>
  <conditionalFormatting sqref="B392">
    <cfRule type="duplicateValues" dxfId="7981" priority="6364"/>
    <cfRule type="duplicateValues" dxfId="7980" priority="6363"/>
  </conditionalFormatting>
  <conditionalFormatting sqref="B393">
    <cfRule type="duplicateValues" dxfId="7979" priority="6376"/>
    <cfRule type="duplicateValues" dxfId="7978" priority="6375"/>
  </conditionalFormatting>
  <conditionalFormatting sqref="B394">
    <cfRule type="duplicateValues" dxfId="7977" priority="5745"/>
    <cfRule type="duplicateValues" dxfId="7976" priority="5744"/>
  </conditionalFormatting>
  <conditionalFormatting sqref="B395">
    <cfRule type="duplicateValues" dxfId="7975" priority="5724"/>
    <cfRule type="duplicateValues" dxfId="7974" priority="5723"/>
  </conditionalFormatting>
  <conditionalFormatting sqref="B396">
    <cfRule type="duplicateValues" dxfId="7973" priority="5975"/>
    <cfRule type="duplicateValues" dxfId="7972" priority="5976"/>
  </conditionalFormatting>
  <conditionalFormatting sqref="B397">
    <cfRule type="duplicateValues" dxfId="7971" priority="5704"/>
    <cfRule type="duplicateValues" dxfId="7970" priority="5705"/>
  </conditionalFormatting>
  <conditionalFormatting sqref="B398">
    <cfRule type="duplicateValues" dxfId="7969" priority="6307"/>
    <cfRule type="duplicateValues" dxfId="7968" priority="6308"/>
  </conditionalFormatting>
  <conditionalFormatting sqref="B399">
    <cfRule type="duplicateValues" dxfId="7967" priority="6277"/>
    <cfRule type="duplicateValues" dxfId="7966" priority="6276"/>
  </conditionalFormatting>
  <conditionalFormatting sqref="B400">
    <cfRule type="duplicateValues" dxfId="7965" priority="6245"/>
    <cfRule type="duplicateValues" dxfId="7964" priority="6246"/>
  </conditionalFormatting>
  <conditionalFormatting sqref="B401">
    <cfRule type="duplicateValues" dxfId="7963" priority="3432"/>
    <cfRule type="duplicateValues" dxfId="7962" priority="3431"/>
  </conditionalFormatting>
  <conditionalFormatting sqref="B402">
    <cfRule type="duplicateValues" dxfId="7961" priority="3397"/>
    <cfRule type="duplicateValues" dxfId="7960" priority="3398"/>
  </conditionalFormatting>
  <conditionalFormatting sqref="B403">
    <cfRule type="duplicateValues" dxfId="7959" priority="5941"/>
    <cfRule type="duplicateValues" dxfId="7958" priority="5942"/>
  </conditionalFormatting>
  <conditionalFormatting sqref="B404">
    <cfRule type="duplicateValues" dxfId="7957" priority="5780"/>
    <cfRule type="duplicateValues" dxfId="7956" priority="5781"/>
  </conditionalFormatting>
  <conditionalFormatting sqref="B405">
    <cfRule type="duplicateValues" dxfId="7955" priority="6214"/>
    <cfRule type="duplicateValues" dxfId="7954" priority="6215"/>
  </conditionalFormatting>
  <conditionalFormatting sqref="B406">
    <cfRule type="duplicateValues" dxfId="7953" priority="6183"/>
    <cfRule type="duplicateValues" dxfId="7952" priority="6184"/>
  </conditionalFormatting>
  <conditionalFormatting sqref="B407">
    <cfRule type="duplicateValues" dxfId="7951" priority="5910"/>
    <cfRule type="duplicateValues" dxfId="7950" priority="5911"/>
  </conditionalFormatting>
  <conditionalFormatting sqref="B408">
    <cfRule type="duplicateValues" dxfId="7949" priority="5811"/>
    <cfRule type="duplicateValues" dxfId="7948" priority="5812"/>
  </conditionalFormatting>
  <conditionalFormatting sqref="B409">
    <cfRule type="duplicateValues" dxfId="7947" priority="5879"/>
    <cfRule type="duplicateValues" dxfId="7946" priority="5880"/>
  </conditionalFormatting>
  <conditionalFormatting sqref="B410">
    <cfRule type="duplicateValues" dxfId="7945" priority="6143"/>
    <cfRule type="duplicateValues" dxfId="7944" priority="6144"/>
  </conditionalFormatting>
  <conditionalFormatting sqref="B411">
    <cfRule type="duplicateValues" dxfId="7943" priority="6112"/>
    <cfRule type="duplicateValues" dxfId="7942" priority="6113"/>
  </conditionalFormatting>
  <conditionalFormatting sqref="B412">
    <cfRule type="duplicateValues" dxfId="7941" priority="5848"/>
    <cfRule type="duplicateValues" dxfId="7940" priority="5849"/>
  </conditionalFormatting>
  <conditionalFormatting sqref="B413">
    <cfRule type="duplicateValues" dxfId="7939" priority="5670"/>
    <cfRule type="duplicateValues" dxfId="7938" priority="5671"/>
  </conditionalFormatting>
  <conditionalFormatting sqref="B414">
    <cfRule type="duplicateValues" dxfId="7937" priority="6082"/>
    <cfRule type="duplicateValues" dxfId="7936" priority="6081"/>
  </conditionalFormatting>
  <conditionalFormatting sqref="B415">
    <cfRule type="duplicateValues" dxfId="7935" priority="6051"/>
    <cfRule type="duplicateValues" dxfId="7934" priority="6050"/>
  </conditionalFormatting>
  <conditionalFormatting sqref="B416">
    <cfRule type="duplicateValues" dxfId="7933" priority="3360"/>
    <cfRule type="duplicateValues" dxfId="7932" priority="3361"/>
  </conditionalFormatting>
  <conditionalFormatting sqref="B417">
    <cfRule type="duplicateValues" dxfId="7931" priority="3241"/>
    <cfRule type="duplicateValues" dxfId="7930" priority="3240"/>
  </conditionalFormatting>
  <conditionalFormatting sqref="B418">
    <cfRule type="duplicateValues" dxfId="7929" priority="3209"/>
    <cfRule type="duplicateValues" dxfId="7928" priority="3210"/>
  </conditionalFormatting>
  <conditionalFormatting sqref="B419">
    <cfRule type="duplicateValues" dxfId="7927" priority="3303"/>
    <cfRule type="duplicateValues" dxfId="7926" priority="3302"/>
  </conditionalFormatting>
  <conditionalFormatting sqref="B420">
    <cfRule type="duplicateValues" dxfId="7925" priority="3272"/>
    <cfRule type="duplicateValues" dxfId="7924" priority="3271"/>
  </conditionalFormatting>
  <conditionalFormatting sqref="B421:B422 B486:B487 B557:B558">
    <cfRule type="duplicateValues" dxfId="7923" priority="6820"/>
  </conditionalFormatting>
  <conditionalFormatting sqref="B423:B425 B437 B448:B457">
    <cfRule type="duplicateValues" dxfId="7922" priority="6506"/>
    <cfRule type="duplicateValues" dxfId="7921" priority="6507"/>
  </conditionalFormatting>
  <conditionalFormatting sqref="B423:B425">
    <cfRule type="expression" dxfId="7920" priority="6711">
      <formula xml:space="preserve"> AND($J423="gg",$A423 = "end group")</formula>
    </cfRule>
    <cfRule type="expression" dxfId="7919" priority="6710">
      <formula xml:space="preserve"> $A423 = "begin group"</formula>
    </cfRule>
  </conditionalFormatting>
  <conditionalFormatting sqref="B423:B436">
    <cfRule type="expression" dxfId="7918" priority="6573">
      <formula>AND($J423="section",$A423="begin group")</formula>
    </cfRule>
    <cfRule type="expression" dxfId="7917" priority="6574">
      <formula>AND($J423 = "section",$A423 = "end group")</formula>
    </cfRule>
  </conditionalFormatting>
  <conditionalFormatting sqref="B426:B436">
    <cfRule type="duplicateValues" dxfId="7916" priority="6577"/>
    <cfRule type="expression" dxfId="7915" priority="6575">
      <formula xml:space="preserve"> $A426 = "begin group"</formula>
    </cfRule>
    <cfRule type="expression" dxfId="7914" priority="6576">
      <formula xml:space="preserve"> AND($J426="gg",$A426 = "end group")</formula>
    </cfRule>
    <cfRule type="duplicateValues" dxfId="7913" priority="6578"/>
  </conditionalFormatting>
  <conditionalFormatting sqref="B428 B363:B369 B374:B375 B380:B381 I365:I367 A365:A367 L365:W366 A446:A447 I446:I447 I441:I443 A441:A443 M441:W442 M446:W447 L430:L431 B439:B447">
    <cfRule type="expression" dxfId="7912" priority="6806">
      <formula>AND($U$1="disabled",$U363="yes")</formula>
    </cfRule>
    <cfRule type="expression" dxfId="7911" priority="6807">
      <formula>$A363 = "begin repeat"</formula>
    </cfRule>
    <cfRule type="expression" dxfId="7910" priority="6808">
      <formula xml:space="preserve"> $A372 = "end repeat"</formula>
    </cfRule>
  </conditionalFormatting>
  <conditionalFormatting sqref="B428:B436 J428:J436">
    <cfRule type="expression" dxfId="7909" priority="6778">
      <formula xml:space="preserve"> $A448 = "end repeat"</formula>
    </cfRule>
    <cfRule type="expression" dxfId="7908" priority="6777">
      <formula>$A428 = "begin repeat"</formula>
    </cfRule>
    <cfRule type="expression" dxfId="7907" priority="6776">
      <formula>AND($U$1="disabled",$U428="yes")</formula>
    </cfRule>
  </conditionalFormatting>
  <conditionalFormatting sqref="B438:B447">
    <cfRule type="duplicateValues" dxfId="7906" priority="6512"/>
    <cfRule type="expression" dxfId="7905" priority="6510">
      <formula xml:space="preserve"> $A438 = "begin group"</formula>
    </cfRule>
    <cfRule type="duplicateValues" dxfId="7904" priority="6513"/>
    <cfRule type="expression" dxfId="7903" priority="6511">
      <formula xml:space="preserve"> AND($J438="gg",$A438 = "end group")</formula>
    </cfRule>
  </conditionalFormatting>
  <conditionalFormatting sqref="B458 I458:K458 D458 M458:W458">
    <cfRule type="expression" dxfId="7902" priority="5626">
      <formula xml:space="preserve"> AND($J458="gg",$A458 = "end group")</formula>
    </cfRule>
    <cfRule type="expression" dxfId="7901" priority="5625">
      <formula xml:space="preserve"> $A458 = "begin group"</formula>
    </cfRule>
  </conditionalFormatting>
  <conditionalFormatting sqref="B458">
    <cfRule type="duplicateValues" dxfId="7900" priority="5617"/>
    <cfRule type="expression" dxfId="7899" priority="5624">
      <formula>AND($J458 = "section",$A458 = "end group")</formula>
    </cfRule>
    <cfRule type="duplicateValues" dxfId="7898" priority="5616"/>
  </conditionalFormatting>
  <conditionalFormatting sqref="B459">
    <cfRule type="duplicateValues" dxfId="7897" priority="5099"/>
    <cfRule type="duplicateValues" dxfId="7896" priority="5100"/>
    <cfRule type="expression" dxfId="7895" priority="5107">
      <formula>AND($J459 = "section",$A459 = "end group")</formula>
    </cfRule>
  </conditionalFormatting>
  <conditionalFormatting sqref="B460">
    <cfRule type="duplicateValues" dxfId="7894" priority="5078"/>
    <cfRule type="expression" dxfId="7893" priority="5086">
      <formula>AND($J460 = "section",$A460 = "end group")</formula>
    </cfRule>
    <cfRule type="duplicateValues" dxfId="7892" priority="5079"/>
  </conditionalFormatting>
  <conditionalFormatting sqref="B461 I461:J461 D461">
    <cfRule type="expression" dxfId="7891" priority="5334">
      <formula xml:space="preserve"> AND($J461="gg",$A461 = "end group")</formula>
    </cfRule>
    <cfRule type="expression" dxfId="7890" priority="5333">
      <formula xml:space="preserve"> $A461 = "begin group"</formula>
    </cfRule>
  </conditionalFormatting>
  <conditionalFormatting sqref="B461">
    <cfRule type="duplicateValues" dxfId="7889" priority="5321"/>
    <cfRule type="duplicateValues" dxfId="7888" priority="5322"/>
    <cfRule type="expression" dxfId="7887" priority="5331">
      <formula>AND($J461="section",$A461="begin group")</formula>
    </cfRule>
    <cfRule type="expression" dxfId="7886" priority="5332">
      <formula>AND($J461 = "section",$A461 = "end group")</formula>
    </cfRule>
  </conditionalFormatting>
  <conditionalFormatting sqref="B462 I462:J462 D462">
    <cfRule type="expression" dxfId="7885" priority="5075">
      <formula xml:space="preserve"> AND($J462="gg",$A462 = "end group")</formula>
    </cfRule>
    <cfRule type="expression" dxfId="7884" priority="5074">
      <formula xml:space="preserve"> $A462 = "begin group"</formula>
    </cfRule>
  </conditionalFormatting>
  <conditionalFormatting sqref="B462">
    <cfRule type="expression" dxfId="7883" priority="5073">
      <formula>AND($J462 = "section",$A462 = "end group")</formula>
    </cfRule>
    <cfRule type="expression" dxfId="7882" priority="5072">
      <formula>AND($J462="section",$A462="begin group")</formula>
    </cfRule>
    <cfRule type="duplicateValues" dxfId="7881" priority="5062"/>
    <cfRule type="duplicateValues" dxfId="7880" priority="5063"/>
  </conditionalFormatting>
  <conditionalFormatting sqref="B463 I463:J463 D463">
    <cfRule type="expression" dxfId="7879" priority="5612">
      <formula xml:space="preserve"> $A463 = "begin group"</formula>
    </cfRule>
    <cfRule type="expression" dxfId="7878" priority="5613">
      <formula xml:space="preserve"> AND($J463="gg",$A463 = "end group")</formula>
    </cfRule>
  </conditionalFormatting>
  <conditionalFormatting sqref="B463">
    <cfRule type="expression" dxfId="7877" priority="5611">
      <formula>AND($J463 = "section",$A463 = "end group")</formula>
    </cfRule>
    <cfRule type="duplicateValues" dxfId="7876" priority="5600"/>
    <cfRule type="duplicateValues" dxfId="7875" priority="5601"/>
    <cfRule type="expression" dxfId="7874" priority="5610">
      <formula>AND($J463="section",$A463="begin group")</formula>
    </cfRule>
  </conditionalFormatting>
  <conditionalFormatting sqref="B464 I464:J464 D464">
    <cfRule type="expression" dxfId="7873" priority="5582">
      <formula xml:space="preserve"> AND($J464="gg",$A464 = "end group")</formula>
    </cfRule>
    <cfRule type="expression" dxfId="7872" priority="5581">
      <formula xml:space="preserve"> $A464 = "begin group"</formula>
    </cfRule>
  </conditionalFormatting>
  <conditionalFormatting sqref="B464">
    <cfRule type="expression" dxfId="7871" priority="5579">
      <formula>AND($J464="section",$A464="begin group")</formula>
    </cfRule>
    <cfRule type="duplicateValues" dxfId="7870" priority="5569"/>
    <cfRule type="duplicateValues" dxfId="7869" priority="5570"/>
    <cfRule type="expression" dxfId="7868" priority="5580">
      <formula>AND($J464 = "section",$A464 = "end group")</formula>
    </cfRule>
  </conditionalFormatting>
  <conditionalFormatting sqref="B465 I465:J465 D465">
    <cfRule type="expression" dxfId="7867" priority="5551">
      <formula xml:space="preserve"> AND($J465="gg",$A465 = "end group")</formula>
    </cfRule>
    <cfRule type="expression" dxfId="7866" priority="5550">
      <formula xml:space="preserve"> $A465 = "begin group"</formula>
    </cfRule>
  </conditionalFormatting>
  <conditionalFormatting sqref="B465">
    <cfRule type="expression" dxfId="7865" priority="5549">
      <formula>AND($J465 = "section",$A465 = "end group")</formula>
    </cfRule>
    <cfRule type="expression" dxfId="7864" priority="5548">
      <formula>AND($J465="section",$A465="begin group")</formula>
    </cfRule>
    <cfRule type="duplicateValues" dxfId="7863" priority="5539"/>
    <cfRule type="duplicateValues" dxfId="7862" priority="5538"/>
  </conditionalFormatting>
  <conditionalFormatting sqref="B466 I466:J466 D466">
    <cfRule type="expression" dxfId="7861" priority="3729">
      <formula xml:space="preserve"> $A466 = "begin group"</formula>
    </cfRule>
    <cfRule type="expression" dxfId="7860" priority="3730">
      <formula xml:space="preserve"> AND($J466="gg",$A466 = "end group")</formula>
    </cfRule>
  </conditionalFormatting>
  <conditionalFormatting sqref="B466">
    <cfRule type="duplicateValues" dxfId="7859" priority="3717"/>
    <cfRule type="duplicateValues" dxfId="7858" priority="3718"/>
  </conditionalFormatting>
  <conditionalFormatting sqref="B467 I467:J467 D467">
    <cfRule type="expression" dxfId="7857" priority="3692">
      <formula xml:space="preserve"> AND($J467="gg",$A467 = "end group")</formula>
    </cfRule>
    <cfRule type="expression" dxfId="7856" priority="3691">
      <formula xml:space="preserve"> $A467 = "begin group"</formula>
    </cfRule>
  </conditionalFormatting>
  <conditionalFormatting sqref="B467">
    <cfRule type="duplicateValues" dxfId="7855" priority="3679"/>
    <cfRule type="duplicateValues" dxfId="7854" priority="3680"/>
  </conditionalFormatting>
  <conditionalFormatting sqref="B468 I468:J468 D468">
    <cfRule type="expression" dxfId="7853" priority="5302">
      <formula xml:space="preserve"> $A468 = "begin group"</formula>
    </cfRule>
    <cfRule type="expression" dxfId="7852" priority="5303">
      <formula xml:space="preserve"> AND($J468="gg",$A468 = "end group")</formula>
    </cfRule>
  </conditionalFormatting>
  <conditionalFormatting sqref="B468 J468 B403 J403 B482 J482 B417 J417 A404:A407 D404:D407 I404:I407 I372:I373 M372:W373 D372:D373 A372:A373 L379:L385 I378:I379 I384:I385 D378:D379 D384:D385 A378:A379 A384:A385 D469:D472 I469:I472 D483:D485 I483:I485 A418:A420 D418:D420 I418:I420">
    <cfRule type="expression" dxfId="7851" priority="6395">
      <formula xml:space="preserve"> $A421 = "end repeat"</formula>
    </cfRule>
    <cfRule type="expression" dxfId="7850" priority="6394">
      <formula>$A372 = "begin repeat"</formula>
    </cfRule>
    <cfRule type="expression" dxfId="7849" priority="6393">
      <formula>AND($U$1="disabled",$U372="yes")</formula>
    </cfRule>
  </conditionalFormatting>
  <conditionalFormatting sqref="B468">
    <cfRule type="duplicateValues" dxfId="7848" priority="5290"/>
    <cfRule type="expression" dxfId="7847" priority="5300">
      <formula>AND($J468="section",$A468="begin group")</formula>
    </cfRule>
    <cfRule type="expression" dxfId="7846" priority="5301">
      <formula>AND($J468 = "section",$A468 = "end group")</formula>
    </cfRule>
    <cfRule type="duplicateValues" dxfId="7845" priority="5291"/>
  </conditionalFormatting>
  <conditionalFormatting sqref="B469 I469:J469 D469">
    <cfRule type="expression" dxfId="7844" priority="5148">
      <formula xml:space="preserve"> AND($J469="gg",$A469 = "end group")</formula>
    </cfRule>
    <cfRule type="expression" dxfId="7843" priority="5147">
      <formula xml:space="preserve"> $A469 = "begin group"</formula>
    </cfRule>
  </conditionalFormatting>
  <conditionalFormatting sqref="B469">
    <cfRule type="duplicateValues" dxfId="7842" priority="5135"/>
    <cfRule type="duplicateValues" dxfId="7841" priority="5136"/>
    <cfRule type="expression" dxfId="7840" priority="5145">
      <formula>AND($J469="section",$A469="begin group")</formula>
    </cfRule>
    <cfRule type="expression" dxfId="7839" priority="5146">
      <formula>AND($J469 = "section",$A469 = "end group")</formula>
    </cfRule>
  </conditionalFormatting>
  <conditionalFormatting sqref="B470 I470:J470 D470">
    <cfRule type="expression" dxfId="7838" priority="5519">
      <formula xml:space="preserve"> $A470 = "begin group"</formula>
    </cfRule>
    <cfRule type="expression" dxfId="7837" priority="5520">
      <formula xml:space="preserve"> AND($J470="gg",$A470 = "end group")</formula>
    </cfRule>
  </conditionalFormatting>
  <conditionalFormatting sqref="B470">
    <cfRule type="duplicateValues" dxfId="7836" priority="5508"/>
    <cfRule type="expression" dxfId="7835" priority="5518">
      <formula>AND($J470 = "section",$A470 = "end group")</formula>
    </cfRule>
    <cfRule type="expression" dxfId="7834" priority="5517">
      <formula>AND($J470="section",$A470="begin group")</formula>
    </cfRule>
    <cfRule type="duplicateValues" dxfId="7833" priority="5507"/>
  </conditionalFormatting>
  <conditionalFormatting sqref="B471 I471:J471 D471">
    <cfRule type="expression" dxfId="7832" priority="5489">
      <formula xml:space="preserve"> AND($J471="gg",$A471 = "end group")</formula>
    </cfRule>
    <cfRule type="expression" dxfId="7831" priority="5488">
      <formula xml:space="preserve"> $A471 = "begin group"</formula>
    </cfRule>
  </conditionalFormatting>
  <conditionalFormatting sqref="B471">
    <cfRule type="expression" dxfId="7830" priority="5487">
      <formula>AND($J471 = "section",$A471 = "end group")</formula>
    </cfRule>
    <cfRule type="duplicateValues" dxfId="7829" priority="5476"/>
    <cfRule type="duplicateValues" dxfId="7828" priority="5477"/>
    <cfRule type="expression" dxfId="7827" priority="5486">
      <formula>AND($J471="section",$A471="begin group")</formula>
    </cfRule>
  </conditionalFormatting>
  <conditionalFormatting sqref="B472 I472:J472 D472">
    <cfRule type="expression" dxfId="7826" priority="5272">
      <formula xml:space="preserve"> AND($J472="gg",$A472 = "end group")</formula>
    </cfRule>
    <cfRule type="expression" dxfId="7825" priority="5271">
      <formula xml:space="preserve"> $A472 = "begin group"</formula>
    </cfRule>
  </conditionalFormatting>
  <conditionalFormatting sqref="B472">
    <cfRule type="duplicateValues" dxfId="7824" priority="5259"/>
    <cfRule type="duplicateValues" dxfId="7823" priority="5260"/>
    <cfRule type="expression" dxfId="7822" priority="5269">
      <formula>AND($J472="section",$A472="begin group")</formula>
    </cfRule>
    <cfRule type="expression" dxfId="7821" priority="5270">
      <formula>AND($J472 = "section",$A472 = "end group")</formula>
    </cfRule>
  </conditionalFormatting>
  <conditionalFormatting sqref="B473 I473:J473 D473">
    <cfRule type="expression" dxfId="7820" priority="5179">
      <formula xml:space="preserve"> AND($J473="gg",$A473 = "end group")</formula>
    </cfRule>
    <cfRule type="expression" dxfId="7819" priority="5178">
      <formula xml:space="preserve"> $A473 = "begin group"</formula>
    </cfRule>
  </conditionalFormatting>
  <conditionalFormatting sqref="B473">
    <cfRule type="expression" dxfId="7818" priority="5177">
      <formula>AND($J473 = "section",$A473 = "end group")</formula>
    </cfRule>
    <cfRule type="duplicateValues" dxfId="7817" priority="5166"/>
    <cfRule type="duplicateValues" dxfId="7816" priority="5167"/>
    <cfRule type="expression" dxfId="7815" priority="5176">
      <formula>AND($J473="section",$A473="begin group")</formula>
    </cfRule>
  </conditionalFormatting>
  <conditionalFormatting sqref="B474 I474:J474 D474">
    <cfRule type="expression" dxfId="7814" priority="5240">
      <formula xml:space="preserve"> $A474 = "begin group"</formula>
    </cfRule>
    <cfRule type="expression" dxfId="7813" priority="5241">
      <formula xml:space="preserve"> AND($J474="gg",$A474 = "end group")</formula>
    </cfRule>
  </conditionalFormatting>
  <conditionalFormatting sqref="B474">
    <cfRule type="duplicateValues" dxfId="7812" priority="5228"/>
    <cfRule type="expression" dxfId="7811" priority="5239">
      <formula>AND($J474 = "section",$A474 = "end group")</formula>
    </cfRule>
    <cfRule type="expression" dxfId="7810" priority="5238">
      <formula>AND($J474="section",$A474="begin group")</formula>
    </cfRule>
    <cfRule type="duplicateValues" dxfId="7809" priority="5229"/>
  </conditionalFormatting>
  <conditionalFormatting sqref="B475 I475:J475 D475">
    <cfRule type="expression" dxfId="7808" priority="5457">
      <formula xml:space="preserve"> $A475 = "begin group"</formula>
    </cfRule>
    <cfRule type="expression" dxfId="7807" priority="5458">
      <formula xml:space="preserve"> AND($J475="gg",$A475 = "end group")</formula>
    </cfRule>
  </conditionalFormatting>
  <conditionalFormatting sqref="B475">
    <cfRule type="duplicateValues" dxfId="7806" priority="5445"/>
    <cfRule type="expression" dxfId="7805" priority="5455">
      <formula>AND($J475="section",$A475="begin group")</formula>
    </cfRule>
    <cfRule type="expression" dxfId="7804" priority="5456">
      <formula>AND($J475 = "section",$A475 = "end group")</formula>
    </cfRule>
    <cfRule type="duplicateValues" dxfId="7803" priority="5446"/>
  </conditionalFormatting>
  <conditionalFormatting sqref="B476 I476:J476 D476">
    <cfRule type="expression" dxfId="7802" priority="5427">
      <formula xml:space="preserve"> AND($J476="gg",$A476 = "end group")</formula>
    </cfRule>
    <cfRule type="expression" dxfId="7801" priority="5426">
      <formula xml:space="preserve"> $A476 = "begin group"</formula>
    </cfRule>
  </conditionalFormatting>
  <conditionalFormatting sqref="B476">
    <cfRule type="duplicateValues" dxfId="7800" priority="5414"/>
    <cfRule type="duplicateValues" dxfId="7799" priority="5415"/>
    <cfRule type="expression" dxfId="7798" priority="5425">
      <formula>AND($J476 = "section",$A476 = "end group")</formula>
    </cfRule>
    <cfRule type="expression" dxfId="7797" priority="5424">
      <formula>AND($J476="section",$A476="begin group")</formula>
    </cfRule>
  </conditionalFormatting>
  <conditionalFormatting sqref="B477 I477:J477 D477">
    <cfRule type="expression" dxfId="7796" priority="5210">
      <formula xml:space="preserve"> AND($J477="gg",$A477 = "end group")</formula>
    </cfRule>
    <cfRule type="expression" dxfId="7795" priority="5209">
      <formula xml:space="preserve"> $A477 = "begin group"</formula>
    </cfRule>
  </conditionalFormatting>
  <conditionalFormatting sqref="B477">
    <cfRule type="expression" dxfId="7794" priority="5207">
      <formula>AND($J477="section",$A477="begin group")</formula>
    </cfRule>
    <cfRule type="duplicateValues" dxfId="7793" priority="5198"/>
    <cfRule type="expression" dxfId="7792" priority="5208">
      <formula>AND($J477 = "section",$A477 = "end group")</formula>
    </cfRule>
    <cfRule type="duplicateValues" dxfId="7791" priority="5197"/>
  </conditionalFormatting>
  <conditionalFormatting sqref="B478 D468:D480">
    <cfRule type="expression" dxfId="7790" priority="5041">
      <formula>AND($J468="section",$A468="begin group")</formula>
    </cfRule>
    <cfRule type="expression" dxfId="7789" priority="5042">
      <formula>AND($J468 = "section",$A468 = "end group")</formula>
    </cfRule>
  </conditionalFormatting>
  <conditionalFormatting sqref="B478 I478:J478 D478">
    <cfRule type="expression" dxfId="7788" priority="5044">
      <formula xml:space="preserve"> AND($J478="gg",$A478 = "end group")</formula>
    </cfRule>
    <cfRule type="expression" dxfId="7787" priority="5043">
      <formula xml:space="preserve"> $A478 = "begin group"</formula>
    </cfRule>
  </conditionalFormatting>
  <conditionalFormatting sqref="B478">
    <cfRule type="duplicateValues" dxfId="7786" priority="5032"/>
    <cfRule type="duplicateValues" dxfId="7785" priority="5031"/>
  </conditionalFormatting>
  <conditionalFormatting sqref="B479 I479:J479 D479">
    <cfRule type="expression" dxfId="7784" priority="5395">
      <formula xml:space="preserve"> $A479 = "begin group"</formula>
    </cfRule>
    <cfRule type="expression" dxfId="7783" priority="5396">
      <formula xml:space="preserve"> AND($J479="gg",$A479 = "end group")</formula>
    </cfRule>
  </conditionalFormatting>
  <conditionalFormatting sqref="B479">
    <cfRule type="expression" dxfId="7782" priority="5394">
      <formula>AND($J479 = "section",$A479 = "end group")</formula>
    </cfRule>
    <cfRule type="expression" dxfId="7781" priority="5393">
      <formula>AND($J479="section",$A479="begin group")</formula>
    </cfRule>
    <cfRule type="duplicateValues" dxfId="7780" priority="5384"/>
    <cfRule type="duplicateValues" dxfId="7779" priority="5383"/>
  </conditionalFormatting>
  <conditionalFormatting sqref="B480 I480:J480 D480">
    <cfRule type="expression" dxfId="7778" priority="5365">
      <formula xml:space="preserve"> AND($J480="gg",$A480 = "end group")</formula>
    </cfRule>
    <cfRule type="expression" dxfId="7777" priority="5364">
      <formula xml:space="preserve"> $A480 = "begin group"</formula>
    </cfRule>
  </conditionalFormatting>
  <conditionalFormatting sqref="B480">
    <cfRule type="expression" dxfId="7776" priority="5362">
      <formula>AND($J480="section",$A480="begin group")</formula>
    </cfRule>
    <cfRule type="duplicateValues" dxfId="7775" priority="5353"/>
    <cfRule type="duplicateValues" dxfId="7774" priority="5352"/>
    <cfRule type="expression" dxfId="7773" priority="5363">
      <formula>AND($J480 = "section",$A480 = "end group")</formula>
    </cfRule>
  </conditionalFormatting>
  <conditionalFormatting sqref="B481 I481:J481 D481">
    <cfRule type="expression" dxfId="7772" priority="3647">
      <formula xml:space="preserve"> $A481 = "begin group"</formula>
    </cfRule>
    <cfRule type="expression" dxfId="7771" priority="3648">
      <formula xml:space="preserve"> AND($J481="gg",$A481 = "end group")</formula>
    </cfRule>
  </conditionalFormatting>
  <conditionalFormatting sqref="B481">
    <cfRule type="duplicateValues" dxfId="7770" priority="3636"/>
    <cfRule type="duplicateValues" dxfId="7769" priority="3635"/>
  </conditionalFormatting>
  <conditionalFormatting sqref="B482 I482:J482 D482">
    <cfRule type="expression" dxfId="7768" priority="3506">
      <formula xml:space="preserve"> AND($J482="gg",$A482 = "end group")</formula>
    </cfRule>
    <cfRule type="expression" dxfId="7767" priority="3505">
      <formula xml:space="preserve"> $A482 = "begin group"</formula>
    </cfRule>
  </conditionalFormatting>
  <conditionalFormatting sqref="B482">
    <cfRule type="expression" dxfId="7766" priority="3504">
      <formula>AND($J482 = "section",$A482 = "end group")</formula>
    </cfRule>
    <cfRule type="duplicateValues" dxfId="7765" priority="3494"/>
    <cfRule type="expression" dxfId="7764" priority="3503">
      <formula>AND($J482="section",$A482="begin group")</formula>
    </cfRule>
    <cfRule type="duplicateValues" dxfId="7763" priority="3493"/>
  </conditionalFormatting>
  <conditionalFormatting sqref="B483 D481:D485">
    <cfRule type="expression" dxfId="7762" priority="3473">
      <formula>AND($J481 = "section",$A481 = "end group")</formula>
    </cfRule>
    <cfRule type="expression" dxfId="7761" priority="3472">
      <formula>AND($J481="section",$A481="begin group")</formula>
    </cfRule>
  </conditionalFormatting>
  <conditionalFormatting sqref="B483 I483:J483 D483">
    <cfRule type="expression" dxfId="7760" priority="3474">
      <formula xml:space="preserve"> $A483 = "begin group"</formula>
    </cfRule>
    <cfRule type="expression" dxfId="7759" priority="3475">
      <formula xml:space="preserve"> AND($J483="gg",$A483 = "end group")</formula>
    </cfRule>
  </conditionalFormatting>
  <conditionalFormatting sqref="B483">
    <cfRule type="duplicateValues" dxfId="7758" priority="3463"/>
    <cfRule type="duplicateValues" dxfId="7757" priority="3462"/>
  </conditionalFormatting>
  <conditionalFormatting sqref="B484 I484:J484 D484">
    <cfRule type="expression" dxfId="7756" priority="3567">
      <formula xml:space="preserve"> $A484 = "begin group"</formula>
    </cfRule>
    <cfRule type="expression" dxfId="7755" priority="3568">
      <formula xml:space="preserve"> AND($J484="gg",$A484 = "end group")</formula>
    </cfRule>
  </conditionalFormatting>
  <conditionalFormatting sqref="B484">
    <cfRule type="expression" dxfId="7754" priority="3566">
      <formula>AND($J484 = "section",$A484 = "end group")</formula>
    </cfRule>
    <cfRule type="duplicateValues" dxfId="7753" priority="3556"/>
    <cfRule type="duplicateValues" dxfId="7752" priority="3555"/>
    <cfRule type="expression" dxfId="7751" priority="3565">
      <formula>AND($J484="section",$A484="begin group")</formula>
    </cfRule>
  </conditionalFormatting>
  <conditionalFormatting sqref="B485 I485:J485 D485">
    <cfRule type="expression" dxfId="7750" priority="3536">
      <formula xml:space="preserve"> $A485 = "begin group"</formula>
    </cfRule>
    <cfRule type="expression" dxfId="7749" priority="3537">
      <formula xml:space="preserve"> AND($J485="gg",$A485 = "end group")</formula>
    </cfRule>
  </conditionalFormatting>
  <conditionalFormatting sqref="B485">
    <cfRule type="duplicateValues" dxfId="7748" priority="3525"/>
    <cfRule type="duplicateValues" dxfId="7747" priority="3524"/>
    <cfRule type="expression" dxfId="7746" priority="3534">
      <formula>AND($J485="section",$A485="begin group")</formula>
    </cfRule>
    <cfRule type="expression" dxfId="7745" priority="3535">
      <formula>AND($J485 = "section",$A485 = "end group")</formula>
    </cfRule>
  </conditionalFormatting>
  <conditionalFormatting sqref="B486:B487 B421:B422 B557:B558">
    <cfRule type="duplicateValues" dxfId="7744" priority="6819"/>
  </conditionalFormatting>
  <conditionalFormatting sqref="B488:B503">
    <cfRule type="duplicateValues" dxfId="7743" priority="6604"/>
    <cfRule type="duplicateValues" dxfId="7742" priority="6603"/>
  </conditionalFormatting>
  <conditionalFormatting sqref="B504:B530 B532 B534:B548">
    <cfRule type="duplicateValues" dxfId="7741" priority="4289"/>
    <cfRule type="duplicateValues" dxfId="7740" priority="4288"/>
  </conditionalFormatting>
  <conditionalFormatting sqref="B507 L500 K412 M498:W499 I502:J503 M502:W503 J504:J505 B502:B505 B511:B513 B549:B550 B532:B533">
    <cfRule type="expression" dxfId="7739" priority="6409">
      <formula>$A412 = "begin repeat"</formula>
    </cfRule>
    <cfRule type="expression" dxfId="7738" priority="6408">
      <formula>AND($U$1="disabled",$U412="yes")</formula>
    </cfRule>
    <cfRule type="expression" dxfId="7737" priority="6410">
      <formula xml:space="preserve"> $A486 = "end repeat"</formula>
    </cfRule>
  </conditionalFormatting>
  <conditionalFormatting sqref="B521 K499 K508 I390:I391 D390:D391 A390:A392 L396:L397 L461:L462">
    <cfRule type="expression" dxfId="7736" priority="3800">
      <formula>$A390 = "begin repeat"</formula>
    </cfRule>
    <cfRule type="expression" dxfId="7735" priority="3799">
      <formula>AND($U$1="disabled",$U390="yes")</formula>
    </cfRule>
    <cfRule type="expression" dxfId="7734" priority="3801">
      <formula xml:space="preserve"> $A449 = "end repeat"</formula>
    </cfRule>
  </conditionalFormatting>
  <conditionalFormatting sqref="B531">
    <cfRule type="duplicateValues" dxfId="7733" priority="3802"/>
    <cfRule type="duplicateValues" dxfId="7732" priority="3803"/>
  </conditionalFormatting>
  <conditionalFormatting sqref="B533">
    <cfRule type="duplicateValues" dxfId="7731" priority="3740"/>
    <cfRule type="duplicateValues" dxfId="7730" priority="3741"/>
  </conditionalFormatting>
  <conditionalFormatting sqref="B534 I501:J501 B501 M500:W500 B503 B506 K413:K415 B549:B551">
    <cfRule type="expression" dxfId="7729" priority="6405">
      <formula>AND($U$1="disabled",$U413="yes")</formula>
    </cfRule>
    <cfRule type="expression" dxfId="7728" priority="6406">
      <formula>$A413 = "begin repeat"</formula>
    </cfRule>
    <cfRule type="expression" dxfId="7727" priority="6407">
      <formula xml:space="preserve"> $A486 = "end repeat"</formula>
    </cfRule>
  </conditionalFormatting>
  <conditionalFormatting sqref="B534:B539 B551:B556">
    <cfRule type="expression" dxfId="7726" priority="4223">
      <formula>$A534 = "begin repeat"</formula>
    </cfRule>
    <cfRule type="expression" dxfId="7725" priority="4224">
      <formula xml:space="preserve"> $A639 = "end repeat"</formula>
    </cfRule>
    <cfRule type="expression" dxfId="7724" priority="4222">
      <formula>AND($U$1="disabled",$U534="yes")</formula>
    </cfRule>
  </conditionalFormatting>
  <conditionalFormatting sqref="B540:B548">
    <cfRule type="expression" dxfId="7723" priority="3611">
      <formula>AND($U$1="disabled",$U540="yes")</formula>
    </cfRule>
    <cfRule type="expression" dxfId="7722" priority="3612">
      <formula>$A540 = "begin repeat"</formula>
    </cfRule>
    <cfRule type="expression" dxfId="7721" priority="3613">
      <formula xml:space="preserve"> $A654 = "end repeat"</formula>
    </cfRule>
  </conditionalFormatting>
  <conditionalFormatting sqref="B549">
    <cfRule type="duplicateValues" dxfId="7720" priority="4131"/>
    <cfRule type="duplicateValues" dxfId="7719" priority="4130"/>
  </conditionalFormatting>
  <conditionalFormatting sqref="B550">
    <cfRule type="duplicateValues" dxfId="7718" priority="4071"/>
    <cfRule type="duplicateValues" dxfId="7717" priority="4072"/>
  </conditionalFormatting>
  <conditionalFormatting sqref="B551:B556">
    <cfRule type="duplicateValues" dxfId="7716" priority="3847"/>
    <cfRule type="duplicateValues" dxfId="7715" priority="3846"/>
  </conditionalFormatting>
  <conditionalFormatting sqref="B559:B565">
    <cfRule type="expression" dxfId="7714" priority="2607">
      <formula xml:space="preserve"> AND($J559="gg",$A559 = "end group")</formula>
    </cfRule>
    <cfRule type="expression" dxfId="7713" priority="2604">
      <formula>AND($J559="section",$A559="begin group")</formula>
    </cfRule>
    <cfRule type="expression" dxfId="7712" priority="2606">
      <formula xml:space="preserve"> $A559 = "begin group"</formula>
    </cfRule>
    <cfRule type="expression" dxfId="7711" priority="2605">
      <formula>AND($J559 = "section",$A559 = "end group")</formula>
    </cfRule>
  </conditionalFormatting>
  <conditionalFormatting sqref="B575 J575 L745 L750">
    <cfRule type="expression" dxfId="7710" priority="2531">
      <formula>AND($U$1="disabled",$U575="yes")</formula>
    </cfRule>
    <cfRule type="expression" dxfId="7709" priority="2533">
      <formula xml:space="preserve"> $A652 = "end repeat"</formula>
    </cfRule>
    <cfRule type="expression" dxfId="7708" priority="2532">
      <formula>$A575 = "begin repeat"</formula>
    </cfRule>
  </conditionalFormatting>
  <conditionalFormatting sqref="B580 J580">
    <cfRule type="expression" dxfId="7707" priority="2168">
      <formula>$A580 = "begin repeat"</formula>
    </cfRule>
    <cfRule type="expression" dxfId="7706" priority="2167">
      <formula>AND($U$1="disabled",$U580="yes")</formula>
    </cfRule>
    <cfRule type="expression" dxfId="7705" priority="2169">
      <formula xml:space="preserve"> $A654 = "end repeat"</formula>
    </cfRule>
  </conditionalFormatting>
  <conditionalFormatting sqref="B597 J597 K594:K597">
    <cfRule type="expression" dxfId="7704" priority="2088">
      <formula>AND($U$1="disabled",$U594="yes")</formula>
    </cfRule>
    <cfRule type="expression" dxfId="7703" priority="2090">
      <formula xml:space="preserve"> $A647 = "end repeat"</formula>
    </cfRule>
    <cfRule type="expression" dxfId="7702" priority="2089">
      <formula>$A594 = "begin repeat"</formula>
    </cfRule>
  </conditionalFormatting>
  <conditionalFormatting sqref="B599:B603 J599:J603">
    <cfRule type="expression" dxfId="7701" priority="2346">
      <formula xml:space="preserve"> $A655 = "end repeat"</formula>
    </cfRule>
    <cfRule type="expression" dxfId="7700" priority="2344">
      <formula>AND($U$1="disabled",$U599="yes")</formula>
    </cfRule>
    <cfRule type="expression" dxfId="7699" priority="2345">
      <formula>$A599 = "begin repeat"</formula>
    </cfRule>
  </conditionalFormatting>
  <conditionalFormatting sqref="B604:B605 J604:J605">
    <cfRule type="expression" dxfId="7698" priority="2129">
      <formula>AND($J604="section",$A604="begin group")</formula>
    </cfRule>
    <cfRule type="expression" dxfId="7697" priority="2132">
      <formula xml:space="preserve"> AND($J604="gg",$A604 = "end group")</formula>
    </cfRule>
    <cfRule type="expression" dxfId="7696" priority="2131">
      <formula xml:space="preserve"> $A604 = "begin group"</formula>
    </cfRule>
    <cfRule type="expression" dxfId="7695" priority="2130">
      <formula>AND($J604 = "section",$A604 = "end group")</formula>
    </cfRule>
  </conditionalFormatting>
  <conditionalFormatting sqref="B604:B605">
    <cfRule type="duplicateValues" dxfId="7694" priority="2128"/>
    <cfRule type="duplicateValues" dxfId="7693" priority="2127"/>
  </conditionalFormatting>
  <conditionalFormatting sqref="B604:B607 J604:J607">
    <cfRule type="expression" dxfId="7692" priority="2558">
      <formula>AND($U$1="disabled",$U604="yes")</formula>
    </cfRule>
    <cfRule type="expression" dxfId="7691" priority="2559">
      <formula>$A604 = "begin repeat"</formula>
    </cfRule>
    <cfRule type="expression" dxfId="7690" priority="2560">
      <formula xml:space="preserve"> $A658 = "end repeat"</formula>
    </cfRule>
  </conditionalFormatting>
  <conditionalFormatting sqref="B606:B607 B559:B603">
    <cfRule type="duplicateValues" dxfId="7689" priority="2609"/>
    <cfRule type="duplicateValues" dxfId="7688" priority="2608"/>
  </conditionalFormatting>
  <conditionalFormatting sqref="B608:B611">
    <cfRule type="expression" dxfId="7687" priority="2025">
      <formula xml:space="preserve"> AND($J608="gg",$A608 = "end group")</formula>
    </cfRule>
    <cfRule type="expression" dxfId="7686" priority="2024">
      <formula xml:space="preserve"> $A608 = "begin group"</formula>
    </cfRule>
    <cfRule type="expression" dxfId="7685" priority="2022">
      <formula>AND($J608="section",$A608="begin group")</formula>
    </cfRule>
    <cfRule type="expression" dxfId="7684" priority="2023">
      <formula>AND($J608 = "section",$A608 = "end group")</formula>
    </cfRule>
  </conditionalFormatting>
  <conditionalFormatting sqref="B612 J612">
    <cfRule type="expression" dxfId="7683" priority="1596">
      <formula>AND($U$1="disabled",$U612="yes")</formula>
    </cfRule>
    <cfRule type="expression" dxfId="7682" priority="1597">
      <formula>$A612 = "begin repeat"</formula>
    </cfRule>
    <cfRule type="expression" dxfId="7681" priority="1598">
      <formula xml:space="preserve"> $A721 = "end repeat"</formula>
    </cfRule>
  </conditionalFormatting>
  <conditionalFormatting sqref="B625:B627">
    <cfRule type="expression" dxfId="7680" priority="1995">
      <formula xml:space="preserve"> $A625 = "begin group"</formula>
    </cfRule>
    <cfRule type="expression" dxfId="7679" priority="1994">
      <formula>AND($J625 = "section",$A625 = "end group")</formula>
    </cfRule>
    <cfRule type="expression" dxfId="7678" priority="1993">
      <formula>AND($J625="section",$A625="begin group")</formula>
    </cfRule>
    <cfRule type="expression" dxfId="7677" priority="1996">
      <formula xml:space="preserve"> AND($J625="gg",$A625 = "end group")</formula>
    </cfRule>
  </conditionalFormatting>
  <conditionalFormatting sqref="B625:B632 B637:B638">
    <cfRule type="duplicateValues" dxfId="7676" priority="1968"/>
    <cfRule type="duplicateValues" dxfId="7675" priority="1967"/>
  </conditionalFormatting>
  <conditionalFormatting sqref="B628 J628">
    <cfRule type="expression" dxfId="7674" priority="1335">
      <formula xml:space="preserve"> $A757 = "end repeat"</formula>
    </cfRule>
    <cfRule type="expression" dxfId="7673" priority="1334">
      <formula>$A628 = "begin repeat"</formula>
    </cfRule>
    <cfRule type="expression" dxfId="7672" priority="1333">
      <formula>AND($U$1="disabled",$U628="yes")</formula>
    </cfRule>
  </conditionalFormatting>
  <conditionalFormatting sqref="B634">
    <cfRule type="duplicateValues" dxfId="7671" priority="2015"/>
    <cfRule type="duplicateValues" dxfId="7670" priority="2016"/>
  </conditionalFormatting>
  <conditionalFormatting sqref="B635:B636 B633 B608:B624">
    <cfRule type="duplicateValues" dxfId="7669" priority="1955"/>
    <cfRule type="duplicateValues" dxfId="7668" priority="1956"/>
  </conditionalFormatting>
  <conditionalFormatting sqref="B641:B666">
    <cfRule type="expression" dxfId="7667" priority="2601">
      <formula xml:space="preserve"> AND($J641="gg",$A641 = "end group")</formula>
    </cfRule>
    <cfRule type="expression" dxfId="7666" priority="2600">
      <formula xml:space="preserve"> $A641 = "begin group"</formula>
    </cfRule>
  </conditionalFormatting>
  <conditionalFormatting sqref="B641:B670">
    <cfRule type="expression" dxfId="7665" priority="2493">
      <formula>AND($J641="section",$A641="begin group")</formula>
    </cfRule>
    <cfRule type="expression" dxfId="7664" priority="2494">
      <formula>AND($J641 = "section",$A641 = "end group")</formula>
    </cfRule>
  </conditionalFormatting>
  <conditionalFormatting sqref="B667:B668">
    <cfRule type="expression" dxfId="7663" priority="2510">
      <formula xml:space="preserve"> $A667 = "begin group"</formula>
    </cfRule>
    <cfRule type="duplicateValues" dxfId="7662" priority="2512"/>
    <cfRule type="expression" dxfId="7661" priority="2511">
      <formula xml:space="preserve"> AND($J667="gg",$A667 = "end group")</formula>
    </cfRule>
    <cfRule type="duplicateValues" dxfId="7660" priority="2513"/>
  </conditionalFormatting>
  <conditionalFormatting sqref="B669:B670">
    <cfRule type="expression" dxfId="7659" priority="2495">
      <formula xml:space="preserve"> $A669 = "begin group"</formula>
    </cfRule>
    <cfRule type="duplicateValues" dxfId="7658" priority="2497"/>
    <cfRule type="duplicateValues" dxfId="7657" priority="2498"/>
    <cfRule type="expression" dxfId="7656" priority="2496">
      <formula xml:space="preserve"> AND($J669="gg",$A669 = "end group")</formula>
    </cfRule>
  </conditionalFormatting>
  <conditionalFormatting sqref="B673:B679">
    <cfRule type="expression" dxfId="7655" priority="2544">
      <formula>AND($J673 = "section",$A673 = "end group")</formula>
    </cfRule>
    <cfRule type="duplicateValues" dxfId="7654" priority="2548"/>
    <cfRule type="duplicateValues" dxfId="7653" priority="2547"/>
    <cfRule type="expression" dxfId="7652" priority="2546">
      <formula xml:space="preserve"> AND($J673="gg",$A673 = "end group")</formula>
    </cfRule>
    <cfRule type="expression" dxfId="7651" priority="2545">
      <formula xml:space="preserve"> $A673 = "begin group"</formula>
    </cfRule>
    <cfRule type="expression" dxfId="7650" priority="2543">
      <formula>AND($J673="section",$A673="begin group")</formula>
    </cfRule>
  </conditionalFormatting>
  <conditionalFormatting sqref="B678:B679 D678:D679 A748:A749 I748:I749 M748:W749 K748:K749">
    <cfRule type="expression" dxfId="7649" priority="2342">
      <formula>$A678 = "begin repeat"</formula>
    </cfRule>
    <cfRule type="expression" dxfId="7648" priority="2343">
      <formula xml:space="preserve"> $A718 = "end repeat"</formula>
    </cfRule>
    <cfRule type="expression" dxfId="7647" priority="2341">
      <formula>AND($U$1="disabled",$U678="yes")</formula>
    </cfRule>
  </conditionalFormatting>
  <conditionalFormatting sqref="B680 B682:B693">
    <cfRule type="duplicateValues" dxfId="7646" priority="1817"/>
    <cfRule type="duplicateValues" dxfId="7645" priority="1816"/>
    <cfRule type="expression" dxfId="7644" priority="1815">
      <formula xml:space="preserve"> AND($J680="gg",$A680 = "end group")</formula>
    </cfRule>
    <cfRule type="expression" dxfId="7643" priority="1814">
      <formula xml:space="preserve"> $A680 = "begin group"</formula>
    </cfRule>
  </conditionalFormatting>
  <conditionalFormatting sqref="B681">
    <cfRule type="expression" dxfId="7642" priority="1749">
      <formula xml:space="preserve"> $A681 = "begin group"</formula>
    </cfRule>
    <cfRule type="expression" dxfId="7641" priority="1750">
      <formula xml:space="preserve"> AND($J681="gg",$A681 = "end group")</formula>
    </cfRule>
    <cfRule type="duplicateValues" dxfId="7640" priority="1751"/>
    <cfRule type="duplicateValues" dxfId="7639" priority="1752"/>
  </conditionalFormatting>
  <conditionalFormatting sqref="B694:B698">
    <cfRule type="duplicateValues" dxfId="7638" priority="1700"/>
    <cfRule type="duplicateValues" dxfId="7637" priority="1701"/>
  </conditionalFormatting>
  <conditionalFormatting sqref="B699">
    <cfRule type="expression" dxfId="7636" priority="1683">
      <formula xml:space="preserve"> AND($J699="gg",$A699 = "end group")</formula>
    </cfRule>
    <cfRule type="duplicateValues" dxfId="7635" priority="1684"/>
    <cfRule type="duplicateValues" dxfId="7634" priority="1685"/>
    <cfRule type="expression" dxfId="7633" priority="1682">
      <formula xml:space="preserve"> $A699 = "begin group"</formula>
    </cfRule>
  </conditionalFormatting>
  <conditionalFormatting sqref="B700">
    <cfRule type="expression" dxfId="7632" priority="1655">
      <formula xml:space="preserve"> $A700 = "begin group"</formula>
    </cfRule>
    <cfRule type="duplicateValues" dxfId="7631" priority="1657"/>
    <cfRule type="duplicateValues" dxfId="7630" priority="1658"/>
    <cfRule type="expression" dxfId="7629" priority="1656">
      <formula xml:space="preserve"> AND($J700="gg",$A700 = "end group")</formula>
    </cfRule>
  </conditionalFormatting>
  <conditionalFormatting sqref="B701">
    <cfRule type="duplicateValues" dxfId="7628" priority="1623"/>
    <cfRule type="duplicateValues" dxfId="7627" priority="1624"/>
    <cfRule type="expression" dxfId="7626" priority="1621">
      <formula xml:space="preserve"> $A701 = "begin group"</formula>
    </cfRule>
    <cfRule type="expression" dxfId="7625" priority="1622">
      <formula xml:space="preserve"> AND($J701="gg",$A701 = "end group")</formula>
    </cfRule>
  </conditionalFormatting>
  <conditionalFormatting sqref="B702">
    <cfRule type="expression" dxfId="7624" priority="1582">
      <formula xml:space="preserve"> $A702 = "begin group"</formula>
    </cfRule>
    <cfRule type="expression" dxfId="7623" priority="1583">
      <formula xml:space="preserve"> AND($J702="gg",$A702 = "end group")</formula>
    </cfRule>
    <cfRule type="duplicateValues" dxfId="7622" priority="1584"/>
    <cfRule type="duplicateValues" dxfId="7621" priority="1585"/>
  </conditionalFormatting>
  <conditionalFormatting sqref="B703">
    <cfRule type="duplicateValues" dxfId="7620" priority="1533"/>
    <cfRule type="duplicateValues" dxfId="7619" priority="1534"/>
  </conditionalFormatting>
  <conditionalFormatting sqref="B704:B705 B641:B666 B671:B672">
    <cfRule type="duplicateValues" dxfId="7618" priority="2602"/>
    <cfRule type="duplicateValues" dxfId="7617" priority="2603"/>
  </conditionalFormatting>
  <conditionalFormatting sqref="B706:B738">
    <cfRule type="duplicateValues" dxfId="7616" priority="1368"/>
    <cfRule type="duplicateValues" dxfId="7615" priority="1367"/>
  </conditionalFormatting>
  <conditionalFormatting sqref="B739:B740 B639:B640 B788:B789 B813:B814 B839:B840">
    <cfRule type="duplicateValues" dxfId="7614" priority="2812"/>
  </conditionalFormatting>
  <conditionalFormatting sqref="B739:B740 B813:B814 B639:B640 B788:B789 B839:B840">
    <cfRule type="duplicateValues" dxfId="7613" priority="2805"/>
  </conditionalFormatting>
  <conditionalFormatting sqref="B741:B787">
    <cfRule type="duplicateValues" dxfId="7612" priority="2420"/>
    <cfRule type="duplicateValues" dxfId="7611" priority="2419"/>
  </conditionalFormatting>
  <conditionalFormatting sqref="B790:B807 B810:B812">
    <cfRule type="duplicateValues" dxfId="7610" priority="2596"/>
    <cfRule type="duplicateValues" dxfId="7609" priority="2597"/>
  </conditionalFormatting>
  <conditionalFormatting sqref="B790:B807">
    <cfRule type="expression" dxfId="7608" priority="2594">
      <formula xml:space="preserve"> $A790 = "begin group"</formula>
    </cfRule>
    <cfRule type="expression" dxfId="7607" priority="2595">
      <formula xml:space="preserve"> AND($J790="gg",$A790 = "end group")</formula>
    </cfRule>
  </conditionalFormatting>
  <conditionalFormatting sqref="B790:B809">
    <cfRule type="expression" dxfId="7606" priority="2459">
      <formula>AND($J790 = "section",$A790 = "end group")</formula>
    </cfRule>
    <cfRule type="expression" dxfId="7605" priority="2458">
      <formula>AND($J790="section",$A790="begin group")</formula>
    </cfRule>
  </conditionalFormatting>
  <conditionalFormatting sqref="B808:B809">
    <cfRule type="expression" dxfId="7604" priority="2461">
      <formula xml:space="preserve"> AND($J808="gg",$A808 = "end group")</formula>
    </cfRule>
    <cfRule type="expression" dxfId="7603" priority="2460">
      <formula xml:space="preserve"> $A808 = "begin group"</formula>
    </cfRule>
    <cfRule type="duplicateValues" dxfId="7602" priority="2463"/>
    <cfRule type="duplicateValues" dxfId="7601" priority="2462"/>
  </conditionalFormatting>
  <conditionalFormatting sqref="B815:B838">
    <cfRule type="duplicateValues" dxfId="7600" priority="2351"/>
    <cfRule type="duplicateValues" dxfId="7599" priority="2350"/>
  </conditionalFormatting>
  <conditionalFormatting sqref="B841:B954">
    <cfRule type="duplicateValues" dxfId="7598" priority="846"/>
    <cfRule type="duplicateValues" dxfId="7597" priority="847"/>
    <cfRule type="expression" dxfId="7596" priority="892">
      <formula xml:space="preserve"> AND($J841="gg",$A841 = "end group")</formula>
    </cfRule>
    <cfRule type="expression" dxfId="7595" priority="891">
      <formula xml:space="preserve"> $A841 = "begin group"</formula>
    </cfRule>
    <cfRule type="expression" dxfId="7594" priority="890">
      <formula>AND($J841 = "section",$A841 = "end group")</formula>
    </cfRule>
    <cfRule type="expression" dxfId="7593" priority="889">
      <formula>AND($J841="section",$A841="begin group")</formula>
    </cfRule>
  </conditionalFormatting>
  <conditionalFormatting sqref="B957">
    <cfRule type="duplicateValues" dxfId="7592" priority="759"/>
    <cfRule type="duplicateValues" dxfId="7591" priority="758"/>
  </conditionalFormatting>
  <conditionalFormatting sqref="B958">
    <cfRule type="duplicateValues" dxfId="7590" priority="744"/>
    <cfRule type="duplicateValues" dxfId="7589" priority="745"/>
  </conditionalFormatting>
  <conditionalFormatting sqref="B959:B960">
    <cfRule type="duplicateValues" dxfId="7588" priority="736"/>
    <cfRule type="duplicateValues" dxfId="7587" priority="737"/>
  </conditionalFormatting>
  <conditionalFormatting sqref="B961">
    <cfRule type="duplicateValues" dxfId="7586" priority="752"/>
    <cfRule type="duplicateValues" dxfId="7585" priority="751"/>
  </conditionalFormatting>
  <conditionalFormatting sqref="B963:B965">
    <cfRule type="expression" dxfId="7584" priority="883">
      <formula>AND($J963="section",$A963="begin group")</formula>
    </cfRule>
    <cfRule type="expression" dxfId="7583" priority="885">
      <formula xml:space="preserve"> $A963 = "begin group"</formula>
    </cfRule>
    <cfRule type="expression" dxfId="7582" priority="886">
      <formula xml:space="preserve"> AND($J963="gg",$A963 = "end group")</formula>
    </cfRule>
  </conditionalFormatting>
  <conditionalFormatting sqref="B963:B966">
    <cfRule type="expression" dxfId="7581" priority="721">
      <formula>AND($J963 = "section",$A963 = "end group")</formula>
    </cfRule>
  </conditionalFormatting>
  <conditionalFormatting sqref="B966">
    <cfRule type="duplicateValues" dxfId="7580" priority="725"/>
    <cfRule type="expression" dxfId="7579" priority="720">
      <formula>AND($J966="section",$A966="begin group")</formula>
    </cfRule>
    <cfRule type="duplicateValues" dxfId="7578" priority="724"/>
    <cfRule type="expression" dxfId="7577" priority="723">
      <formula xml:space="preserve"> AND($J966="gg",$A966 = "end group")</formula>
    </cfRule>
    <cfRule type="expression" dxfId="7576" priority="722">
      <formula xml:space="preserve"> $A966 = "begin group"</formula>
    </cfRule>
  </conditionalFormatting>
  <conditionalFormatting sqref="B968 B962">
    <cfRule type="duplicateValues" dxfId="7575" priority="698"/>
    <cfRule type="duplicateValues" dxfId="7574" priority="699"/>
  </conditionalFormatting>
  <conditionalFormatting sqref="B968 B962:B965">
    <cfRule type="duplicateValues" dxfId="7573" priority="700"/>
    <cfRule type="duplicateValues" dxfId="7572" priority="701"/>
  </conditionalFormatting>
  <conditionalFormatting sqref="B969">
    <cfRule type="duplicateValues" dxfId="7571" priority="879"/>
    <cfRule type="duplicateValues" dxfId="7570" priority="880"/>
  </conditionalFormatting>
  <conditionalFormatting sqref="B970">
    <cfRule type="duplicateValues" dxfId="7569" priority="882"/>
    <cfRule type="duplicateValues" dxfId="7568" priority="881"/>
  </conditionalFormatting>
  <conditionalFormatting sqref="B996:B997">
    <cfRule type="duplicateValues" dxfId="7567" priority="811"/>
    <cfRule type="duplicateValues" dxfId="7566" priority="812"/>
  </conditionalFormatting>
  <conditionalFormatting sqref="B998:B999 B971:B995">
    <cfRule type="duplicateValues" dxfId="7565" priority="887"/>
    <cfRule type="duplicateValues" dxfId="7564" priority="888"/>
  </conditionalFormatting>
  <conditionalFormatting sqref="B1000">
    <cfRule type="duplicateValues" dxfId="7563" priority="1166"/>
  </conditionalFormatting>
  <conditionalFormatting sqref="B1001">
    <cfRule type="duplicateValues" dxfId="7562" priority="1162"/>
  </conditionalFormatting>
  <conditionalFormatting sqref="B1002:B1016">
    <cfRule type="duplicateValues" dxfId="7561" priority="809"/>
    <cfRule type="duplicateValues" dxfId="7560" priority="810"/>
  </conditionalFormatting>
  <conditionalFormatting sqref="B1017:B1018 B955:B956">
    <cfRule type="duplicateValues" dxfId="7559" priority="1129"/>
  </conditionalFormatting>
  <conditionalFormatting sqref="B1017:B1018 B1000:B1001 B955:B956">
    <cfRule type="duplicateValues" dxfId="7558" priority="1142"/>
  </conditionalFormatting>
  <conditionalFormatting sqref="B202:C204">
    <cfRule type="expression" dxfId="7557" priority="8131">
      <formula>AND($J202="section",$A202="begin group")</formula>
    </cfRule>
    <cfRule type="expression" dxfId="7556" priority="7864">
      <formula>$A202 = "begin repeat"</formula>
    </cfRule>
    <cfRule type="expression" dxfId="7555" priority="7865">
      <formula xml:space="preserve"> $A179 = "end repeat"</formula>
    </cfRule>
    <cfRule type="expression" dxfId="7554" priority="7863">
      <formula>AND($U$1="disabled",$U202="yes")</formula>
    </cfRule>
    <cfRule type="expression" dxfId="7553" priority="8132">
      <formula>AND($J202 = "section",$A202 = "end group")</formula>
    </cfRule>
  </conditionalFormatting>
  <conditionalFormatting sqref="B27:D27 Q27 G27">
    <cfRule type="expression" dxfId="7552" priority="29865">
      <formula>AND($AB$1="disabled",#REF!="yes")</formula>
    </cfRule>
    <cfRule type="expression" dxfId="7551" priority="29868">
      <formula xml:space="preserve"> $A27 = "end group"</formula>
    </cfRule>
    <cfRule type="expression" dxfId="7550" priority="29866">
      <formula>#REF!="section"</formula>
    </cfRule>
    <cfRule type="expression" dxfId="7549" priority="29870">
      <formula xml:space="preserve"> $A27 = "end repeat"</formula>
    </cfRule>
    <cfRule type="expression" dxfId="7548" priority="29869">
      <formula>$A27 = "begin repeat"</formula>
    </cfRule>
    <cfRule type="expression" dxfId="7547" priority="29867">
      <formula xml:space="preserve"> $A27 = "begin group"</formula>
    </cfRule>
  </conditionalFormatting>
  <conditionalFormatting sqref="B27:D27">
    <cfRule type="duplicateValues" dxfId="7546" priority="29875"/>
    <cfRule type="duplicateValues" dxfId="7545" priority="29876"/>
    <cfRule type="duplicateValues" dxfId="7544" priority="29854"/>
    <cfRule type="duplicateValues" dxfId="7543" priority="29855"/>
    <cfRule type="duplicateValues" dxfId="7542" priority="29853"/>
    <cfRule type="duplicateValues" dxfId="7541" priority="29874"/>
    <cfRule type="duplicateValues" dxfId="7540" priority="29856"/>
  </conditionalFormatting>
  <conditionalFormatting sqref="C637:C638">
    <cfRule type="expression" dxfId="7539" priority="1310">
      <formula>$A637 = "begin repeat"</formula>
    </cfRule>
    <cfRule type="expression" dxfId="7538" priority="1309">
      <formula>AND($U$1="disabled",$U637="yes")</formula>
    </cfRule>
    <cfRule type="expression" dxfId="7537" priority="1311">
      <formula xml:space="preserve"> $A704 = "end repeat"</formula>
    </cfRule>
  </conditionalFormatting>
  <conditionalFormatting sqref="C1009">
    <cfRule type="expression" dxfId="7536" priority="717">
      <formula>AND($U$1="disabled",$U1009="yes")</formula>
    </cfRule>
    <cfRule type="expression" dxfId="7535" priority="718">
      <formula>$A1009 = "begin repeat"</formula>
    </cfRule>
    <cfRule type="expression" dxfId="7534" priority="719">
      <formula xml:space="preserve"> $A964 = "end repeat"</formula>
    </cfRule>
  </conditionalFormatting>
  <conditionalFormatting sqref="C1011">
    <cfRule type="expression" dxfId="7533" priority="688">
      <formula xml:space="preserve"> $A962 = "end repeat"</formula>
    </cfRule>
    <cfRule type="expression" dxfId="7532" priority="686">
      <formula>AND($U$1="disabled",$U1011="yes")</formula>
    </cfRule>
    <cfRule type="expression" dxfId="7531" priority="687">
      <formula>$A1011 = "begin repeat"</formula>
    </cfRule>
  </conditionalFormatting>
  <conditionalFormatting sqref="C28:D32">
    <cfRule type="duplicateValues" dxfId="7530" priority="31902"/>
  </conditionalFormatting>
  <conditionalFormatting sqref="C361:D361 D362 A361:A367 I361:I362 M361:W362 L557:W558 A557:J558 C362:C420">
    <cfRule type="expression" dxfId="7529" priority="6785">
      <formula>AND($U$1="disabled",$U361="yes")</formula>
    </cfRule>
    <cfRule type="expression" dxfId="7528" priority="6786">
      <formula>$A361 = "begin repeat"</formula>
    </cfRule>
    <cfRule type="expression" dxfId="7527" priority="6787">
      <formula xml:space="preserve"> $A372 = "end repeat"</formula>
    </cfRule>
  </conditionalFormatting>
  <conditionalFormatting sqref="C972:D972 L972:W972 I973 A972 H972:I972 J986:J987 K980:K981 L974:W981 H974:J981 A974:A981 C974:D981">
    <cfRule type="expression" dxfId="7526" priority="1084">
      <formula>$A972 = "begin repeat"</formula>
    </cfRule>
    <cfRule type="expression" dxfId="7525" priority="1083">
      <formula>AND($U$1="disabled",$U972="yes")</formula>
    </cfRule>
    <cfRule type="expression" dxfId="7524" priority="1085">
      <formula xml:space="preserve"> $A986 = "end repeat"</formula>
    </cfRule>
  </conditionalFormatting>
  <conditionalFormatting sqref="C973:D973 L973:W973 A973 H973:I973">
    <cfRule type="expression" dxfId="7523" priority="1073">
      <formula xml:space="preserve"> $A988 = "end repeat"</formula>
    </cfRule>
    <cfRule type="expression" dxfId="7522" priority="1072">
      <formula>$A973 = "begin repeat"</formula>
    </cfRule>
    <cfRule type="expression" dxfId="7521" priority="1071">
      <formula>AND($U$1="disabled",$U973="yes")</formula>
    </cfRule>
  </conditionalFormatting>
  <conditionalFormatting sqref="D22:D24 H24:J24">
    <cfRule type="expression" dxfId="7520" priority="28613">
      <formula>AND($T$1="disabled",$T22="yes")</formula>
    </cfRule>
  </conditionalFormatting>
  <conditionalFormatting sqref="D24 H24:J24">
    <cfRule type="expression" dxfId="7519" priority="28614">
      <formula>#REF! = "begin repeat"</formula>
    </cfRule>
    <cfRule type="expression" dxfId="7518" priority="28607">
      <formula xml:space="preserve"> AND($N24="gg",#REF! = "end group")</formula>
    </cfRule>
    <cfRule type="expression" dxfId="7517" priority="28604">
      <formula>AND($N24="section",#REF!="begin group")</formula>
    </cfRule>
    <cfRule type="expression" dxfId="7516" priority="28615">
      <formula xml:space="preserve"> #REF! = "end repeat"</formula>
    </cfRule>
    <cfRule type="expression" dxfId="7515" priority="28605">
      <formula>AND($N24 = "section",#REF! = "end group")</formula>
    </cfRule>
    <cfRule type="expression" dxfId="7514" priority="28606">
      <formula xml:space="preserve"> #REF! = "begin group"</formula>
    </cfRule>
  </conditionalFormatting>
  <conditionalFormatting sqref="D98:D102 B98:B102 B106 D106 L110:W113 A110:A113 B108:B109 D108:D109 B193:B194 D193:D194">
    <cfRule type="expression" dxfId="7513" priority="8290">
      <formula>$A98 = "begin repeat"</formula>
    </cfRule>
    <cfRule type="expression" dxfId="7512" priority="8291">
      <formula xml:space="preserve"> $A124 = "end repeat"</formula>
    </cfRule>
    <cfRule type="expression" dxfId="7511" priority="8289">
      <formula>AND($U$1="disabled",$U98="yes")</formula>
    </cfRule>
  </conditionalFormatting>
  <conditionalFormatting sqref="D187">
    <cfRule type="expression" dxfId="7510" priority="7980">
      <formula>AND($U$1="disabled",$U191="yes")</formula>
    </cfRule>
    <cfRule type="expression" dxfId="7509" priority="7982">
      <formula xml:space="preserve"> $A200 = "end repeat"</formula>
    </cfRule>
    <cfRule type="expression" dxfId="7508" priority="7981">
      <formula>$A187 = "begin repeat"</formula>
    </cfRule>
  </conditionalFormatting>
  <conditionalFormatting sqref="D189:D191">
    <cfRule type="expression" dxfId="7507" priority="7946">
      <formula>AND($U$1="disabled",$U206="yes")</formula>
    </cfRule>
    <cfRule type="expression" dxfId="7506" priority="7947">
      <formula>$A189 = "begin repeat"</formula>
    </cfRule>
    <cfRule type="expression" dxfId="7505" priority="7948">
      <formula xml:space="preserve"> $A207 = "end repeat"</formula>
    </cfRule>
  </conditionalFormatting>
  <conditionalFormatting sqref="D238:D240 J238:J240">
    <cfRule type="expression" dxfId="7504" priority="7332">
      <formula>AND($J238 = "section",$A238 = "end group")</formula>
    </cfRule>
    <cfRule type="expression" dxfId="7503" priority="7333">
      <formula xml:space="preserve"> $A238 = "begin group"</formula>
    </cfRule>
    <cfRule type="expression" dxfId="7502" priority="7334">
      <formula xml:space="preserve"> AND($J238="gg",$A238 = "end group")</formula>
    </cfRule>
  </conditionalFormatting>
  <conditionalFormatting sqref="D238:D240">
    <cfRule type="expression" dxfId="7501" priority="7331">
      <formula>AND($J238="section",$A238="begin group")</formula>
    </cfRule>
  </conditionalFormatting>
  <conditionalFormatting sqref="D269:D272 J269:J272">
    <cfRule type="expression" dxfId="7500" priority="7350">
      <formula xml:space="preserve"> AND($J269="gg",$A269 = "end group")</formula>
    </cfRule>
    <cfRule type="expression" dxfId="7499" priority="7347">
      <formula>AND($J269="section",$A269="begin group")</formula>
    </cfRule>
    <cfRule type="expression" dxfId="7498" priority="7348">
      <formula>AND($J269 = "section",$A269 = "end group")</formula>
    </cfRule>
    <cfRule type="expression" dxfId="7497" priority="7349">
      <formula xml:space="preserve"> $A269 = "begin group"</formula>
    </cfRule>
  </conditionalFormatting>
  <conditionalFormatting sqref="D300:D303 B337:B339 J337:J339 F337:F339 H337:H339 K348 K353 B344">
    <cfRule type="expression" dxfId="7496" priority="7593">
      <formula>AND($U$1="disabled",$U300="yes")</formula>
    </cfRule>
    <cfRule type="expression" dxfId="7495" priority="7595">
      <formula xml:space="preserve"> $A312 = "end repeat"</formula>
    </cfRule>
    <cfRule type="expression" dxfId="7494" priority="7594">
      <formula>$A300 = "begin repeat"</formula>
    </cfRule>
  </conditionalFormatting>
  <conditionalFormatting sqref="D304:D305">
    <cfRule type="expression" dxfId="7493" priority="7416">
      <formula xml:space="preserve"> $A346 = "end repeat"</formula>
    </cfRule>
    <cfRule type="expression" dxfId="7492" priority="7415">
      <formula>$A304 = "begin repeat"</formula>
    </cfRule>
    <cfRule type="expression" dxfId="7491" priority="7414">
      <formula>AND($U$1="disabled",$U304="yes")</formula>
    </cfRule>
  </conditionalFormatting>
  <conditionalFormatting sqref="D326 D343:D344">
    <cfRule type="expression" dxfId="7490" priority="7366">
      <formula>AND($U$1="disabled",$U326="yes")</formula>
    </cfRule>
    <cfRule type="expression" dxfId="7489" priority="7367">
      <formula>$A326 = "begin repeat"</formula>
    </cfRule>
    <cfRule type="expression" dxfId="7488" priority="7368">
      <formula xml:space="preserve"> $A331 = "end repeat"</formula>
    </cfRule>
  </conditionalFormatting>
  <conditionalFormatting sqref="D345 K345:N345 P345 R345:S345 U345:V345 A345">
    <cfRule type="expression" dxfId="7487" priority="7497">
      <formula>AND($V$1="disabled",$V345="yes")</formula>
    </cfRule>
  </conditionalFormatting>
  <conditionalFormatting sqref="D345">
    <cfRule type="duplicateValues" dxfId="7486" priority="7434"/>
    <cfRule type="duplicateValues" dxfId="7485" priority="7433"/>
    <cfRule type="duplicateValues" dxfId="7484" priority="7432"/>
    <cfRule type="duplicateValues" dxfId="7483" priority="7437"/>
    <cfRule type="duplicateValues" dxfId="7482" priority="7436"/>
    <cfRule type="duplicateValues" dxfId="7481" priority="7435"/>
  </conditionalFormatting>
  <conditionalFormatting sqref="D363:D365">
    <cfRule type="expression" dxfId="7480" priority="6783">
      <formula>$A363 = "begin repeat"</formula>
    </cfRule>
    <cfRule type="expression" dxfId="7479" priority="6784">
      <formula xml:space="preserve"> $A376 = "end repeat"</formula>
    </cfRule>
    <cfRule type="expression" dxfId="7478" priority="6782">
      <formula>AND($U$1="disabled",$U363="yes")</formula>
    </cfRule>
  </conditionalFormatting>
  <conditionalFormatting sqref="D412 A412 I412 M511:W511 L502 M514:W514 A514:A517">
    <cfRule type="expression" dxfId="7477" priority="6678">
      <formula>AND($U$1="disabled",$U412="yes")</formula>
    </cfRule>
    <cfRule type="expression" dxfId="7476" priority="6680">
      <formula xml:space="preserve"> $A491 = "end repeat"</formula>
    </cfRule>
    <cfRule type="expression" dxfId="7475" priority="6679">
      <formula>$A412 = "begin repeat"</formula>
    </cfRule>
  </conditionalFormatting>
  <conditionalFormatting sqref="D433">
    <cfRule type="expression" dxfId="7474" priority="6793">
      <formula xml:space="preserve"> $A448 = "end repeat"</formula>
    </cfRule>
    <cfRule type="expression" dxfId="7473" priority="6792">
      <formula>$A433 = "begin repeat"</formula>
    </cfRule>
    <cfRule type="expression" dxfId="7472" priority="6791">
      <formula>AND($U$1="disabled",$U433="yes")</formula>
    </cfRule>
  </conditionalFormatting>
  <conditionalFormatting sqref="D456 F468 H468 F403 H403 F482 H482 F417 H417 H413:H415 F413:F415 H478:H480 F478:F480 J535:J536 I537:I539 D537:D539 J552:J553 I554:I556 D554:D556">
    <cfRule type="expression" dxfId="7471" priority="6703">
      <formula>$A403 = "begin repeat"</formula>
    </cfRule>
    <cfRule type="expression" dxfId="7470" priority="6702">
      <formula>AND($U$1="disabled",$U403="yes")</formula>
    </cfRule>
    <cfRule type="expression" dxfId="7469" priority="6704">
      <formula xml:space="preserve"> $A433 = "end repeat"</formula>
    </cfRule>
  </conditionalFormatting>
  <conditionalFormatting sqref="D468 I468 A403 D403 I403 D482 I482 A417 D417 I417">
    <cfRule type="expression" dxfId="7468" priority="6160">
      <formula>$A403 = "begin repeat"</formula>
    </cfRule>
    <cfRule type="expression" dxfId="7467" priority="6159">
      <formula>AND($U$1="disabled",$U403="yes")</formula>
    </cfRule>
    <cfRule type="expression" dxfId="7466" priority="6161">
      <formula xml:space="preserve"> $A453 = "end repeat"</formula>
    </cfRule>
  </conditionalFormatting>
  <conditionalFormatting sqref="D475:D476 I475:I476">
    <cfRule type="expression" dxfId="7465" priority="3581">
      <formula>AND($U$1="disabled",$U475="yes")</formula>
    </cfRule>
    <cfRule type="expression" dxfId="7464" priority="3583">
      <formula xml:space="preserve"> $A578 = "end repeat"</formula>
    </cfRule>
    <cfRule type="expression" dxfId="7463" priority="3582">
      <formula>$A475 = "begin repeat"</formula>
    </cfRule>
  </conditionalFormatting>
  <conditionalFormatting sqref="D494 D507">
    <cfRule type="expression" dxfId="7462" priority="6739">
      <formula xml:space="preserve"> $A495 = "end repeat"</formula>
    </cfRule>
    <cfRule type="expression" dxfId="7461" priority="6738">
      <formula>$A494 = "begin repeat"</formula>
    </cfRule>
    <cfRule type="expression" dxfId="7460" priority="6737">
      <formula>AND($U$1="disabled",$U494="yes")</formula>
    </cfRule>
  </conditionalFormatting>
  <conditionalFormatting sqref="D518 I500:J500 I495 L443 G488:G490 J487:J495 B488:B495 B497:B500 E488:E490">
    <cfRule type="expression" dxfId="7459" priority="6694">
      <formula>$A443 = "begin repeat"</formula>
    </cfRule>
    <cfRule type="expression" dxfId="7458" priority="6693">
      <formula>AND($U$1="disabled",$U443="yes")</formula>
    </cfRule>
    <cfRule type="expression" dxfId="7457" priority="6695">
      <formula xml:space="preserve"> $A513 = "end repeat"</formula>
    </cfRule>
  </conditionalFormatting>
  <conditionalFormatting sqref="D522:D527">
    <cfRule type="expression" dxfId="7456" priority="4629">
      <formula>AND($J522="section",$A522="begin group")</formula>
    </cfRule>
    <cfRule type="expression" dxfId="7455" priority="4630">
      <formula>AND($J522 = "section",$A522 = "end group")</formula>
    </cfRule>
  </conditionalFormatting>
  <conditionalFormatting sqref="D529:D533">
    <cfRule type="expression" dxfId="7454" priority="3766">
      <formula>AND($J529 = "section",$A529 = "end group")</formula>
    </cfRule>
    <cfRule type="expression" dxfId="7453" priority="3765">
      <formula>AND($J529="section",$A529="begin group")</formula>
    </cfRule>
  </conditionalFormatting>
  <conditionalFormatting sqref="D534:D548">
    <cfRule type="expression" dxfId="7452" priority="4398">
      <formula>AND($J534 = "section",$A534 = "end group")</formula>
    </cfRule>
    <cfRule type="expression" dxfId="7451" priority="4397">
      <formula>AND($J534="section",$A534="begin group")</formula>
    </cfRule>
  </conditionalFormatting>
  <conditionalFormatting sqref="D540:D541 I540:I541">
    <cfRule type="expression" dxfId="7450" priority="4186">
      <formula>AND($U$1="disabled",$U540="yes")</formula>
    </cfRule>
    <cfRule type="expression" dxfId="7449" priority="4187">
      <formula>$A540 = "begin repeat"</formula>
    </cfRule>
    <cfRule type="expression" dxfId="7448" priority="4188">
      <formula xml:space="preserve"> $A705 = "end repeat"</formula>
    </cfRule>
  </conditionalFormatting>
  <conditionalFormatting sqref="D545 I545">
    <cfRule type="expression" dxfId="7447" priority="4207">
      <formula>AND($U$1="disabled",$U545="yes")</formula>
    </cfRule>
    <cfRule type="expression" dxfId="7446" priority="4209">
      <formula xml:space="preserve"> $A704 = "end repeat"</formula>
    </cfRule>
    <cfRule type="expression" dxfId="7445" priority="4208">
      <formula>$A545 = "begin repeat"</formula>
    </cfRule>
  </conditionalFormatting>
  <conditionalFormatting sqref="D549:D556 I556:J556">
    <cfRule type="expression" dxfId="7444" priority="3872">
      <formula>AND($J549 = "section",$A549 = "end group")</formula>
    </cfRule>
    <cfRule type="expression" dxfId="7443" priority="3871">
      <formula>AND($J549="section",$A549="begin group")</formula>
    </cfRule>
  </conditionalFormatting>
  <conditionalFormatting sqref="D604:D605 A604:A605 M604:W605">
    <cfRule type="expression" dxfId="7442" priority="2135">
      <formula xml:space="preserve"> $A604 = "begin group"</formula>
    </cfRule>
    <cfRule type="expression" dxfId="7441" priority="2134">
      <formula>AND(#REF! = "section",$A604 = "end group")</formula>
    </cfRule>
    <cfRule type="expression" dxfId="7440" priority="2133">
      <formula>AND(#REF!="section",$A604="begin group")</formula>
    </cfRule>
    <cfRule type="expression" dxfId="7439" priority="2136">
      <formula xml:space="preserve"> AND(#REF!="gg",$A604 = "end group")</formula>
    </cfRule>
  </conditionalFormatting>
  <conditionalFormatting sqref="D609 K609 K620 K613 K624 I717 A717 L717:W717 D614:D619 K616:K617 D621:D623 A721:A722 K715:K719 J713:J722 F713:F722 H713:H722 B713:B738 I767:I774 I779:I781">
    <cfRule type="expression" dxfId="7438" priority="2570">
      <formula>AND($U$1="disabled",$U609="yes")</formula>
    </cfRule>
    <cfRule type="expression" dxfId="7437" priority="2571">
      <formula>$A609 = "begin repeat"</formula>
    </cfRule>
    <cfRule type="expression" dxfId="7436" priority="2572">
      <formula xml:space="preserve"> $A635 = "end repeat"</formula>
    </cfRule>
  </conditionalFormatting>
  <conditionalFormatting sqref="D633">
    <cfRule type="expression" dxfId="7435" priority="2241">
      <formula xml:space="preserve"> $A623 = "end repeat"</formula>
    </cfRule>
    <cfRule type="expression" dxfId="7434" priority="2239">
      <formula>AND($U$1="disabled",$U633="yes")</formula>
    </cfRule>
    <cfRule type="expression" dxfId="7433" priority="2240">
      <formula>$A633 = "begin repeat"</formula>
    </cfRule>
  </conditionalFormatting>
  <conditionalFormatting sqref="D634 A809 M809:W809 I809 D809 I811:I812 M811:W812 D811:D812 A811:A812 C839:C840">
    <cfRule type="expression" dxfId="7432" priority="2734">
      <formula>$A634 = "begin repeat"</formula>
    </cfRule>
    <cfRule type="expression" dxfId="7431" priority="2735">
      <formula xml:space="preserve"> $A641 = "end repeat"</formula>
    </cfRule>
    <cfRule type="expression" dxfId="7430" priority="2733">
      <formula>AND($U$1="disabled",$U634="yes")</formula>
    </cfRule>
  </conditionalFormatting>
  <conditionalFormatting sqref="D634 K634 M634:W634 I634 A634">
    <cfRule type="expression" dxfId="7429" priority="1945">
      <formula>AND($J619 = "section",$A634 = "end group")</formula>
    </cfRule>
    <cfRule type="expression" dxfId="7428" priority="1946">
      <formula xml:space="preserve"> $A634 = "begin group"</formula>
    </cfRule>
    <cfRule type="expression" dxfId="7427" priority="1944">
      <formula>AND($J619="section",$A634="begin group")</formula>
    </cfRule>
    <cfRule type="expression" dxfId="7426" priority="1947">
      <formula xml:space="preserve"> AND($J619="gg",$A634 = "end group")</formula>
    </cfRule>
  </conditionalFormatting>
  <conditionalFormatting sqref="D637 M637:W637 I637 A637">
    <cfRule type="expression" dxfId="7425" priority="1919">
      <formula>AND($J631 = "section",$A637 = "end group")</formula>
    </cfRule>
    <cfRule type="expression" dxfId="7424" priority="1920">
      <formula xml:space="preserve"> $A637 = "begin group"</formula>
    </cfRule>
    <cfRule type="expression" dxfId="7423" priority="1921">
      <formula xml:space="preserve"> AND($J631="gg",$A637 = "end group")</formula>
    </cfRule>
    <cfRule type="expression" dxfId="7422" priority="1918">
      <formula>AND($J631="section",$A637="begin group")</formula>
    </cfRule>
  </conditionalFormatting>
  <conditionalFormatting sqref="D666 F604:F607 H604:H607 A758:A759 M758:W759 I758:I759 K758:K759">
    <cfRule type="expression" dxfId="7421" priority="2098">
      <formula>$A604 = "begin repeat"</formula>
    </cfRule>
    <cfRule type="expression" dxfId="7420" priority="2099">
      <formula xml:space="preserve"> $A652 = "end repeat"</formula>
    </cfRule>
    <cfRule type="expression" dxfId="7419" priority="2097">
      <formula>AND($U$1="disabled",$U604="yes")</formula>
    </cfRule>
  </conditionalFormatting>
  <conditionalFormatting sqref="D668 L671 L673 D670 D672 C596:C636 D663:D665 A661:A662 M661:W662 I661:I662 K661:K662 L662:L666 D674:D675 B667:B675 K678:K679 L677:L678">
    <cfRule type="expression" dxfId="7418" priority="2071">
      <formula>$A596 = "begin repeat"</formula>
    </cfRule>
    <cfRule type="expression" dxfId="7417" priority="2070">
      <formula>AND($U$1="disabled",$U596="yes")</formula>
    </cfRule>
    <cfRule type="expression" dxfId="7416" priority="2072">
      <formula xml:space="preserve"> $A639 = "end repeat"</formula>
    </cfRule>
  </conditionalFormatting>
  <conditionalFormatting sqref="D676 B676 M664:W666 I664:I666 K664:K666 A664:A666">
    <cfRule type="expression" dxfId="7415" priority="2349">
      <formula xml:space="preserve"> $A706 = "end repeat"</formula>
    </cfRule>
    <cfRule type="expression" dxfId="7414" priority="2348">
      <formula>$A664 = "begin repeat"</formula>
    </cfRule>
    <cfRule type="expression" dxfId="7413" priority="2347">
      <formula>AND($U$1="disabled",$U664="yes")</formula>
    </cfRule>
  </conditionalFormatting>
  <conditionalFormatting sqref="D677 B677">
    <cfRule type="expression" dxfId="7412" priority="2074">
      <formula>$A677 = "begin repeat"</formula>
    </cfRule>
    <cfRule type="expression" dxfId="7411" priority="2073">
      <formula>AND($U$1="disabled",$U677="yes")</formula>
    </cfRule>
    <cfRule type="expression" dxfId="7410" priority="2075">
      <formula xml:space="preserve"> $A718 = "end repeat"</formula>
    </cfRule>
  </conditionalFormatting>
  <conditionalFormatting sqref="D680:D693 M680:W693">
    <cfRule type="expression" dxfId="7409" priority="1754">
      <formula>AND($J680 = "section",$A680 = "end group")</formula>
    </cfRule>
    <cfRule type="expression" dxfId="7408" priority="1753">
      <formula>AND($J680="section",$A680="begin group")</formula>
    </cfRule>
  </conditionalFormatting>
  <conditionalFormatting sqref="D699:D702 M699:W702 I702 K702">
    <cfRule type="expression" dxfId="7407" priority="1586">
      <formula>AND($J699="section",$A699="begin group")</formula>
    </cfRule>
  </conditionalFormatting>
  <conditionalFormatting sqref="D982 H982:W982 A982 D985 H985:W985 A985 C982:C999">
    <cfRule type="expression" dxfId="7406" priority="1069">
      <formula>$A982 = "begin repeat"</formula>
    </cfRule>
    <cfRule type="expression" dxfId="7405" priority="1068">
      <formula>AND($U$1="disabled",$U982="yes")</formula>
    </cfRule>
    <cfRule type="expression" dxfId="7404" priority="1070">
      <formula xml:space="preserve"> $A998 = "end repeat"</formula>
    </cfRule>
  </conditionalFormatting>
  <conditionalFormatting sqref="D996:D998">
    <cfRule type="expression" dxfId="7403" priority="703">
      <formula>$A996 = "begin repeat"</formula>
    </cfRule>
    <cfRule type="expression" dxfId="7402" priority="702">
      <formula>AND($U$1="disabled",$U996="yes")</formula>
    </cfRule>
    <cfRule type="expression" dxfId="7401" priority="704">
      <formula xml:space="preserve"> $A963 = "end repeat"</formula>
    </cfRule>
  </conditionalFormatting>
  <conditionalFormatting sqref="D999">
    <cfRule type="expression" dxfId="7400" priority="695">
      <formula>AND($U$1="disabled",$U999="yes")</formula>
    </cfRule>
    <cfRule type="expression" dxfId="7399" priority="696">
      <formula>$A999 = "begin repeat"</formula>
    </cfRule>
    <cfRule type="expression" dxfId="7398" priority="697">
      <formula xml:space="preserve"> $A962 = "end repeat"</formula>
    </cfRule>
  </conditionalFormatting>
  <conditionalFormatting sqref="D1003">
    <cfRule type="expression" dxfId="7397" priority="684">
      <formula>$A1003 = "begin repeat"</formula>
    </cfRule>
    <cfRule type="expression" dxfId="7396" priority="685">
      <formula xml:space="preserve"> $A962 = "end repeat"</formula>
    </cfRule>
    <cfRule type="expression" dxfId="7395" priority="683">
      <formula>AND($U$1="disabled",$U1003="yes")</formula>
    </cfRule>
  </conditionalFormatting>
  <conditionalFormatting sqref="D356:I356 A356:B356 K356:W356 K324:K325 K327">
    <cfRule type="expression" dxfId="7394" priority="7203">
      <formula xml:space="preserve"> $A392 = "end repeat"</formula>
    </cfRule>
    <cfRule type="expression" dxfId="7393" priority="7202">
      <formula>$A324 = "begin repeat"</formula>
    </cfRule>
    <cfRule type="expression" dxfId="7392" priority="7201">
      <formula>AND($U$1="disabled",$U324="yes")</formula>
    </cfRule>
  </conditionalFormatting>
  <conditionalFormatting sqref="E18:E20 E22:E23">
    <cfRule type="expression" dxfId="7391" priority="25228">
      <formula xml:space="preserve"> $A18 = "end group"</formula>
    </cfRule>
    <cfRule type="expression" dxfId="7390" priority="25226">
      <formula>#REF!="section"</formula>
    </cfRule>
    <cfRule type="expression" dxfId="7389" priority="25225">
      <formula>AND($Z$1="disabled",#REF!="yes")</formula>
    </cfRule>
    <cfRule type="expression" dxfId="7388" priority="25229">
      <formula>$A18 = "begin repeat"</formula>
    </cfRule>
    <cfRule type="expression" dxfId="7387" priority="25230">
      <formula xml:space="preserve"> $A18 = "end repeat"</formula>
    </cfRule>
    <cfRule type="expression" dxfId="7386" priority="25227">
      <formula xml:space="preserve"> $A18 = "begin group"</formula>
    </cfRule>
  </conditionalFormatting>
  <conditionalFormatting sqref="E27">
    <cfRule type="expression" dxfId="7385" priority="25574">
      <formula>#REF!="section"</formula>
    </cfRule>
    <cfRule type="expression" dxfId="7384" priority="25578">
      <formula xml:space="preserve"> $A27 = "end repeat"</formula>
    </cfRule>
    <cfRule type="expression" dxfId="7383" priority="25577">
      <formula>$A27 = "begin repeat"</formula>
    </cfRule>
    <cfRule type="expression" dxfId="7382" priority="25573">
      <formula>AND($AB$1="disabled",#REF!="yes")</formula>
    </cfRule>
    <cfRule type="expression" dxfId="7381" priority="25575">
      <formula xml:space="preserve"> $A27 = "begin group"</formula>
    </cfRule>
    <cfRule type="expression" dxfId="7380" priority="25576">
      <formula xml:space="preserve"> $A27 = "end group"</formula>
    </cfRule>
  </conditionalFormatting>
  <conditionalFormatting sqref="E35">
    <cfRule type="duplicateValues" dxfId="7379" priority="1631137"/>
    <cfRule type="duplicateValues" dxfId="7378" priority="1631136"/>
    <cfRule type="duplicateValues" dxfId="7377" priority="1631135"/>
    <cfRule type="duplicateValues" dxfId="7376" priority="1631134"/>
    <cfRule type="duplicateValues" dxfId="7375" priority="1631133"/>
    <cfRule type="duplicateValues" dxfId="7374" priority="1631138"/>
  </conditionalFormatting>
  <conditionalFormatting sqref="E115 E201">
    <cfRule type="expression" dxfId="7373" priority="8055">
      <formula>AND($U$1="disabled",$U115="yes")</formula>
    </cfRule>
    <cfRule type="expression" dxfId="7372" priority="8056">
      <formula>$A115 = "begin repeat"</formula>
    </cfRule>
    <cfRule type="expression" dxfId="7371" priority="8057">
      <formula xml:space="preserve"> $A103 = "end repeat"</formula>
    </cfRule>
  </conditionalFormatting>
  <conditionalFormatting sqref="E115">
    <cfRule type="expression" dxfId="7370" priority="8069">
      <formula>AND($J115="section",$A115="begin group")</formula>
    </cfRule>
    <cfRule type="expression" dxfId="7369" priority="8071">
      <formula xml:space="preserve"> $A115 = "begin group"</formula>
    </cfRule>
    <cfRule type="expression" dxfId="7368" priority="8072">
      <formula xml:space="preserve"> AND($J115="gg",$A115 = "end group")</formula>
    </cfRule>
    <cfRule type="expression" dxfId="7367" priority="8068">
      <formula xml:space="preserve"> $A104 = "end repeat"</formula>
    </cfRule>
    <cfRule type="expression" dxfId="7366" priority="8066">
      <formula>AND($U$1="disabled",$U115="yes")</formula>
    </cfRule>
    <cfRule type="expression" dxfId="7365" priority="8067">
      <formula>$A115 = "begin repeat"</formula>
    </cfRule>
  </conditionalFormatting>
  <conditionalFormatting sqref="E116:E119">
    <cfRule type="expression" dxfId="7364" priority="8049">
      <formula xml:space="preserve"> $A116 = "begin group"</formula>
    </cfRule>
    <cfRule type="expression" dxfId="7363" priority="8048">
      <formula>AND(#REF! = "section",$A116 = "end group")</formula>
    </cfRule>
    <cfRule type="expression" dxfId="7362" priority="8050">
      <formula xml:space="preserve"> AND(#REF!="gg",$A116 = "end group")</formula>
    </cfRule>
    <cfRule type="expression" dxfId="7361" priority="8047">
      <formula>AND(#REF!="section",$A116="begin group")</formula>
    </cfRule>
  </conditionalFormatting>
  <conditionalFormatting sqref="E120:E122">
    <cfRule type="expression" dxfId="7360" priority="8044">
      <formula>AND(#REF! = "section",$A120 = "end group")</formula>
    </cfRule>
    <cfRule type="expression" dxfId="7359" priority="8043">
      <formula>AND(#REF!="section",$A120="begin group")</formula>
    </cfRule>
    <cfRule type="expression" dxfId="7358" priority="8045">
      <formula xml:space="preserve"> $A120 = "begin group"</formula>
    </cfRule>
    <cfRule type="expression" dxfId="7357" priority="8046">
      <formula xml:space="preserve"> AND(#REF!="gg",$A120 = "end group")</formula>
    </cfRule>
  </conditionalFormatting>
  <conditionalFormatting sqref="E121:E122">
    <cfRule type="expression" dxfId="7356" priority="8042">
      <formula xml:space="preserve"> AND(#REF!="gg",$A121 = "end group")</formula>
    </cfRule>
    <cfRule type="expression" dxfId="7355" priority="8041">
      <formula xml:space="preserve"> $A121 = "begin group"</formula>
    </cfRule>
    <cfRule type="expression" dxfId="7354" priority="8040">
      <formula>AND(#REF! = "section",$A121 = "end group")</formula>
    </cfRule>
    <cfRule type="expression" dxfId="7353" priority="8039">
      <formula>AND(#REF!="section",$A121="begin group")</formula>
    </cfRule>
  </conditionalFormatting>
  <conditionalFormatting sqref="E124">
    <cfRule type="expression" dxfId="7352" priority="8064">
      <formula xml:space="preserve"> $A124 = "begin group"</formula>
    </cfRule>
    <cfRule type="expression" dxfId="7351" priority="8065">
      <formula xml:space="preserve"> AND($J124="gg",$A124 = "end group")</formula>
    </cfRule>
  </conditionalFormatting>
  <conditionalFormatting sqref="E125:E126 G125:G126">
    <cfRule type="expression" dxfId="7350" priority="8181">
      <formula>AND($U$1="disabled",$U127="yes")</formula>
    </cfRule>
    <cfRule type="expression" dxfId="7349" priority="8183">
      <formula xml:space="preserve"> $A128 = "end repeat"</formula>
    </cfRule>
    <cfRule type="expression" dxfId="7348" priority="8182">
      <formula>$A125 = "begin repeat"</formula>
    </cfRule>
  </conditionalFormatting>
  <conditionalFormatting sqref="E125:E126">
    <cfRule type="expression" dxfId="7347" priority="8073">
      <formula>AND(#REF!="section",$A125="begin group")</formula>
    </cfRule>
    <cfRule type="expression" dxfId="7346" priority="8074">
      <formula>AND(#REF! = "section",$A125 = "end group")</formula>
    </cfRule>
    <cfRule type="expression" dxfId="7345" priority="8075">
      <formula xml:space="preserve"> $A125 = "begin group"</formula>
    </cfRule>
    <cfRule type="expression" dxfId="7344" priority="8076">
      <formula xml:space="preserve"> AND(#REF!="gg",$A125 = "end group")</formula>
    </cfRule>
  </conditionalFormatting>
  <conditionalFormatting sqref="E129:E130 E36:E37 E124 E206">
    <cfRule type="expression" dxfId="7343" priority="8484">
      <formula xml:space="preserve"> $A31 = "end repeat"</formula>
    </cfRule>
    <cfRule type="expression" dxfId="7342" priority="8335">
      <formula>AND($U$1="disabled",$U36="yes")</formula>
    </cfRule>
    <cfRule type="expression" dxfId="7341" priority="8482">
      <formula>AND($U$1="disabled",$U36="yes")</formula>
    </cfRule>
    <cfRule type="expression" dxfId="7340" priority="8336">
      <formula>$A36 = "begin repeat"</formula>
    </cfRule>
    <cfRule type="expression" dxfId="7339" priority="8337">
      <formula xml:space="preserve"> $A30 = "end repeat"</formula>
    </cfRule>
    <cfRule type="expression" dxfId="7338" priority="8483">
      <formula>$A36 = "begin repeat"</formula>
    </cfRule>
  </conditionalFormatting>
  <conditionalFormatting sqref="E132:E191 E195:E199">
    <cfRule type="expression" dxfId="7337" priority="8019">
      <formula>AND(#REF! = "section",$A132 = "end group")</formula>
    </cfRule>
    <cfRule type="expression" dxfId="7336" priority="8018">
      <formula>AND(#REF!="section",$A132="begin group")</formula>
    </cfRule>
    <cfRule type="expression" dxfId="7335" priority="8020">
      <formula xml:space="preserve"> $A132 = "begin group"</formula>
    </cfRule>
    <cfRule type="expression" dxfId="7334" priority="8021">
      <formula xml:space="preserve"> AND(#REF!="gg",$A132 = "end group")</formula>
    </cfRule>
  </conditionalFormatting>
  <conditionalFormatting sqref="E201">
    <cfRule type="expression" dxfId="7333" priority="7874">
      <formula xml:space="preserve"> $A188 = "end repeat"</formula>
    </cfRule>
    <cfRule type="expression" dxfId="7332" priority="7873">
      <formula>$A201 = "begin repeat"</formula>
    </cfRule>
    <cfRule type="expression" dxfId="7331" priority="8061">
      <formula xml:space="preserve"> AND($J201="gg",$A201 = "end group")</formula>
    </cfRule>
    <cfRule type="expression" dxfId="7330" priority="7872">
      <formula>AND($U$1="disabled",$U201="yes")</formula>
    </cfRule>
    <cfRule type="expression" dxfId="7329" priority="8060">
      <formula xml:space="preserve"> $A201 = "begin group"</formula>
    </cfRule>
  </conditionalFormatting>
  <conditionalFormatting sqref="E202:E204">
    <cfRule type="expression" dxfId="7328" priority="8085">
      <formula xml:space="preserve"> AND(#REF!="gg",$A202 = "end group")</formula>
    </cfRule>
    <cfRule type="expression" dxfId="7327" priority="8084">
      <formula xml:space="preserve"> $A202 = "begin group"</formula>
    </cfRule>
    <cfRule type="expression" dxfId="7326" priority="8083">
      <formula>AND(#REF! = "section",$A202 = "end group")</formula>
    </cfRule>
    <cfRule type="expression" dxfId="7325" priority="8082">
      <formula>AND(#REF!="section",$A202="begin group")</formula>
    </cfRule>
  </conditionalFormatting>
  <conditionalFormatting sqref="E203:E204">
    <cfRule type="expression" dxfId="7324" priority="8078">
      <formula>AND(#REF! = "section",$A203 = "end group")</formula>
    </cfRule>
    <cfRule type="expression" dxfId="7323" priority="8077">
      <formula>AND(#REF!="section",$A203="begin group")</formula>
    </cfRule>
    <cfRule type="expression" dxfId="7322" priority="8080">
      <formula xml:space="preserve"> AND(#REF!="gg",$A203 = "end group")</formula>
    </cfRule>
    <cfRule type="expression" dxfId="7321" priority="8079">
      <formula xml:space="preserve"> $A203 = "begin group"</formula>
    </cfRule>
  </conditionalFormatting>
  <conditionalFormatting sqref="E206">
    <cfRule type="expression" dxfId="7320" priority="8053">
      <formula xml:space="preserve"> $A206 = "begin group"</formula>
    </cfRule>
    <cfRule type="expression" dxfId="7319" priority="8054">
      <formula xml:space="preserve"> AND($J206="gg",$A206 = "end group")</formula>
    </cfRule>
  </conditionalFormatting>
  <conditionalFormatting sqref="E207">
    <cfRule type="expression" dxfId="7318" priority="8007">
      <formula>AND(#REF! = "section",$A207 = "end group")</formula>
    </cfRule>
    <cfRule type="expression" dxfId="7317" priority="8006">
      <formula>AND(#REF!="section",$A207="begin group")</formula>
    </cfRule>
    <cfRule type="expression" dxfId="7316" priority="8012">
      <formula xml:space="preserve"> $A207 = "begin group"</formula>
    </cfRule>
    <cfRule type="expression" dxfId="7315" priority="8010">
      <formula>AND(#REF!="section",$A207="begin group")</formula>
    </cfRule>
    <cfRule type="expression" dxfId="7314" priority="8009">
      <formula xml:space="preserve"> AND(#REF!="gg",$A207 = "end group")</formula>
    </cfRule>
    <cfRule type="expression" dxfId="7313" priority="8008">
      <formula xml:space="preserve"> $A207 = "begin group"</formula>
    </cfRule>
    <cfRule type="expression" dxfId="7312" priority="8013">
      <formula xml:space="preserve"> AND(#REF!="gg",$A207 = "end group")</formula>
    </cfRule>
    <cfRule type="expression" dxfId="7311" priority="8011">
      <formula>AND(#REF! = "section",$A207 = "end group")</formula>
    </cfRule>
  </conditionalFormatting>
  <conditionalFormatting sqref="E208">
    <cfRule type="expression" dxfId="7310" priority="7998">
      <formula>AND(#REF!="section",$A208="begin group")</formula>
    </cfRule>
    <cfRule type="expression" dxfId="7309" priority="8000">
      <formula xml:space="preserve"> $A208 = "begin group"</formula>
    </cfRule>
    <cfRule type="expression" dxfId="7308" priority="8001">
      <formula xml:space="preserve"> AND(#REF!="gg",$A208 = "end group")</formula>
    </cfRule>
    <cfRule type="expression" dxfId="7307" priority="8002">
      <formula>AND(#REF!="section",$A208="begin group")</formula>
    </cfRule>
    <cfRule type="expression" dxfId="7306" priority="8003">
      <formula>AND(#REF! = "section",$A208 = "end group")</formula>
    </cfRule>
    <cfRule type="expression" dxfId="7305" priority="8004">
      <formula xml:space="preserve"> $A208 = "begin group"</formula>
    </cfRule>
    <cfRule type="expression" dxfId="7304" priority="8005">
      <formula xml:space="preserve"> AND(#REF!="gg",$A208 = "end group")</formula>
    </cfRule>
    <cfRule type="expression" dxfId="7303" priority="7999">
      <formula>AND(#REF! = "section",$A208 = "end group")</formula>
    </cfRule>
  </conditionalFormatting>
  <conditionalFormatting sqref="E211:E212 E243:E244 E275:E276">
    <cfRule type="expression" dxfId="7302" priority="7491">
      <formula>AND($U$1="disabled",$U211="yes")</formula>
    </cfRule>
    <cfRule type="expression" dxfId="7301" priority="7528">
      <formula>$A211 = "begin repeat"</formula>
    </cfRule>
    <cfRule type="expression" dxfId="7300" priority="7493">
      <formula xml:space="preserve"> $A205 = "end repeat"</formula>
    </cfRule>
    <cfRule type="expression" dxfId="7299" priority="7529">
      <formula xml:space="preserve"> $A206 = "end repeat"</formula>
    </cfRule>
    <cfRule type="expression" dxfId="7298" priority="7492">
      <formula>$A211 = "begin repeat"</formula>
    </cfRule>
    <cfRule type="expression" dxfId="7297" priority="7527">
      <formula>AND($U$1="disabled",$U211="yes")</formula>
    </cfRule>
  </conditionalFormatting>
  <conditionalFormatting sqref="E214:E240">
    <cfRule type="expression" dxfId="7296" priority="7309">
      <formula>AND(#REF! = "section",$A214 = "end group")</formula>
    </cfRule>
    <cfRule type="expression" dxfId="7295" priority="7308">
      <formula>AND(#REF!="section",$A214="begin group")</formula>
    </cfRule>
    <cfRule type="expression" dxfId="7294" priority="7310">
      <formula xml:space="preserve"> $A214 = "begin group"</formula>
    </cfRule>
    <cfRule type="expression" dxfId="7293" priority="7311">
      <formula xml:space="preserve"> AND(#REF!="gg",$A214 = "end group")</formula>
    </cfRule>
  </conditionalFormatting>
  <conditionalFormatting sqref="E246:E272">
    <cfRule type="expression" dxfId="7292" priority="7300">
      <formula xml:space="preserve"> $A246 = "begin group"</formula>
    </cfRule>
    <cfRule type="expression" dxfId="7291" priority="7299">
      <formula>AND(#REF! = "section",$A246 = "end group")</formula>
    </cfRule>
    <cfRule type="expression" dxfId="7290" priority="7301">
      <formula xml:space="preserve"> AND(#REF!="gg",$A246 = "end group")</formula>
    </cfRule>
    <cfRule type="expression" dxfId="7289" priority="7298">
      <formula>AND(#REF!="section",$A246="begin group")</formula>
    </cfRule>
  </conditionalFormatting>
  <conditionalFormatting sqref="E278:E305">
    <cfRule type="expression" dxfId="7288" priority="7291">
      <formula xml:space="preserve"> AND(#REF!="gg",$A278 = "end group")</formula>
    </cfRule>
    <cfRule type="expression" dxfId="7287" priority="7290">
      <formula xml:space="preserve"> $A278 = "begin group"</formula>
    </cfRule>
    <cfRule type="expression" dxfId="7286" priority="7289">
      <formula>AND(#REF! = "section",$A278 = "end group")</formula>
    </cfRule>
    <cfRule type="expression" dxfId="7285" priority="7288">
      <formula>AND(#REF!="section",$A278="begin group")</formula>
    </cfRule>
  </conditionalFormatting>
  <conditionalFormatting sqref="E299:E303 G299:G303">
    <cfRule type="expression" dxfId="7284" priority="7276">
      <formula xml:space="preserve"> $A313 = "end repeat"</formula>
    </cfRule>
    <cfRule type="expression" dxfId="7283" priority="7275">
      <formula>$A299 = "begin repeat"</formula>
    </cfRule>
    <cfRule type="expression" dxfId="7282" priority="7274">
      <formula>AND($U$1="disabled",$U312="yes")</formula>
    </cfRule>
  </conditionalFormatting>
  <conditionalFormatting sqref="E304 G304">
    <cfRule type="expression" dxfId="7281" priority="7090">
      <formula>AND($U$1="disabled",$U317="yes")</formula>
    </cfRule>
    <cfRule type="expression" dxfId="7280" priority="7091">
      <formula>$A304 = "begin repeat"</formula>
    </cfRule>
    <cfRule type="expression" dxfId="7279" priority="7092">
      <formula xml:space="preserve"> $A345 = "end repeat"</formula>
    </cfRule>
  </conditionalFormatting>
  <conditionalFormatting sqref="E306:E311">
    <cfRule type="expression" dxfId="7278" priority="7218">
      <formula>AND(#REF! = "section",$A306 = "end group")</formula>
    </cfRule>
    <cfRule type="expression" dxfId="7277" priority="7217">
      <formula>AND(#REF!="section",$A306="begin group")</formula>
    </cfRule>
    <cfRule type="expression" dxfId="7276" priority="7220">
      <formula xml:space="preserve"> AND(#REF!="gg",$A306 = "end group")</formula>
    </cfRule>
    <cfRule type="expression" dxfId="7275" priority="7219">
      <formula xml:space="preserve"> $A306 = "begin group"</formula>
    </cfRule>
  </conditionalFormatting>
  <conditionalFormatting sqref="E310 G310">
    <cfRule type="expression" dxfId="7274" priority="7089">
      <formula xml:space="preserve"> $A345 = "end repeat"</formula>
    </cfRule>
    <cfRule type="expression" dxfId="7273" priority="7088">
      <formula>$A310 = "begin repeat"</formula>
    </cfRule>
    <cfRule type="expression" dxfId="7272" priority="7087">
      <formula>AND($U$1="disabled",#REF!="yes")</formula>
    </cfRule>
  </conditionalFormatting>
  <conditionalFormatting sqref="E312 G314 G316 G312 E316 E314">
    <cfRule type="expression" dxfId="7271" priority="7171">
      <formula>AND($U$1="disabled",$U346="yes")</formula>
    </cfRule>
    <cfRule type="expression" dxfId="7270" priority="7172">
      <formula>$A312 = "begin repeat"</formula>
    </cfRule>
    <cfRule type="expression" dxfId="7269" priority="7173">
      <formula xml:space="preserve"> #REF! = "end repeat"</formula>
    </cfRule>
  </conditionalFormatting>
  <conditionalFormatting sqref="E318 G318">
    <cfRule type="expression" dxfId="7268" priority="7012">
      <formula xml:space="preserve"> $A327 = "end repeat"</formula>
    </cfRule>
    <cfRule type="expression" dxfId="7267" priority="7011">
      <formula>$A318 = "begin repeat"</formula>
    </cfRule>
    <cfRule type="expression" dxfId="7266" priority="7010">
      <formula>AND($U$1="disabled",#REF!="yes")</formula>
    </cfRule>
  </conditionalFormatting>
  <conditionalFormatting sqref="E319:E323 G319:G323">
    <cfRule type="expression" dxfId="7265" priority="7553">
      <formula xml:space="preserve"> $A328 = "end repeat"</formula>
    </cfRule>
    <cfRule type="expression" dxfId="7264" priority="7551">
      <formula>AND($U$1="disabled",$U327="yes")</formula>
    </cfRule>
    <cfRule type="expression" dxfId="7263" priority="7552">
      <formula>$A319 = "begin repeat"</formula>
    </cfRule>
  </conditionalFormatting>
  <conditionalFormatting sqref="E320 E322 G320 G322">
    <cfRule type="expression" dxfId="7262" priority="7549">
      <formula>$A320 = "begin repeat"</formula>
    </cfRule>
    <cfRule type="expression" dxfId="7261" priority="7548">
      <formula>AND($U$1="disabled",$U328="yes")</formula>
    </cfRule>
    <cfRule type="expression" dxfId="7260" priority="7550">
      <formula xml:space="preserve"> #REF! = "end repeat"</formula>
    </cfRule>
  </conditionalFormatting>
  <conditionalFormatting sqref="E325 G325">
    <cfRule type="expression" dxfId="7259" priority="6984">
      <formula>AND(#REF!="section",$A325="begin group")</formula>
    </cfRule>
    <cfRule type="expression" dxfId="7258" priority="6985">
      <formula>AND(#REF! = "section",$A325 = "end group")</formula>
    </cfRule>
    <cfRule type="expression" dxfId="7257" priority="6987">
      <formula xml:space="preserve"> AND(#REF!="gg",$A325 = "end group")</formula>
    </cfRule>
    <cfRule type="expression" dxfId="7256" priority="6986">
      <formula xml:space="preserve"> $A325 = "begin group"</formula>
    </cfRule>
  </conditionalFormatting>
  <conditionalFormatting sqref="E339:E340 G339:G340">
    <cfRule type="expression" dxfId="7255" priority="7072">
      <formula>AND($U$1="disabled",#REF!="yes")</formula>
    </cfRule>
  </conditionalFormatting>
  <conditionalFormatting sqref="E341 G341">
    <cfRule type="expression" dxfId="7254" priority="7154">
      <formula xml:space="preserve"> $A351 = "end repeat"</formula>
    </cfRule>
    <cfRule type="expression" dxfId="7253" priority="7153">
      <formula>$A341 = "begin repeat"</formula>
    </cfRule>
    <cfRule type="expression" dxfId="7252" priority="7152">
      <formula>AND($U$1="disabled",$U350="yes")</formula>
    </cfRule>
  </conditionalFormatting>
  <conditionalFormatting sqref="E345 G345 E348:E354 G348:G354">
    <cfRule type="expression" dxfId="7251" priority="7271">
      <formula>AND($U$1="disabled",$U356="yes")</formula>
    </cfRule>
    <cfRule type="expression" dxfId="7250" priority="7273">
      <formula xml:space="preserve"> $A357 = "end repeat"</formula>
    </cfRule>
    <cfRule type="expression" dxfId="7249" priority="7272">
      <formula>$A345 = "begin repeat"</formula>
    </cfRule>
  </conditionalFormatting>
  <conditionalFormatting sqref="E345 G345">
    <cfRule type="expression" dxfId="7248" priority="7282">
      <formula>$A345 = "begin repeat"</formula>
    </cfRule>
    <cfRule type="expression" dxfId="7247" priority="7283">
      <formula xml:space="preserve"> #REF! = "end repeat"</formula>
    </cfRule>
    <cfRule type="expression" dxfId="7246" priority="7281">
      <formula>AND($U$1="disabled",$U356="yes")</formula>
    </cfRule>
  </conditionalFormatting>
  <conditionalFormatting sqref="E347 F345 H345 F348:F354 H348:H354">
    <cfRule type="expression" dxfId="7245" priority="7586">
      <formula xml:space="preserve"> $A359 = "end repeat"</formula>
    </cfRule>
    <cfRule type="expression" dxfId="7244" priority="7585">
      <formula>$A345 = "begin repeat"</formula>
    </cfRule>
    <cfRule type="expression" dxfId="7243" priority="7584">
      <formula>AND($U$1="disabled",$U345="yes")</formula>
    </cfRule>
  </conditionalFormatting>
  <conditionalFormatting sqref="E347">
    <cfRule type="expression" dxfId="7242" priority="7375">
      <formula>AND($U$1="disabled",$U347="yes")</formula>
    </cfRule>
    <cfRule type="expression" dxfId="7241" priority="7319">
      <formula xml:space="preserve"> AND($J347="gg",$A347 = "end group")</formula>
    </cfRule>
    <cfRule type="expression" dxfId="7240" priority="7369">
      <formula>AND($U$1="disabled",$U347="yes")</formula>
    </cfRule>
    <cfRule type="expression" dxfId="7239" priority="7370">
      <formula>$A347 = "begin repeat"</formula>
    </cfRule>
    <cfRule type="expression" dxfId="7238" priority="7377">
      <formula xml:space="preserve"> $A315 = "end repeat"</formula>
    </cfRule>
    <cfRule type="expression" dxfId="7237" priority="7318">
      <formula xml:space="preserve"> $A347 = "begin group"</formula>
    </cfRule>
    <cfRule type="expression" dxfId="7236" priority="7376">
      <formula>$A347 = "begin repeat"</formula>
    </cfRule>
    <cfRule type="expression" dxfId="7235" priority="7371">
      <formula xml:space="preserve"> $A314 = "end repeat"</formula>
    </cfRule>
  </conditionalFormatting>
  <conditionalFormatting sqref="E348:E353 E355">
    <cfRule type="expression" dxfId="7234" priority="7666">
      <formula xml:space="preserve"> AND(#REF!="gg",$A348 = "end group")</formula>
    </cfRule>
    <cfRule type="expression" dxfId="7233" priority="7664">
      <formula>AND(#REF! = "section",$A348 = "end group")</formula>
    </cfRule>
    <cfRule type="expression" dxfId="7232" priority="7663">
      <formula>AND(#REF!="section",$A348="begin group")</formula>
    </cfRule>
    <cfRule type="expression" dxfId="7231" priority="7665">
      <formula xml:space="preserve"> $A348 = "begin group"</formula>
    </cfRule>
  </conditionalFormatting>
  <conditionalFormatting sqref="E354">
    <cfRule type="expression" dxfId="7230" priority="6943">
      <formula>AND(#REF!="section",$A354="begin group")</formula>
    </cfRule>
    <cfRule type="expression" dxfId="7229" priority="6945">
      <formula xml:space="preserve"> $A354 = "begin group"</formula>
    </cfRule>
    <cfRule type="expression" dxfId="7228" priority="6946">
      <formula xml:space="preserve"> AND(#REF!="gg",$A354 = "end group")</formula>
    </cfRule>
    <cfRule type="expression" dxfId="7227" priority="6944">
      <formula>AND(#REF! = "section",$A354 = "end group")</formula>
    </cfRule>
  </conditionalFormatting>
  <conditionalFormatting sqref="E358:E359">
    <cfRule type="expression" dxfId="7226" priority="6441">
      <formula>AND($U$1="disabled",$U358="yes")</formula>
    </cfRule>
    <cfRule type="expression" dxfId="7225" priority="6445">
      <formula>$A358 = "begin repeat"</formula>
    </cfRule>
    <cfRule type="expression" dxfId="7224" priority="6442">
      <formula>$A358 = "begin repeat"</formula>
    </cfRule>
    <cfRule type="expression" dxfId="7223" priority="6444">
      <formula>AND($U$1="disabled",$U358="yes")</formula>
    </cfRule>
    <cfRule type="expression" dxfId="7222" priority="6446">
      <formula xml:space="preserve"> $A349 = "end repeat"</formula>
    </cfRule>
    <cfRule type="expression" dxfId="7221" priority="6443">
      <formula xml:space="preserve"> $A348 = "end repeat"</formula>
    </cfRule>
  </conditionalFormatting>
  <conditionalFormatting sqref="E358:E360 I361:J391 D362:D391 A372:B391 I426:J456 J486:J498 M358:W378 M437:W456 A423:A437 D427:D456 F358:F359 H358:I359 A358:A360 G358:G360 J358:K360 C358:D361 I360 M379 N379:W382 A393:B393 D393 I393:K393 G421:G425 J421:K425 M421:W425 C423:D426 I425 B437 A448:B453 A468:A480 M486:M491 N486:W494 C488:D491 A488:A494 B488:B530 I490:I494 D492:D521 C492:C556 A496:A507 M504 I504:I507 N504:W507 M509:W521 A509:A530 I510:J521 C362:C420 A557:D558 G557:J558 M557:W558 D528 I528:K528 C427:C485 G486:G490 I499:J503 H421:I424 B454:B457 M496:W503 J504:J509 A532:B532 A534:B548 A454:A465 M493:M494 I496:I498 I509 A421:D422 A486:D487 H486:I489">
    <cfRule type="expression" dxfId="7220" priority="6813">
      <formula>AND($J358 = "section",$A358 = "end group")</formula>
    </cfRule>
    <cfRule type="expression" dxfId="7219" priority="6812">
      <formula>AND($J358="section",$A358="begin group")</formula>
    </cfRule>
  </conditionalFormatting>
  <conditionalFormatting sqref="E360 G360 D496:D499 K518:K521">
    <cfRule type="expression" dxfId="7218" priority="6689">
      <formula xml:space="preserve"> $A423 = "end repeat"</formula>
    </cfRule>
    <cfRule type="expression" dxfId="7217" priority="6687">
      <formula>AND($U$1="disabled",$U360="yes")</formula>
    </cfRule>
    <cfRule type="expression" dxfId="7216" priority="6688">
      <formula>$A360 = "begin repeat"</formula>
    </cfRule>
  </conditionalFormatting>
  <conditionalFormatting sqref="E361:E391">
    <cfRule type="expression" dxfId="7215" priority="6433">
      <formula>AND(#REF!="section",$A361="begin group")</formula>
    </cfRule>
    <cfRule type="expression" dxfId="7214" priority="6436">
      <formula xml:space="preserve"> AND(#REF!="gg",$A361 = "end group")</formula>
    </cfRule>
    <cfRule type="expression" dxfId="7213" priority="6434">
      <formula>AND(#REF! = "section",$A361 = "end group")</formula>
    </cfRule>
    <cfRule type="expression" dxfId="7212" priority="6435">
      <formula xml:space="preserve"> $A361 = "begin group"</formula>
    </cfRule>
  </conditionalFormatting>
  <conditionalFormatting sqref="E384 G384 E449 G449">
    <cfRule type="expression" dxfId="7211" priority="4339">
      <formula>$A384 = "begin repeat"</formula>
    </cfRule>
    <cfRule type="expression" dxfId="7210" priority="4338">
      <formula>AND($U$1="disabled",$U391="yes")</formula>
    </cfRule>
    <cfRule type="expression" dxfId="7209" priority="4340">
      <formula xml:space="preserve"> $A421 = "end repeat"</formula>
    </cfRule>
  </conditionalFormatting>
  <conditionalFormatting sqref="E392 G392 G396:G397 E396:E397 G461:G462 E461:E462">
    <cfRule type="expression" dxfId="7208" priority="5959">
      <formula xml:space="preserve"> $A427 = "end repeat"</formula>
    </cfRule>
    <cfRule type="expression" dxfId="7207" priority="5957">
      <formula>AND($U$1="disabled",$U426="yes")</formula>
    </cfRule>
    <cfRule type="expression" dxfId="7206" priority="5958">
      <formula>$A392 = "begin repeat"</formula>
    </cfRule>
  </conditionalFormatting>
  <conditionalFormatting sqref="E392">
    <cfRule type="expression" dxfId="7205" priority="6351">
      <formula>AND(#REF! = "section",$A392 = "end group")</formula>
    </cfRule>
    <cfRule type="expression" dxfId="7204" priority="6352">
      <formula xml:space="preserve"> $A392 = "begin group"</formula>
    </cfRule>
    <cfRule type="expression" dxfId="7203" priority="6353">
      <formula xml:space="preserve"> AND(#REF!="gg",$A392 = "end group")</formula>
    </cfRule>
    <cfRule type="expression" dxfId="7202" priority="6350">
      <formula>AND(#REF!="section",$A392="begin group")</formula>
    </cfRule>
  </conditionalFormatting>
  <conditionalFormatting sqref="E393 E528">
    <cfRule type="expression" dxfId="7201" priority="6824">
      <formula xml:space="preserve"> AND(#REF!="gg",$A393 = "end group")</formula>
    </cfRule>
    <cfRule type="expression" dxfId="7200" priority="6823">
      <formula xml:space="preserve"> $A393 = "begin group"</formula>
    </cfRule>
    <cfRule type="expression" dxfId="7199" priority="6822">
      <formula>AND(#REF! = "section",$A393 = "end group")</formula>
    </cfRule>
    <cfRule type="expression" dxfId="7198" priority="6821">
      <formula>AND(#REF!="section",$A393="begin group")</formula>
    </cfRule>
  </conditionalFormatting>
  <conditionalFormatting sqref="E394">
    <cfRule type="expression" dxfId="7197" priority="5758">
      <formula xml:space="preserve"> AND(#REF!="gg",$A394 = "end group")</formula>
    </cfRule>
    <cfRule type="expression" dxfId="7196" priority="5757">
      <formula xml:space="preserve"> $A394 = "begin group"</formula>
    </cfRule>
    <cfRule type="expression" dxfId="7195" priority="5756">
      <formula>AND(#REF! = "section",$A394 = "end group")</formula>
    </cfRule>
    <cfRule type="expression" dxfId="7194" priority="5755">
      <formula>AND(#REF!="section",$A394="begin group")</formula>
    </cfRule>
  </conditionalFormatting>
  <conditionalFormatting sqref="E395">
    <cfRule type="expression" dxfId="7193" priority="5736">
      <formula xml:space="preserve"> $A395 = "begin group"</formula>
    </cfRule>
    <cfRule type="expression" dxfId="7192" priority="5737">
      <formula xml:space="preserve"> AND(#REF!="gg",$A395 = "end group")</formula>
    </cfRule>
    <cfRule type="expression" dxfId="7191" priority="5735">
      <formula>AND(#REF! = "section",$A395 = "end group")</formula>
    </cfRule>
    <cfRule type="expression" dxfId="7190" priority="5734">
      <formula>AND(#REF!="section",$A395="begin group")</formula>
    </cfRule>
  </conditionalFormatting>
  <conditionalFormatting sqref="E396">
    <cfRule type="expression" dxfId="7189" priority="5965">
      <formula xml:space="preserve"> AND(#REF!="gg",$A396 = "end group")</formula>
    </cfRule>
    <cfRule type="expression" dxfId="7188" priority="5964">
      <formula xml:space="preserve"> $A396 = "begin group"</formula>
    </cfRule>
    <cfRule type="expression" dxfId="7187" priority="5963">
      <formula>AND(#REF! = "section",$A396 = "end group")</formula>
    </cfRule>
    <cfRule type="expression" dxfId="7186" priority="5962">
      <formula>AND(#REF!="section",$A396="begin group")</formula>
    </cfRule>
  </conditionalFormatting>
  <conditionalFormatting sqref="E397">
    <cfRule type="expression" dxfId="7185" priority="5691">
      <formula>AND(#REF!="section",$A397="begin group")</formula>
    </cfRule>
    <cfRule type="expression" dxfId="7184" priority="5692">
      <formula>AND(#REF! = "section",$A397 = "end group")</formula>
    </cfRule>
    <cfRule type="expression" dxfId="7183" priority="5693">
      <formula xml:space="preserve"> $A397 = "begin group"</formula>
    </cfRule>
    <cfRule type="expression" dxfId="7182" priority="5694">
      <formula xml:space="preserve"> AND(#REF!="gg",$A397 = "end group")</formula>
    </cfRule>
  </conditionalFormatting>
  <conditionalFormatting sqref="E398">
    <cfRule type="expression" dxfId="7181" priority="6294">
      <formula>AND(#REF!="section",$A398="begin group")</formula>
    </cfRule>
    <cfRule type="expression" dxfId="7180" priority="6295">
      <formula>AND(#REF! = "section",$A398 = "end group")</formula>
    </cfRule>
    <cfRule type="expression" dxfId="7179" priority="6296">
      <formula xml:space="preserve"> $A398 = "begin group"</formula>
    </cfRule>
    <cfRule type="expression" dxfId="7178" priority="6297">
      <formula xml:space="preserve"> AND(#REF!="gg",$A398 = "end group")</formula>
    </cfRule>
  </conditionalFormatting>
  <conditionalFormatting sqref="E399">
    <cfRule type="expression" dxfId="7177" priority="6263">
      <formula>AND(#REF!="section",$A399="begin group")</formula>
    </cfRule>
    <cfRule type="expression" dxfId="7176" priority="6264">
      <formula>AND(#REF! = "section",$A399 = "end group")</formula>
    </cfRule>
    <cfRule type="expression" dxfId="7175" priority="6265">
      <formula xml:space="preserve"> $A399 = "begin group"</formula>
    </cfRule>
    <cfRule type="expression" dxfId="7174" priority="6266">
      <formula xml:space="preserve"> AND(#REF!="gg",$A399 = "end group")</formula>
    </cfRule>
  </conditionalFormatting>
  <conditionalFormatting sqref="E400">
    <cfRule type="expression" dxfId="7173" priority="6233">
      <formula>AND(#REF! = "section",$A400 = "end group")</formula>
    </cfRule>
    <cfRule type="expression" dxfId="7172" priority="6235">
      <formula xml:space="preserve"> AND(#REF!="gg",$A400 = "end group")</formula>
    </cfRule>
    <cfRule type="expression" dxfId="7171" priority="6232">
      <formula>AND(#REF!="section",$A400="begin group")</formula>
    </cfRule>
    <cfRule type="expression" dxfId="7170" priority="6234">
      <formula xml:space="preserve"> $A400 = "begin group"</formula>
    </cfRule>
  </conditionalFormatting>
  <conditionalFormatting sqref="E401">
    <cfRule type="expression" dxfId="7169" priority="3420">
      <formula xml:space="preserve"> $A401 = "begin group"</formula>
    </cfRule>
    <cfRule type="expression" dxfId="7168" priority="3421">
      <formula xml:space="preserve"> AND(#REF!="gg",$A401 = "end group")</formula>
    </cfRule>
    <cfRule type="expression" dxfId="7167" priority="3419">
      <formula>AND(#REF! = "section",$A401 = "end group")</formula>
    </cfRule>
    <cfRule type="expression" dxfId="7166" priority="3418">
      <formula>AND(#REF!="section",$A401="begin group")</formula>
    </cfRule>
  </conditionalFormatting>
  <conditionalFormatting sqref="E402">
    <cfRule type="expression" dxfId="7165" priority="3384">
      <formula>AND(#REF!="section",$A402="begin group")</formula>
    </cfRule>
    <cfRule type="expression" dxfId="7164" priority="3385">
      <formula>AND(#REF! = "section",$A402 = "end group")</formula>
    </cfRule>
    <cfRule type="expression" dxfId="7163" priority="3386">
      <formula xml:space="preserve"> $A402 = "begin group"</formula>
    </cfRule>
    <cfRule type="expression" dxfId="7162" priority="3387">
      <formula xml:space="preserve"> AND(#REF!="gg",$A402 = "end group")</formula>
    </cfRule>
  </conditionalFormatting>
  <conditionalFormatting sqref="E403">
    <cfRule type="expression" dxfId="7161" priority="5931">
      <formula xml:space="preserve"> AND(#REF!="gg",$A403 = "end group")</formula>
    </cfRule>
    <cfRule type="expression" dxfId="7160" priority="5929">
      <formula>AND(#REF! = "section",$A403 = "end group")</formula>
    </cfRule>
    <cfRule type="expression" dxfId="7159" priority="5930">
      <formula xml:space="preserve"> $A403 = "begin group"</formula>
    </cfRule>
    <cfRule type="expression" dxfId="7158" priority="5928">
      <formula>AND(#REF!="section",$A403="begin group")</formula>
    </cfRule>
  </conditionalFormatting>
  <conditionalFormatting sqref="E404">
    <cfRule type="expression" dxfId="7157" priority="5770">
      <formula xml:space="preserve"> AND(#REF!="gg",$A404 = "end group")</formula>
    </cfRule>
    <cfRule type="expression" dxfId="7156" priority="5769">
      <formula xml:space="preserve"> $A404 = "begin group"</formula>
    </cfRule>
    <cfRule type="expression" dxfId="7155" priority="5768">
      <formula>AND(#REF! = "section",$A404 = "end group")</formula>
    </cfRule>
    <cfRule type="expression" dxfId="7154" priority="5767">
      <formula>AND(#REF!="section",$A404="begin group")</formula>
    </cfRule>
  </conditionalFormatting>
  <conditionalFormatting sqref="E405">
    <cfRule type="expression" dxfId="7153" priority="6204">
      <formula xml:space="preserve"> AND(#REF!="gg",$A405 = "end group")</formula>
    </cfRule>
    <cfRule type="expression" dxfId="7152" priority="6202">
      <formula>AND(#REF! = "section",$A405 = "end group")</formula>
    </cfRule>
    <cfRule type="expression" dxfId="7151" priority="6201">
      <formula>AND(#REF!="section",$A405="begin group")</formula>
    </cfRule>
    <cfRule type="expression" dxfId="7150" priority="6203">
      <formula xml:space="preserve"> $A405 = "begin group"</formula>
    </cfRule>
  </conditionalFormatting>
  <conditionalFormatting sqref="E406">
    <cfRule type="expression" dxfId="7149" priority="6171">
      <formula>AND(#REF! = "section",$A406 = "end group")</formula>
    </cfRule>
    <cfRule type="expression" dxfId="7148" priority="6170">
      <formula>AND(#REF!="section",$A406="begin group")</formula>
    </cfRule>
    <cfRule type="expression" dxfId="7147" priority="6172">
      <formula xml:space="preserve"> $A406 = "begin group"</formula>
    </cfRule>
    <cfRule type="expression" dxfId="7146" priority="6173">
      <formula xml:space="preserve"> AND(#REF!="gg",$A406 = "end group")</formula>
    </cfRule>
  </conditionalFormatting>
  <conditionalFormatting sqref="E407">
    <cfRule type="expression" dxfId="7145" priority="5900">
      <formula xml:space="preserve"> AND(#REF!="gg",$A407 = "end group")</formula>
    </cfRule>
    <cfRule type="expression" dxfId="7144" priority="5897">
      <formula>AND(#REF!="section",$A407="begin group")</formula>
    </cfRule>
    <cfRule type="expression" dxfId="7143" priority="5898">
      <formula>AND(#REF! = "section",$A407 = "end group")</formula>
    </cfRule>
    <cfRule type="expression" dxfId="7142" priority="5899">
      <formula xml:space="preserve"> $A407 = "begin group"</formula>
    </cfRule>
  </conditionalFormatting>
  <conditionalFormatting sqref="E408">
    <cfRule type="expression" dxfId="7141" priority="5798">
      <formula>AND(#REF!="section",$A408="begin group")</formula>
    </cfRule>
    <cfRule type="expression" dxfId="7140" priority="5799">
      <formula>AND(#REF! = "section",$A408 = "end group")</formula>
    </cfRule>
    <cfRule type="expression" dxfId="7139" priority="5800">
      <formula xml:space="preserve"> $A408 = "begin group"</formula>
    </cfRule>
    <cfRule type="expression" dxfId="7138" priority="5801">
      <formula xml:space="preserve"> AND(#REF!="gg",$A408 = "end group")</formula>
    </cfRule>
  </conditionalFormatting>
  <conditionalFormatting sqref="E408:E409 G408:G409 E473:E474 G473:G474">
    <cfRule type="expression" dxfId="7137" priority="3605">
      <formula>AND($U$1="disabled",$U433="yes")</formula>
    </cfRule>
    <cfRule type="expression" dxfId="7136" priority="3606">
      <formula>$A408 = "begin repeat"</formula>
    </cfRule>
    <cfRule type="expression" dxfId="7135" priority="3607">
      <formula xml:space="preserve"> $A434 = "end repeat"</formula>
    </cfRule>
  </conditionalFormatting>
  <conditionalFormatting sqref="E409">
    <cfRule type="expression" dxfId="7134" priority="5869">
      <formula xml:space="preserve"> AND(#REF!="gg",$A409 = "end group")</formula>
    </cfRule>
    <cfRule type="expression" dxfId="7133" priority="5866">
      <formula>AND(#REF!="section",$A409="begin group")</formula>
    </cfRule>
    <cfRule type="expression" dxfId="7132" priority="5868">
      <formula xml:space="preserve"> $A409 = "begin group"</formula>
    </cfRule>
    <cfRule type="expression" dxfId="7131" priority="5867">
      <formula>AND(#REF! = "section",$A409 = "end group")</formula>
    </cfRule>
  </conditionalFormatting>
  <conditionalFormatting sqref="E410">
    <cfRule type="expression" dxfId="7130" priority="6130">
      <formula>AND(#REF!="section",$A410="begin group")</formula>
    </cfRule>
    <cfRule type="expression" dxfId="7129" priority="6133">
      <formula xml:space="preserve"> AND(#REF!="gg",$A410 = "end group")</formula>
    </cfRule>
    <cfRule type="expression" dxfId="7128" priority="6131">
      <formula>AND(#REF! = "section",$A410 = "end group")</formula>
    </cfRule>
    <cfRule type="expression" dxfId="7127" priority="6132">
      <formula xml:space="preserve"> $A410 = "begin group"</formula>
    </cfRule>
  </conditionalFormatting>
  <conditionalFormatting sqref="E410:E411 G410:G411 E475:E476 G475:G476">
    <cfRule type="expression" dxfId="7126" priority="3655">
      <formula>AND($U$1="disabled",$U442="yes")</formula>
    </cfRule>
    <cfRule type="expression" dxfId="7125" priority="3656">
      <formula>$A410 = "begin repeat"</formula>
    </cfRule>
    <cfRule type="expression" dxfId="7124" priority="3657">
      <formula xml:space="preserve"> $A443 = "end repeat"</formula>
    </cfRule>
  </conditionalFormatting>
  <conditionalFormatting sqref="E411">
    <cfRule type="expression" dxfId="7123" priority="6101">
      <formula xml:space="preserve"> $A411 = "begin group"</formula>
    </cfRule>
    <cfRule type="expression" dxfId="7122" priority="6100">
      <formula>AND(#REF! = "section",$A411 = "end group")</formula>
    </cfRule>
    <cfRule type="expression" dxfId="7121" priority="6102">
      <formula xml:space="preserve"> AND(#REF!="gg",$A411 = "end group")</formula>
    </cfRule>
    <cfRule type="expression" dxfId="7120" priority="6099">
      <formula>AND(#REF!="section",$A411="begin group")</formula>
    </cfRule>
  </conditionalFormatting>
  <conditionalFormatting sqref="E412">
    <cfRule type="expression" dxfId="7119" priority="5835">
      <formula>AND(#REF!="section",$A412="begin group")</formula>
    </cfRule>
    <cfRule type="expression" dxfId="7118" priority="5837">
      <formula xml:space="preserve"> $A412 = "begin group"</formula>
    </cfRule>
    <cfRule type="expression" dxfId="7117" priority="5836">
      <formula>AND(#REF! = "section",$A412 = "end group")</formula>
    </cfRule>
    <cfRule type="expression" dxfId="7116" priority="5838">
      <formula xml:space="preserve"> AND(#REF!="gg",$A412 = "end group")</formula>
    </cfRule>
  </conditionalFormatting>
  <conditionalFormatting sqref="E413">
    <cfRule type="expression" dxfId="7115" priority="5658">
      <formula>AND(#REF! = "section",$A413 = "end group")</formula>
    </cfRule>
    <cfRule type="expression" dxfId="7114" priority="5657">
      <formula>AND(#REF!="section",$A413="begin group")</formula>
    </cfRule>
    <cfRule type="expression" dxfId="7113" priority="5659">
      <formula xml:space="preserve"> $A413 = "begin group"</formula>
    </cfRule>
    <cfRule type="expression" dxfId="7112" priority="5660">
      <formula xml:space="preserve"> AND(#REF!="gg",$A413 = "end group")</formula>
    </cfRule>
  </conditionalFormatting>
  <conditionalFormatting sqref="E414">
    <cfRule type="expression" dxfId="7111" priority="6071">
      <formula xml:space="preserve"> AND(#REF!="gg",$A414 = "end group")</formula>
    </cfRule>
    <cfRule type="expression" dxfId="7110" priority="6070">
      <formula xml:space="preserve"> $A414 = "begin group"</formula>
    </cfRule>
    <cfRule type="expression" dxfId="7109" priority="6069">
      <formula>AND(#REF! = "section",$A414 = "end group")</formula>
    </cfRule>
    <cfRule type="expression" dxfId="7108" priority="6068">
      <formula>AND(#REF!="section",$A414="begin group")</formula>
    </cfRule>
  </conditionalFormatting>
  <conditionalFormatting sqref="E415">
    <cfRule type="expression" dxfId="7107" priority="6037">
      <formula>AND(#REF!="section",$A415="begin group")</formula>
    </cfRule>
    <cfRule type="expression" dxfId="7106" priority="6040">
      <formula xml:space="preserve"> AND(#REF!="gg",$A415 = "end group")</formula>
    </cfRule>
    <cfRule type="expression" dxfId="7105" priority="6039">
      <formula xml:space="preserve"> $A415 = "begin group"</formula>
    </cfRule>
    <cfRule type="expression" dxfId="7104" priority="6038">
      <formula>AND(#REF! = "section",$A415 = "end group")</formula>
    </cfRule>
  </conditionalFormatting>
  <conditionalFormatting sqref="E416">
    <cfRule type="expression" dxfId="7103" priority="3348">
      <formula>AND(#REF! = "section",$A416 = "end group")</formula>
    </cfRule>
    <cfRule type="expression" dxfId="7102" priority="3347">
      <formula>AND(#REF!="section",$A416="begin group")</formula>
    </cfRule>
    <cfRule type="expression" dxfId="7101" priority="3350">
      <formula xml:space="preserve"> AND(#REF!="gg",$A416 = "end group")</formula>
    </cfRule>
    <cfRule type="expression" dxfId="7100" priority="3349">
      <formula xml:space="preserve"> $A416 = "begin group"</formula>
    </cfRule>
  </conditionalFormatting>
  <conditionalFormatting sqref="E417">
    <cfRule type="expression" dxfId="7099" priority="3230">
      <formula xml:space="preserve"> AND(#REF!="gg",$A417 = "end group")</formula>
    </cfRule>
    <cfRule type="expression" dxfId="7098" priority="3229">
      <formula xml:space="preserve"> $A417 = "begin group"</formula>
    </cfRule>
    <cfRule type="expression" dxfId="7097" priority="3228">
      <formula>AND(#REF! = "section",$A417 = "end group")</formula>
    </cfRule>
    <cfRule type="expression" dxfId="7096" priority="3227">
      <formula>AND(#REF!="section",$A417="begin group")</formula>
    </cfRule>
  </conditionalFormatting>
  <conditionalFormatting sqref="E418">
    <cfRule type="expression" dxfId="7095" priority="3197">
      <formula>AND(#REF! = "section",$A418 = "end group")</formula>
    </cfRule>
    <cfRule type="expression" dxfId="7094" priority="3199">
      <formula xml:space="preserve"> AND(#REF!="gg",$A418 = "end group")</formula>
    </cfRule>
    <cfRule type="expression" dxfId="7093" priority="3198">
      <formula xml:space="preserve"> $A418 = "begin group"</formula>
    </cfRule>
    <cfRule type="expression" dxfId="7092" priority="3196">
      <formula>AND(#REF!="section",$A418="begin group")</formula>
    </cfRule>
  </conditionalFormatting>
  <conditionalFormatting sqref="E419">
    <cfRule type="expression" dxfId="7091" priority="3289">
      <formula>AND(#REF!="section",$A419="begin group")</formula>
    </cfRule>
    <cfRule type="expression" dxfId="7090" priority="3292">
      <formula xml:space="preserve"> AND(#REF!="gg",$A419 = "end group")</formula>
    </cfRule>
    <cfRule type="expression" dxfId="7089" priority="3291">
      <formula xml:space="preserve"> $A419 = "begin group"</formula>
    </cfRule>
    <cfRule type="expression" dxfId="7088" priority="3290">
      <formula>AND(#REF! = "section",$A419 = "end group")</formula>
    </cfRule>
  </conditionalFormatting>
  <conditionalFormatting sqref="E420">
    <cfRule type="expression" dxfId="7087" priority="3258">
      <formula>AND(#REF!="section",$A420="begin group")</formula>
    </cfRule>
    <cfRule type="expression" dxfId="7086" priority="3259">
      <formula>AND(#REF! = "section",$A420 = "end group")</formula>
    </cfRule>
    <cfRule type="expression" dxfId="7085" priority="3260">
      <formula xml:space="preserve"> $A420 = "begin group"</formula>
    </cfRule>
    <cfRule type="expression" dxfId="7084" priority="3261">
      <formula xml:space="preserve"> AND(#REF!="gg",$A420 = "end group")</formula>
    </cfRule>
  </conditionalFormatting>
  <conditionalFormatting sqref="E421:E425 E486:E490 F421:F424 F486:F489 E557:F558">
    <cfRule type="expression" dxfId="7083" priority="6454">
      <formula>AND($J421 = "section",$A421 = "end group")</formula>
    </cfRule>
    <cfRule type="expression" dxfId="7082" priority="6453">
      <formula>AND($J421="section",$A421="begin group")</formula>
    </cfRule>
  </conditionalFormatting>
  <conditionalFormatting sqref="E423:E424 E488:E489">
    <cfRule type="expression" dxfId="7081" priority="3618">
      <formula>$A423 = "begin repeat"</formula>
    </cfRule>
    <cfRule type="expression" dxfId="7080" priority="3603">
      <formula>$A423 = "begin repeat"</formula>
    </cfRule>
    <cfRule type="expression" dxfId="7079" priority="3604">
      <formula xml:space="preserve"> $A389 = "end repeat"</formula>
    </cfRule>
    <cfRule type="expression" dxfId="7078" priority="3602">
      <formula>AND($U$1="disabled",$U423="yes")</formula>
    </cfRule>
    <cfRule type="expression" dxfId="7077" priority="3617">
      <formula>AND($U$1="disabled",$U423="yes")</formula>
    </cfRule>
    <cfRule type="expression" dxfId="7076" priority="3619">
      <formula xml:space="preserve"> $A388 = "end repeat"</formula>
    </cfRule>
  </conditionalFormatting>
  <conditionalFormatting sqref="E426:E456">
    <cfRule type="expression" dxfId="7075" priority="6426">
      <formula xml:space="preserve"> AND(#REF!="gg",$A426 = "end group")</formula>
    </cfRule>
    <cfRule type="expression" dxfId="7074" priority="6425">
      <formula xml:space="preserve"> $A426 = "begin group"</formula>
    </cfRule>
    <cfRule type="expression" dxfId="7073" priority="6424">
      <formula>AND(#REF! = "section",$A426 = "end group")</formula>
    </cfRule>
    <cfRule type="expression" dxfId="7072" priority="6423">
      <formula>AND(#REF!="section",$A426="begin group")</formula>
    </cfRule>
  </conditionalFormatting>
  <conditionalFormatting sqref="E457 G457">
    <cfRule type="expression" dxfId="7071" priority="4334">
      <formula xml:space="preserve"> $A495 = "end repeat"</formula>
    </cfRule>
    <cfRule type="expression" dxfId="7070" priority="4332">
      <formula>AND($U$1="disabled",$U494="yes")</formula>
    </cfRule>
    <cfRule type="expression" dxfId="7069" priority="4333">
      <formula>$A457 = "begin repeat"</formula>
    </cfRule>
  </conditionalFormatting>
  <conditionalFormatting sqref="E457">
    <cfRule type="expression" dxfId="7068" priority="6327">
      <formula xml:space="preserve"> $A457 = "begin group"</formula>
    </cfRule>
    <cfRule type="expression" dxfId="7067" priority="6328">
      <formula xml:space="preserve"> AND(#REF!="gg",$A457 = "end group")</formula>
    </cfRule>
    <cfRule type="expression" dxfId="7066" priority="6325">
      <formula>AND(#REF!="section",$A457="begin group")</formula>
    </cfRule>
    <cfRule type="expression" dxfId="7065" priority="6326">
      <formula>AND(#REF! = "section",$A457 = "end group")</formula>
    </cfRule>
  </conditionalFormatting>
  <conditionalFormatting sqref="E458">
    <cfRule type="expression" dxfId="7064" priority="5627">
      <formula>AND(#REF!="section",$A458="begin group")</formula>
    </cfRule>
    <cfRule type="expression" dxfId="7063" priority="5630">
      <formula xml:space="preserve"> AND(#REF!="gg",$A458 = "end group")</formula>
    </cfRule>
    <cfRule type="expression" dxfId="7062" priority="5628">
      <formula>AND(#REF! = "section",$A458 = "end group")</formula>
    </cfRule>
    <cfRule type="expression" dxfId="7061" priority="5629">
      <formula xml:space="preserve"> $A458 = "begin group"</formula>
    </cfRule>
  </conditionalFormatting>
  <conditionalFormatting sqref="E459">
    <cfRule type="expression" dxfId="7060" priority="5112">
      <formula xml:space="preserve"> $A459 = "begin group"</formula>
    </cfRule>
    <cfRule type="expression" dxfId="7059" priority="5113">
      <formula xml:space="preserve"> AND(#REF!="gg",$A459 = "end group")</formula>
    </cfRule>
    <cfRule type="expression" dxfId="7058" priority="5111">
      <formula>AND(#REF! = "section",$A459 = "end group")</formula>
    </cfRule>
    <cfRule type="expression" dxfId="7057" priority="5110">
      <formula>AND(#REF!="section",$A459="begin group")</formula>
    </cfRule>
  </conditionalFormatting>
  <conditionalFormatting sqref="E460">
    <cfRule type="expression" dxfId="7056" priority="5090">
      <formula>AND(#REF! = "section",$A460 = "end group")</formula>
    </cfRule>
    <cfRule type="expression" dxfId="7055" priority="5089">
      <formula>AND(#REF!="section",$A460="begin group")</formula>
    </cfRule>
    <cfRule type="expression" dxfId="7054" priority="5092">
      <formula xml:space="preserve"> AND(#REF!="gg",$A460 = "end group")</formula>
    </cfRule>
    <cfRule type="expression" dxfId="7053" priority="5091">
      <formula xml:space="preserve"> $A460 = "begin group"</formula>
    </cfRule>
  </conditionalFormatting>
  <conditionalFormatting sqref="E461">
    <cfRule type="expression" dxfId="7052" priority="5310">
      <formula xml:space="preserve"> $A461 = "begin group"</formula>
    </cfRule>
    <cfRule type="expression" dxfId="7051" priority="5311">
      <formula xml:space="preserve"> AND(#REF!="gg",$A461 = "end group")</formula>
    </cfRule>
    <cfRule type="expression" dxfId="7050" priority="5309">
      <formula>AND(#REF! = "section",$A461 = "end group")</formula>
    </cfRule>
    <cfRule type="expression" dxfId="7049" priority="5308">
      <formula>AND(#REF!="section",$A461="begin group")</formula>
    </cfRule>
  </conditionalFormatting>
  <conditionalFormatting sqref="E462">
    <cfRule type="expression" dxfId="7048" priority="5052">
      <formula xml:space="preserve"> AND(#REF!="gg",$A462 = "end group")</formula>
    </cfRule>
    <cfRule type="expression" dxfId="7047" priority="5051">
      <formula xml:space="preserve"> $A462 = "begin group"</formula>
    </cfRule>
    <cfRule type="expression" dxfId="7046" priority="5050">
      <formula>AND(#REF! = "section",$A462 = "end group")</formula>
    </cfRule>
    <cfRule type="expression" dxfId="7045" priority="5049">
      <formula>AND(#REF!="section",$A462="begin group")</formula>
    </cfRule>
  </conditionalFormatting>
  <conditionalFormatting sqref="E463">
    <cfRule type="expression" dxfId="7044" priority="5588">
      <formula>AND(#REF! = "section",$A463 = "end group")</formula>
    </cfRule>
    <cfRule type="expression" dxfId="7043" priority="5587">
      <formula>AND(#REF!="section",$A463="begin group")</formula>
    </cfRule>
    <cfRule type="expression" dxfId="7042" priority="5589">
      <formula xml:space="preserve"> $A463 = "begin group"</formula>
    </cfRule>
    <cfRule type="expression" dxfId="7041" priority="5590">
      <formula xml:space="preserve"> AND(#REF!="gg",$A463 = "end group")</formula>
    </cfRule>
  </conditionalFormatting>
  <conditionalFormatting sqref="E464">
    <cfRule type="expression" dxfId="7040" priority="5556">
      <formula>AND(#REF!="section",$A464="begin group")</formula>
    </cfRule>
    <cfRule type="expression" dxfId="7039" priority="5557">
      <formula>AND(#REF! = "section",$A464 = "end group")</formula>
    </cfRule>
    <cfRule type="expression" dxfId="7038" priority="5558">
      <formula xml:space="preserve"> $A464 = "begin group"</formula>
    </cfRule>
    <cfRule type="expression" dxfId="7037" priority="5559">
      <formula xml:space="preserve"> AND(#REF!="gg",$A464 = "end group")</formula>
    </cfRule>
  </conditionalFormatting>
  <conditionalFormatting sqref="E465">
    <cfRule type="expression" dxfId="7036" priority="5525">
      <formula>AND(#REF!="section",$A465="begin group")</formula>
    </cfRule>
    <cfRule type="expression" dxfId="7035" priority="5526">
      <formula>AND(#REF! = "section",$A465 = "end group")</formula>
    </cfRule>
    <cfRule type="expression" dxfId="7034" priority="5527">
      <formula xml:space="preserve"> $A465 = "begin group"</formula>
    </cfRule>
    <cfRule type="expression" dxfId="7033" priority="5528">
      <formula xml:space="preserve"> AND(#REF!="gg",$A465 = "end group")</formula>
    </cfRule>
  </conditionalFormatting>
  <conditionalFormatting sqref="E466">
    <cfRule type="expression" dxfId="7032" priority="3706">
      <formula xml:space="preserve"> $A466 = "begin group"</formula>
    </cfRule>
    <cfRule type="expression" dxfId="7031" priority="3705">
      <formula>AND(#REF! = "section",$A466 = "end group")</formula>
    </cfRule>
    <cfRule type="expression" dxfId="7030" priority="3704">
      <formula>AND(#REF!="section",$A466="begin group")</formula>
    </cfRule>
    <cfRule type="expression" dxfId="7029" priority="3707">
      <formula xml:space="preserve"> AND(#REF!="gg",$A466 = "end group")</formula>
    </cfRule>
  </conditionalFormatting>
  <conditionalFormatting sqref="E467">
    <cfRule type="expression" dxfId="7028" priority="3668">
      <formula xml:space="preserve"> $A467 = "begin group"</formula>
    </cfRule>
    <cfRule type="expression" dxfId="7027" priority="3667">
      <formula>AND(#REF! = "section",$A467 = "end group")</formula>
    </cfRule>
    <cfRule type="expression" dxfId="7026" priority="3666">
      <formula>AND(#REF!="section",$A467="begin group")</formula>
    </cfRule>
    <cfRule type="expression" dxfId="7025" priority="3669">
      <formula xml:space="preserve"> AND(#REF!="gg",$A467 = "end group")</formula>
    </cfRule>
  </conditionalFormatting>
  <conditionalFormatting sqref="E468 G468 G403 E403 E482 G482 G417 E417 G478:G480 E478:E480 G413:G415 E413:E415">
    <cfRule type="expression" dxfId="7024" priority="5993">
      <formula xml:space="preserve"> $A431 = "end repeat"</formula>
    </cfRule>
    <cfRule type="expression" dxfId="7023" priority="5992">
      <formula>$A403 = "begin repeat"</formula>
    </cfRule>
    <cfRule type="expression" dxfId="7022" priority="5991">
      <formula>AND($U$1="disabled",$U430="yes")</formula>
    </cfRule>
  </conditionalFormatting>
  <conditionalFormatting sqref="E468">
    <cfRule type="expression" dxfId="7021" priority="5279">
      <formula xml:space="preserve"> $A468 = "begin group"</formula>
    </cfRule>
    <cfRule type="expression" dxfId="7020" priority="5278">
      <formula>AND(#REF! = "section",$A468 = "end group")</formula>
    </cfRule>
    <cfRule type="expression" dxfId="7019" priority="5277">
      <formula>AND(#REF!="section",$A468="begin group")</formula>
    </cfRule>
    <cfRule type="expression" dxfId="7018" priority="5280">
      <formula xml:space="preserve"> AND(#REF!="gg",$A468 = "end group")</formula>
    </cfRule>
  </conditionalFormatting>
  <conditionalFormatting sqref="E469">
    <cfRule type="expression" dxfId="7017" priority="5124">
      <formula xml:space="preserve"> $A469 = "begin group"</formula>
    </cfRule>
    <cfRule type="expression" dxfId="7016" priority="5125">
      <formula xml:space="preserve"> AND(#REF!="gg",$A469 = "end group")</formula>
    </cfRule>
    <cfRule type="expression" dxfId="7015" priority="5123">
      <formula>AND(#REF! = "section",$A469 = "end group")</formula>
    </cfRule>
    <cfRule type="expression" dxfId="7014" priority="5122">
      <formula>AND(#REF!="section",$A469="begin group")</formula>
    </cfRule>
  </conditionalFormatting>
  <conditionalFormatting sqref="E469:E472 G469:G472 E483:E485 G483:G485 E404:E407 G404:G407 E418:E420 G418:G420">
    <cfRule type="expression" dxfId="7013" priority="4365">
      <formula>AND($U$1="disabled",$U430="yes")</formula>
    </cfRule>
    <cfRule type="expression" dxfId="7012" priority="4367">
      <formula xml:space="preserve"> $A431 = "end repeat"</formula>
    </cfRule>
    <cfRule type="expression" dxfId="7011" priority="4366">
      <formula>$A404 = "begin repeat"</formula>
    </cfRule>
  </conditionalFormatting>
  <conditionalFormatting sqref="E470">
    <cfRule type="expression" dxfId="7010" priority="5497">
      <formula xml:space="preserve"> AND(#REF!="gg",$A470 = "end group")</formula>
    </cfRule>
    <cfRule type="expression" dxfId="7009" priority="5495">
      <formula>AND(#REF! = "section",$A470 = "end group")</formula>
    </cfRule>
    <cfRule type="expression" dxfId="7008" priority="5494">
      <formula>AND(#REF!="section",$A470="begin group")</formula>
    </cfRule>
    <cfRule type="expression" dxfId="7007" priority="5496">
      <formula xml:space="preserve"> $A470 = "begin group"</formula>
    </cfRule>
  </conditionalFormatting>
  <conditionalFormatting sqref="E471">
    <cfRule type="expression" dxfId="7006" priority="5463">
      <formula>AND(#REF!="section",$A471="begin group")</formula>
    </cfRule>
    <cfRule type="expression" dxfId="7005" priority="5464">
      <formula>AND(#REF! = "section",$A471 = "end group")</formula>
    </cfRule>
    <cfRule type="expression" dxfId="7004" priority="5465">
      <formula xml:space="preserve"> $A471 = "begin group"</formula>
    </cfRule>
    <cfRule type="expression" dxfId="7003" priority="5466">
      <formula xml:space="preserve"> AND(#REF!="gg",$A471 = "end group")</formula>
    </cfRule>
  </conditionalFormatting>
  <conditionalFormatting sqref="E472">
    <cfRule type="expression" dxfId="7002" priority="5249">
      <formula xml:space="preserve"> AND(#REF!="gg",$A472 = "end group")</formula>
    </cfRule>
    <cfRule type="expression" dxfId="7001" priority="5248">
      <formula xml:space="preserve"> $A472 = "begin group"</formula>
    </cfRule>
    <cfRule type="expression" dxfId="7000" priority="5247">
      <formula>AND(#REF! = "section",$A472 = "end group")</formula>
    </cfRule>
    <cfRule type="expression" dxfId="6999" priority="5246">
      <formula>AND(#REF!="section",$A472="begin group")</formula>
    </cfRule>
  </conditionalFormatting>
  <conditionalFormatting sqref="E473">
    <cfRule type="expression" dxfId="6998" priority="5154">
      <formula>AND(#REF! = "section",$A473 = "end group")</formula>
    </cfRule>
    <cfRule type="expression" dxfId="6997" priority="5153">
      <formula>AND(#REF!="section",$A473="begin group")</formula>
    </cfRule>
    <cfRule type="expression" dxfId="6996" priority="5156">
      <formula xml:space="preserve"> AND(#REF!="gg",$A473 = "end group")</formula>
    </cfRule>
    <cfRule type="expression" dxfId="6995" priority="5155">
      <formula xml:space="preserve"> $A473 = "begin group"</formula>
    </cfRule>
  </conditionalFormatting>
  <conditionalFormatting sqref="E474">
    <cfRule type="expression" dxfId="6994" priority="5218">
      <formula xml:space="preserve"> AND(#REF!="gg",$A474 = "end group")</formula>
    </cfRule>
    <cfRule type="expression" dxfId="6993" priority="5217">
      <formula xml:space="preserve"> $A474 = "begin group"</formula>
    </cfRule>
    <cfRule type="expression" dxfId="6992" priority="5215">
      <formula>AND(#REF!="section",$A474="begin group")</formula>
    </cfRule>
    <cfRule type="expression" dxfId="6991" priority="5216">
      <formula>AND(#REF! = "section",$A474 = "end group")</formula>
    </cfRule>
  </conditionalFormatting>
  <conditionalFormatting sqref="E475">
    <cfRule type="expression" dxfId="6990" priority="5432">
      <formula>AND(#REF!="section",$A475="begin group")</formula>
    </cfRule>
    <cfRule type="expression" dxfId="6989" priority="5433">
      <formula>AND(#REF! = "section",$A475 = "end group")</formula>
    </cfRule>
    <cfRule type="expression" dxfId="6988" priority="5435">
      <formula xml:space="preserve"> AND(#REF!="gg",$A475 = "end group")</formula>
    </cfRule>
    <cfRule type="expression" dxfId="6987" priority="5434">
      <formula xml:space="preserve"> $A475 = "begin group"</formula>
    </cfRule>
  </conditionalFormatting>
  <conditionalFormatting sqref="E476">
    <cfRule type="expression" dxfId="6986" priority="5404">
      <formula xml:space="preserve"> AND(#REF!="gg",$A476 = "end group")</formula>
    </cfRule>
    <cfRule type="expression" dxfId="6985" priority="5403">
      <formula xml:space="preserve"> $A476 = "begin group"</formula>
    </cfRule>
    <cfRule type="expression" dxfId="6984" priority="5402">
      <formula>AND(#REF! = "section",$A476 = "end group")</formula>
    </cfRule>
    <cfRule type="expression" dxfId="6983" priority="5401">
      <formula>AND(#REF!="section",$A476="begin group")</formula>
    </cfRule>
  </conditionalFormatting>
  <conditionalFormatting sqref="E477">
    <cfRule type="expression" dxfId="6982" priority="5186">
      <formula xml:space="preserve"> $A477 = "begin group"</formula>
    </cfRule>
    <cfRule type="expression" dxfId="6981" priority="5185">
      <formula>AND(#REF! = "section",$A477 = "end group")</formula>
    </cfRule>
    <cfRule type="expression" dxfId="6980" priority="5184">
      <formula>AND(#REF!="section",$A477="begin group")</formula>
    </cfRule>
    <cfRule type="expression" dxfId="6979" priority="5187">
      <formula xml:space="preserve"> AND(#REF!="gg",$A477 = "end group")</formula>
    </cfRule>
  </conditionalFormatting>
  <conditionalFormatting sqref="E478">
    <cfRule type="expression" dxfId="6978" priority="5018">
      <formula>AND(#REF!="section",$A478="begin group")</formula>
    </cfRule>
    <cfRule type="expression" dxfId="6977" priority="5019">
      <formula>AND(#REF! = "section",$A478 = "end group")</formula>
    </cfRule>
    <cfRule type="expression" dxfId="6976" priority="5020">
      <formula xml:space="preserve"> $A478 = "begin group"</formula>
    </cfRule>
    <cfRule type="expression" dxfId="6975" priority="5021">
      <formula xml:space="preserve"> AND(#REF!="gg",$A478 = "end group")</formula>
    </cfRule>
  </conditionalFormatting>
  <conditionalFormatting sqref="E479">
    <cfRule type="expression" dxfId="6974" priority="5370">
      <formula>AND(#REF!="section",$A479="begin group")</formula>
    </cfRule>
    <cfRule type="expression" dxfId="6973" priority="5373">
      <formula xml:space="preserve"> AND(#REF!="gg",$A479 = "end group")</formula>
    </cfRule>
    <cfRule type="expression" dxfId="6972" priority="5371">
      <formula>AND(#REF! = "section",$A479 = "end group")</formula>
    </cfRule>
    <cfRule type="expression" dxfId="6971" priority="5372">
      <formula xml:space="preserve"> $A479 = "begin group"</formula>
    </cfRule>
  </conditionalFormatting>
  <conditionalFormatting sqref="E480">
    <cfRule type="expression" dxfId="6970" priority="5339">
      <formula>AND(#REF!="section",$A480="begin group")</formula>
    </cfRule>
    <cfRule type="expression" dxfId="6969" priority="5340">
      <formula>AND(#REF! = "section",$A480 = "end group")</formula>
    </cfRule>
    <cfRule type="expression" dxfId="6968" priority="5341">
      <formula xml:space="preserve"> $A480 = "begin group"</formula>
    </cfRule>
    <cfRule type="expression" dxfId="6967" priority="5342">
      <formula xml:space="preserve"> AND(#REF!="gg",$A480 = "end group")</formula>
    </cfRule>
  </conditionalFormatting>
  <conditionalFormatting sqref="E481">
    <cfRule type="expression" dxfId="6966" priority="3622">
      <formula>AND(#REF!="section",$A481="begin group")</formula>
    </cfRule>
    <cfRule type="expression" dxfId="6965" priority="3623">
      <formula>AND(#REF! = "section",$A481 = "end group")</formula>
    </cfRule>
    <cfRule type="expression" dxfId="6964" priority="3625">
      <formula xml:space="preserve"> AND(#REF!="gg",$A481 = "end group")</formula>
    </cfRule>
    <cfRule type="expression" dxfId="6963" priority="3624">
      <formula xml:space="preserve"> $A481 = "begin group"</formula>
    </cfRule>
  </conditionalFormatting>
  <conditionalFormatting sqref="E482">
    <cfRule type="expression" dxfId="6962" priority="3481">
      <formula>AND(#REF! = "section",$A482 = "end group")</formula>
    </cfRule>
    <cfRule type="expression" dxfId="6961" priority="3480">
      <formula>AND(#REF!="section",$A482="begin group")</formula>
    </cfRule>
    <cfRule type="expression" dxfId="6960" priority="3482">
      <formula xml:space="preserve"> $A482 = "begin group"</formula>
    </cfRule>
    <cfRule type="expression" dxfId="6959" priority="3483">
      <formula xml:space="preserve"> AND(#REF!="gg",$A482 = "end group")</formula>
    </cfRule>
  </conditionalFormatting>
  <conditionalFormatting sqref="E483">
    <cfRule type="expression" dxfId="6958" priority="3452">
      <formula xml:space="preserve"> AND(#REF!="gg",$A483 = "end group")</formula>
    </cfRule>
    <cfRule type="expression" dxfId="6957" priority="3450">
      <formula>AND(#REF! = "section",$A483 = "end group")</formula>
    </cfRule>
    <cfRule type="expression" dxfId="6956" priority="3449">
      <formula>AND(#REF!="section",$A483="begin group")</formula>
    </cfRule>
    <cfRule type="expression" dxfId="6955" priority="3451">
      <formula xml:space="preserve"> $A483 = "begin group"</formula>
    </cfRule>
  </conditionalFormatting>
  <conditionalFormatting sqref="E484">
    <cfRule type="expression" dxfId="6954" priority="3542">
      <formula>AND(#REF!="section",$A484="begin group")</formula>
    </cfRule>
    <cfRule type="expression" dxfId="6953" priority="3543">
      <formula>AND(#REF! = "section",$A484 = "end group")</formula>
    </cfRule>
    <cfRule type="expression" dxfId="6952" priority="3544">
      <formula xml:space="preserve"> $A484 = "begin group"</formula>
    </cfRule>
    <cfRule type="expression" dxfId="6951" priority="3545">
      <formula xml:space="preserve"> AND(#REF!="gg",$A484 = "end group")</formula>
    </cfRule>
  </conditionalFormatting>
  <conditionalFormatting sqref="E485">
    <cfRule type="expression" dxfId="6950" priority="3513">
      <formula xml:space="preserve"> $A485 = "begin group"</formula>
    </cfRule>
    <cfRule type="expression" dxfId="6949" priority="3514">
      <formula xml:space="preserve"> AND(#REF!="gg",$A485 = "end group")</formula>
    </cfRule>
    <cfRule type="expression" dxfId="6948" priority="3511">
      <formula>AND(#REF!="section",$A485="begin group")</formula>
    </cfRule>
    <cfRule type="expression" dxfId="6947" priority="3512">
      <formula>AND(#REF! = "section",$A485 = "end group")</formula>
    </cfRule>
  </conditionalFormatting>
  <conditionalFormatting sqref="E491:E521">
    <cfRule type="expression" dxfId="6946" priority="6413">
      <formula>AND(#REF!="section",$A491="begin group")</formula>
    </cfRule>
    <cfRule type="expression" dxfId="6945" priority="6416">
      <formula xml:space="preserve"> AND(#REF!="gg",$A491 = "end group")</formula>
    </cfRule>
    <cfRule type="expression" dxfId="6944" priority="6415">
      <formula xml:space="preserve"> $A491 = "begin group"</formula>
    </cfRule>
    <cfRule type="expression" dxfId="6943" priority="6414">
      <formula>AND(#REF! = "section",$A491 = "end group")</formula>
    </cfRule>
  </conditionalFormatting>
  <conditionalFormatting sqref="E512 G512">
    <cfRule type="expression" dxfId="6942" priority="4179">
      <formula xml:space="preserve"> $A557 = "end repeat"</formula>
    </cfRule>
    <cfRule type="expression" dxfId="6941" priority="4178">
      <formula>$A512 = "begin repeat"</formula>
    </cfRule>
    <cfRule type="expression" dxfId="6940" priority="4177">
      <formula>AND($U$1="disabled",$U519="yes")</formula>
    </cfRule>
  </conditionalFormatting>
  <conditionalFormatting sqref="E522 G522">
    <cfRule type="expression" dxfId="6939" priority="4273">
      <formula>AND($U$1="disabled",$U564="yes")</formula>
    </cfRule>
    <cfRule type="expression" dxfId="6938" priority="4275">
      <formula xml:space="preserve"> $A565 = "end repeat"</formula>
    </cfRule>
    <cfRule type="expression" dxfId="6937" priority="4274">
      <formula>$A522 = "begin repeat"</formula>
    </cfRule>
  </conditionalFormatting>
  <conditionalFormatting sqref="E522">
    <cfRule type="expression" dxfId="6936" priority="6001">
      <formula xml:space="preserve"> $A522 = "begin group"</formula>
    </cfRule>
    <cfRule type="expression" dxfId="6935" priority="6000">
      <formula>AND(#REF! = "section",$A522 = "end group")</formula>
    </cfRule>
    <cfRule type="expression" dxfId="6934" priority="5999">
      <formula>AND(#REF!="section",$A522="begin group")</formula>
    </cfRule>
    <cfRule type="expression" dxfId="6933" priority="6002">
      <formula xml:space="preserve"> AND(#REF!="gg",$A522 = "end group")</formula>
    </cfRule>
  </conditionalFormatting>
  <conditionalFormatting sqref="E523">
    <cfRule type="expression" dxfId="6932" priority="4645">
      <formula>AND(#REF! = "section",$A523 = "end group")</formula>
    </cfRule>
    <cfRule type="expression" dxfId="6931" priority="4646">
      <formula xml:space="preserve"> $A523 = "begin group"</formula>
    </cfRule>
    <cfRule type="expression" dxfId="6930" priority="4644">
      <formula>AND(#REF!="section",$A523="begin group")</formula>
    </cfRule>
    <cfRule type="expression" dxfId="6929" priority="4647">
      <formula xml:space="preserve"> AND(#REF!="gg",$A523 = "end group")</formula>
    </cfRule>
  </conditionalFormatting>
  <conditionalFormatting sqref="E523:E556 G541:G556">
    <cfRule type="expression" dxfId="6928" priority="6378">
      <formula>AND($U$1="disabled",#REF!="yes")</formula>
    </cfRule>
  </conditionalFormatting>
  <conditionalFormatting sqref="E524">
    <cfRule type="expression" dxfId="6927" priority="5006">
      <formula>AND(#REF!="section",$A524="begin group")</formula>
    </cfRule>
    <cfRule type="expression" dxfId="6926" priority="5009">
      <formula xml:space="preserve"> AND(#REF!="gg",$A524 = "end group")</formula>
    </cfRule>
    <cfRule type="expression" dxfId="6925" priority="5008">
      <formula xml:space="preserve"> $A524 = "begin group"</formula>
    </cfRule>
    <cfRule type="expression" dxfId="6924" priority="5007">
      <formula>AND(#REF! = "section",$A524 = "end group")</formula>
    </cfRule>
  </conditionalFormatting>
  <conditionalFormatting sqref="E525">
    <cfRule type="expression" dxfId="6923" priority="4728">
      <formula xml:space="preserve"> $A525 = "begin group"</formula>
    </cfRule>
    <cfRule type="expression" dxfId="6922" priority="4727">
      <formula>AND(#REF! = "section",$A525 = "end group")</formula>
    </cfRule>
    <cfRule type="expression" dxfId="6921" priority="4726">
      <formula>AND(#REF!="section",$A525="begin group")</formula>
    </cfRule>
    <cfRule type="expression" dxfId="6920" priority="4729">
      <formula xml:space="preserve"> AND(#REF!="gg",$A525 = "end group")</formula>
    </cfRule>
  </conditionalFormatting>
  <conditionalFormatting sqref="E526">
    <cfRule type="expression" dxfId="6919" priority="4662">
      <formula>AND(#REF! = "section",$A526 = "end group")</formula>
    </cfRule>
    <cfRule type="expression" dxfId="6918" priority="4663">
      <formula xml:space="preserve"> $A526 = "begin group"</formula>
    </cfRule>
    <cfRule type="expression" dxfId="6917" priority="4661">
      <formula>AND(#REF!="section",$A526="begin group")</formula>
    </cfRule>
    <cfRule type="expression" dxfId="6916" priority="4664">
      <formula xml:space="preserve"> AND(#REF!="gg",$A526 = "end group")</formula>
    </cfRule>
  </conditionalFormatting>
  <conditionalFormatting sqref="E527">
    <cfRule type="expression" dxfId="6915" priority="4609">
      <formula>AND(#REF! = "section",$A527 = "end group")</formula>
    </cfRule>
    <cfRule type="expression" dxfId="6914" priority="4610">
      <formula xml:space="preserve"> $A527 = "begin group"</formula>
    </cfRule>
    <cfRule type="expression" dxfId="6913" priority="4611">
      <formula xml:space="preserve"> AND(#REF!="gg",$A527 = "end group")</formula>
    </cfRule>
    <cfRule type="expression" dxfId="6912" priority="4608">
      <formula>AND(#REF!="section",$A527="begin group")</formula>
    </cfRule>
  </conditionalFormatting>
  <conditionalFormatting sqref="E529">
    <cfRule type="expression" dxfId="6911" priority="4972">
      <formula xml:space="preserve"> $A529 = "begin group"</formula>
    </cfRule>
    <cfRule type="expression" dxfId="6910" priority="4971">
      <formula>AND(#REF! = "section",$A529 = "end group")</formula>
    </cfRule>
    <cfRule type="expression" dxfId="6909" priority="4970">
      <formula>AND(#REF!="section",$A529="begin group")</formula>
    </cfRule>
    <cfRule type="expression" dxfId="6908" priority="4973">
      <formula xml:space="preserve"> AND(#REF!="gg",$A529 = "end group")</formula>
    </cfRule>
  </conditionalFormatting>
  <conditionalFormatting sqref="E530">
    <cfRule type="expression" dxfId="6907" priority="4944">
      <formula xml:space="preserve"> AND(#REF!="gg",$A530 = "end group")</formula>
    </cfRule>
    <cfRule type="expression" dxfId="6906" priority="4943">
      <formula xml:space="preserve"> $A530 = "begin group"</formula>
    </cfRule>
    <cfRule type="expression" dxfId="6905" priority="4942">
      <formula>AND(#REF! = "section",$A530 = "end group")</formula>
    </cfRule>
    <cfRule type="expression" dxfId="6904" priority="4941">
      <formula>AND(#REF!="section",$A530="begin group")</formula>
    </cfRule>
  </conditionalFormatting>
  <conditionalFormatting sqref="E531">
    <cfRule type="expression" dxfId="6903" priority="3807">
      <formula>AND(#REF! = "section",$A531 = "end group")</formula>
    </cfRule>
    <cfRule type="expression" dxfId="6902" priority="3806">
      <formula>AND(#REF!="section",$A531="begin group")</formula>
    </cfRule>
    <cfRule type="expression" dxfId="6901" priority="3809">
      <formula xml:space="preserve"> AND(#REF!="gg",$A531 = "end group")</formula>
    </cfRule>
    <cfRule type="expression" dxfId="6900" priority="3808">
      <formula xml:space="preserve"> $A531 = "begin group"</formula>
    </cfRule>
  </conditionalFormatting>
  <conditionalFormatting sqref="E532">
    <cfRule type="expression" dxfId="6899" priority="4581">
      <formula xml:space="preserve"> $A532 = "begin group"</formula>
    </cfRule>
    <cfRule type="expression" dxfId="6898" priority="4579">
      <formula>AND(#REF!="section",$A532="begin group")</formula>
    </cfRule>
    <cfRule type="expression" dxfId="6897" priority="4580">
      <formula>AND(#REF! = "section",$A532 = "end group")</formula>
    </cfRule>
    <cfRule type="expression" dxfId="6896" priority="4582">
      <formula xml:space="preserve"> AND(#REF!="gg",$A532 = "end group")</formula>
    </cfRule>
  </conditionalFormatting>
  <conditionalFormatting sqref="E533">
    <cfRule type="expression" dxfId="6895" priority="3744">
      <formula>AND(#REF!="section",$A533="begin group")</formula>
    </cfRule>
    <cfRule type="expression" dxfId="6894" priority="3745">
      <formula>AND(#REF! = "section",$A533 = "end group")</formula>
    </cfRule>
    <cfRule type="expression" dxfId="6893" priority="3746">
      <formula xml:space="preserve"> $A533 = "begin group"</formula>
    </cfRule>
    <cfRule type="expression" dxfId="6892" priority="3747">
      <formula xml:space="preserve"> AND(#REF!="gg",$A533 = "end group")</formula>
    </cfRule>
  </conditionalFormatting>
  <conditionalFormatting sqref="E534">
    <cfRule type="expression" dxfId="6891" priority="4796">
      <formula>AND(#REF!="section",$A534="begin group")</formula>
    </cfRule>
    <cfRule type="expression" dxfId="6890" priority="4797">
      <formula>AND(#REF! = "section",$A534 = "end group")</formula>
    </cfRule>
    <cfRule type="expression" dxfId="6889" priority="4798">
      <formula xml:space="preserve"> $A534 = "begin group"</formula>
    </cfRule>
    <cfRule type="expression" dxfId="6888" priority="4799">
      <formula xml:space="preserve"> AND(#REF!="gg",$A534 = "end group")</formula>
    </cfRule>
  </conditionalFormatting>
  <conditionalFormatting sqref="E535">
    <cfRule type="expression" dxfId="6887" priority="4738">
      <formula>AND(#REF!="section",$A535="begin group")</formula>
    </cfRule>
    <cfRule type="expression" dxfId="6886" priority="4739">
      <formula>AND(#REF! = "section",$A535 = "end group")</formula>
    </cfRule>
    <cfRule type="expression" dxfId="6885" priority="4740">
      <formula xml:space="preserve"> $A535 = "begin group"</formula>
    </cfRule>
    <cfRule type="expression" dxfId="6884" priority="4741">
      <formula xml:space="preserve"> AND(#REF!="gg",$A535 = "end group")</formula>
    </cfRule>
  </conditionalFormatting>
  <conditionalFormatting sqref="E536">
    <cfRule type="expression" dxfId="6883" priority="4915">
      <formula xml:space="preserve"> AND(#REF!="gg",$A536 = "end group")</formula>
    </cfRule>
    <cfRule type="expression" dxfId="6882" priority="4914">
      <formula xml:space="preserve"> $A536 = "begin group"</formula>
    </cfRule>
    <cfRule type="expression" dxfId="6881" priority="4913">
      <formula>AND(#REF! = "section",$A536 = "end group")</formula>
    </cfRule>
    <cfRule type="expression" dxfId="6880" priority="4912">
      <formula>AND(#REF!="section",$A536="begin group")</formula>
    </cfRule>
  </conditionalFormatting>
  <conditionalFormatting sqref="E537">
    <cfRule type="expression" dxfId="6879" priority="4551">
      <formula>AND(#REF! = "section",$A537 = "end group")</formula>
    </cfRule>
    <cfRule type="expression" dxfId="6878" priority="4552">
      <formula xml:space="preserve"> $A537 = "begin group"</formula>
    </cfRule>
    <cfRule type="expression" dxfId="6877" priority="4553">
      <formula xml:space="preserve"> AND(#REF!="gg",$A537 = "end group")</formula>
    </cfRule>
    <cfRule type="expression" dxfId="6876" priority="4550">
      <formula>AND(#REF!="section",$A537="begin group")</formula>
    </cfRule>
  </conditionalFormatting>
  <conditionalFormatting sqref="E538">
    <cfRule type="expression" dxfId="6875" priority="4521">
      <formula>AND(#REF!="section",$A538="begin group")</formula>
    </cfRule>
    <cfRule type="expression" dxfId="6874" priority="4524">
      <formula xml:space="preserve"> AND(#REF!="gg",$A538 = "end group")</formula>
    </cfRule>
    <cfRule type="expression" dxfId="6873" priority="4523">
      <formula xml:space="preserve"> $A538 = "begin group"</formula>
    </cfRule>
    <cfRule type="expression" dxfId="6872" priority="4522">
      <formula>AND(#REF! = "section",$A538 = "end group")</formula>
    </cfRule>
  </conditionalFormatting>
  <conditionalFormatting sqref="E539">
    <cfRule type="expression" dxfId="6871" priority="4495">
      <formula xml:space="preserve"> AND(#REF!="gg",$A539 = "end group")</formula>
    </cfRule>
    <cfRule type="expression" dxfId="6870" priority="4494">
      <formula xml:space="preserve"> $A539 = "begin group"</formula>
    </cfRule>
    <cfRule type="expression" dxfId="6869" priority="4493">
      <formula>AND(#REF! = "section",$A539 = "end group")</formula>
    </cfRule>
    <cfRule type="expression" dxfId="6868" priority="4492">
      <formula>AND(#REF!="section",$A539="begin group")</formula>
    </cfRule>
  </conditionalFormatting>
  <conditionalFormatting sqref="E540">
    <cfRule type="expression" dxfId="6867" priority="4886">
      <formula xml:space="preserve"> AND(#REF!="gg",$A540 = "end group")</formula>
    </cfRule>
    <cfRule type="expression" dxfId="6866" priority="4883">
      <formula>AND(#REF!="section",$A540="begin group")</formula>
    </cfRule>
    <cfRule type="expression" dxfId="6865" priority="4884">
      <formula>AND(#REF! = "section",$A540 = "end group")</formula>
    </cfRule>
    <cfRule type="expression" dxfId="6864" priority="4885">
      <formula xml:space="preserve"> $A540 = "begin group"</formula>
    </cfRule>
  </conditionalFormatting>
  <conditionalFormatting sqref="E541 G541">
    <cfRule type="expression" dxfId="6863" priority="6379">
      <formula>$A541 = "begin repeat"</formula>
    </cfRule>
    <cfRule type="expression" dxfId="6862" priority="6380">
      <formula xml:space="preserve"> $A557 = "end repeat"</formula>
    </cfRule>
  </conditionalFormatting>
  <conditionalFormatting sqref="E541">
    <cfRule type="expression" dxfId="6861" priority="4857">
      <formula xml:space="preserve"> AND(#REF!="gg",$A541 = "end group")</formula>
    </cfRule>
    <cfRule type="expression" dxfId="6860" priority="4856">
      <formula xml:space="preserve"> $A541 = "begin group"</formula>
    </cfRule>
    <cfRule type="expression" dxfId="6859" priority="4855">
      <formula>AND(#REF! = "section",$A541 = "end group")</formula>
    </cfRule>
    <cfRule type="expression" dxfId="6858" priority="4854">
      <formula>AND(#REF!="section",$A541="begin group")</formula>
    </cfRule>
  </conditionalFormatting>
  <conditionalFormatting sqref="E542">
    <cfRule type="expression" dxfId="6857" priority="4379">
      <formula xml:space="preserve"> AND(#REF!="gg",$A542 = "end group")</formula>
    </cfRule>
    <cfRule type="expression" dxfId="6856" priority="4377">
      <formula>AND(#REF! = "section",$A542 = "end group")</formula>
    </cfRule>
    <cfRule type="expression" dxfId="6855" priority="4378">
      <formula xml:space="preserve"> $A542 = "begin group"</formula>
    </cfRule>
    <cfRule type="expression" dxfId="6854" priority="4376">
      <formula>AND(#REF!="section",$A542="begin group")</formula>
    </cfRule>
  </conditionalFormatting>
  <conditionalFormatting sqref="E543">
    <cfRule type="expression" dxfId="6853" priority="4769">
      <formula xml:space="preserve"> $A543 = "begin group"</formula>
    </cfRule>
    <cfRule type="expression" dxfId="6852" priority="4770">
      <formula xml:space="preserve"> AND(#REF!="gg",$A543 = "end group")</formula>
    </cfRule>
    <cfRule type="expression" dxfId="6851" priority="4767">
      <formula>AND(#REF!="section",$A543="begin group")</formula>
    </cfRule>
    <cfRule type="expression" dxfId="6850" priority="4768">
      <formula>AND(#REF! = "section",$A543 = "end group")</formula>
    </cfRule>
  </conditionalFormatting>
  <conditionalFormatting sqref="E544">
    <cfRule type="expression" dxfId="6849" priority="4692">
      <formula xml:space="preserve"> $A544 = "begin group"</formula>
    </cfRule>
    <cfRule type="expression" dxfId="6848" priority="4690">
      <formula>AND(#REF!="section",$A544="begin group")</formula>
    </cfRule>
    <cfRule type="expression" dxfId="6847" priority="4691">
      <formula>AND(#REF! = "section",$A544 = "end group")</formula>
    </cfRule>
    <cfRule type="expression" dxfId="6846" priority="4693">
      <formula xml:space="preserve"> AND(#REF!="gg",$A544 = "end group")</formula>
    </cfRule>
  </conditionalFormatting>
  <conditionalFormatting sqref="E545">
    <cfRule type="expression" dxfId="6845" priority="4825">
      <formula>AND(#REF!="section",$A545="begin group")</formula>
    </cfRule>
    <cfRule type="expression" dxfId="6844" priority="4826">
      <formula>AND(#REF! = "section",$A545 = "end group")</formula>
    </cfRule>
    <cfRule type="expression" dxfId="6843" priority="4828">
      <formula xml:space="preserve"> AND(#REF!="gg",$A545 = "end group")</formula>
    </cfRule>
    <cfRule type="expression" dxfId="6842" priority="4827">
      <formula xml:space="preserve"> $A545 = "begin group"</formula>
    </cfRule>
  </conditionalFormatting>
  <conditionalFormatting sqref="E546">
    <cfRule type="expression" dxfId="6841" priority="4463">
      <formula>AND(#REF!="section",$A546="begin group")</formula>
    </cfRule>
    <cfRule type="expression" dxfId="6840" priority="4465">
      <formula xml:space="preserve"> $A546 = "begin group"</formula>
    </cfRule>
    <cfRule type="expression" dxfId="6839" priority="4464">
      <formula>AND(#REF! = "section",$A546 = "end group")</formula>
    </cfRule>
    <cfRule type="expression" dxfId="6838" priority="4466">
      <formula xml:space="preserve"> AND(#REF!="gg",$A546 = "end group")</formula>
    </cfRule>
  </conditionalFormatting>
  <conditionalFormatting sqref="E547">
    <cfRule type="expression" dxfId="6837" priority="4434">
      <formula>AND(#REF!="section",$A547="begin group")</formula>
    </cfRule>
    <cfRule type="expression" dxfId="6836" priority="4435">
      <formula>AND(#REF! = "section",$A547 = "end group")</formula>
    </cfRule>
    <cfRule type="expression" dxfId="6835" priority="4436">
      <formula xml:space="preserve"> $A547 = "begin group"</formula>
    </cfRule>
    <cfRule type="expression" dxfId="6834" priority="4437">
      <formula xml:space="preserve"> AND(#REF!="gg",$A547 = "end group")</formula>
    </cfRule>
  </conditionalFormatting>
  <conditionalFormatting sqref="E548">
    <cfRule type="expression" dxfId="6833" priority="4408">
      <formula xml:space="preserve"> AND(#REF!="gg",$A548 = "end group")</formula>
    </cfRule>
    <cfRule type="expression" dxfId="6832" priority="4407">
      <formula xml:space="preserve"> $A548 = "begin group"</formula>
    </cfRule>
    <cfRule type="expression" dxfId="6831" priority="4406">
      <formula>AND(#REF! = "section",$A548 = "end group")</formula>
    </cfRule>
    <cfRule type="expression" dxfId="6830" priority="4405">
      <formula>AND(#REF!="section",$A548="begin group")</formula>
    </cfRule>
  </conditionalFormatting>
  <conditionalFormatting sqref="E549">
    <cfRule type="expression" dxfId="6829" priority="4137">
      <formula xml:space="preserve"> AND(#REF!="gg",$A549 = "end group")</formula>
    </cfRule>
    <cfRule type="expression" dxfId="6828" priority="4135">
      <formula>AND(#REF! = "section",$A549 = "end group")</formula>
    </cfRule>
    <cfRule type="expression" dxfId="6827" priority="4136">
      <formula xml:space="preserve"> $A549 = "begin group"</formula>
    </cfRule>
    <cfRule type="expression" dxfId="6826" priority="4134">
      <formula>AND(#REF!="section",$A549="begin group")</formula>
    </cfRule>
  </conditionalFormatting>
  <conditionalFormatting sqref="E550">
    <cfRule type="expression" dxfId="6825" priority="4078">
      <formula xml:space="preserve"> AND(#REF!="gg",$A550 = "end group")</formula>
    </cfRule>
    <cfRule type="expression" dxfId="6824" priority="4077">
      <formula xml:space="preserve"> $A550 = "begin group"</formula>
    </cfRule>
    <cfRule type="expression" dxfId="6823" priority="4076">
      <formula>AND(#REF! = "section",$A550 = "end group")</formula>
    </cfRule>
    <cfRule type="expression" dxfId="6822" priority="4075">
      <formula>AND(#REF!="section",$A550="begin group")</formula>
    </cfRule>
  </conditionalFormatting>
  <conditionalFormatting sqref="E551">
    <cfRule type="expression" dxfId="6821" priority="3967">
      <formula>AND(#REF! = "section",$A551 = "end group")</formula>
    </cfRule>
    <cfRule type="expression" dxfId="6820" priority="3966">
      <formula>AND(#REF!="section",$A551="begin group")</formula>
    </cfRule>
    <cfRule type="expression" dxfId="6819" priority="3968">
      <formula xml:space="preserve"> $A551 = "begin group"</formula>
    </cfRule>
    <cfRule type="expression" dxfId="6818" priority="3969">
      <formula xml:space="preserve"> AND(#REF!="gg",$A551 = "end group")</formula>
    </cfRule>
  </conditionalFormatting>
  <conditionalFormatting sqref="E552">
    <cfRule type="expression" dxfId="6817" priority="3939">
      <formula xml:space="preserve"> $A552 = "begin group"</formula>
    </cfRule>
    <cfRule type="expression" dxfId="6816" priority="3937">
      <formula>AND(#REF!="section",$A552="begin group")</formula>
    </cfRule>
    <cfRule type="expression" dxfId="6815" priority="3938">
      <formula>AND(#REF! = "section",$A552 = "end group")</formula>
    </cfRule>
    <cfRule type="expression" dxfId="6814" priority="3940">
      <formula xml:space="preserve"> AND(#REF!="gg",$A552 = "end group")</formula>
    </cfRule>
  </conditionalFormatting>
  <conditionalFormatting sqref="E553">
    <cfRule type="expression" dxfId="6813" priority="3996">
      <formula>AND(#REF! = "section",$A553 = "end group")</formula>
    </cfRule>
    <cfRule type="expression" dxfId="6812" priority="3997">
      <formula xml:space="preserve"> $A553 = "begin group"</formula>
    </cfRule>
    <cfRule type="expression" dxfId="6811" priority="3998">
      <formula xml:space="preserve"> AND(#REF!="gg",$A553 = "end group")</formula>
    </cfRule>
    <cfRule type="expression" dxfId="6810" priority="3995">
      <formula>AND(#REF!="section",$A553="begin group")</formula>
    </cfRule>
  </conditionalFormatting>
  <conditionalFormatting sqref="E554">
    <cfRule type="expression" dxfId="6809" priority="3911">
      <formula xml:space="preserve"> AND(#REF!="gg",$A554 = "end group")</formula>
    </cfRule>
    <cfRule type="expression" dxfId="6808" priority="3910">
      <formula xml:space="preserve"> $A554 = "begin group"</formula>
    </cfRule>
    <cfRule type="expression" dxfId="6807" priority="3908">
      <formula>AND(#REF!="section",$A554="begin group")</formula>
    </cfRule>
    <cfRule type="expression" dxfId="6806" priority="3909">
      <formula>AND(#REF! = "section",$A554 = "end group")</formula>
    </cfRule>
  </conditionalFormatting>
  <conditionalFormatting sqref="E555">
    <cfRule type="expression" dxfId="6805" priority="3880">
      <formula>AND(#REF! = "section",$A555 = "end group")</formula>
    </cfRule>
    <cfRule type="expression" dxfId="6804" priority="3879">
      <formula>AND(#REF!="section",$A555="begin group")</formula>
    </cfRule>
    <cfRule type="expression" dxfId="6803" priority="3881">
      <formula xml:space="preserve"> $A555 = "begin group"</formula>
    </cfRule>
    <cfRule type="expression" dxfId="6802" priority="3882">
      <formula xml:space="preserve"> AND(#REF!="gg",$A555 = "end group")</formula>
    </cfRule>
  </conditionalFormatting>
  <conditionalFormatting sqref="E556">
    <cfRule type="expression" dxfId="6801" priority="3853">
      <formula xml:space="preserve"> AND(#REF!="gg",$A556 = "end group")</formula>
    </cfRule>
    <cfRule type="expression" dxfId="6800" priority="3852">
      <formula xml:space="preserve"> $A556 = "begin group"</formula>
    </cfRule>
    <cfRule type="expression" dxfId="6799" priority="3851">
      <formula>AND(#REF! = "section",$A556 = "end group")</formula>
    </cfRule>
    <cfRule type="expression" dxfId="6798" priority="3850">
      <formula>AND(#REF!="section",$A556="begin group")</formula>
    </cfRule>
  </conditionalFormatting>
  <conditionalFormatting sqref="E559:E560">
    <cfRule type="expression" dxfId="6797" priority="1328">
      <formula>$A559 = "begin repeat"</formula>
    </cfRule>
    <cfRule type="expression" dxfId="6796" priority="1324">
      <formula>AND($U$1="disabled",$U559="yes")</formula>
    </cfRule>
    <cfRule type="expression" dxfId="6795" priority="1326">
      <formula xml:space="preserve"> $A516 = "end repeat"</formula>
    </cfRule>
    <cfRule type="expression" dxfId="6794" priority="1327">
      <formula>AND($U$1="disabled",$U559="yes")</formula>
    </cfRule>
    <cfRule type="expression" dxfId="6793" priority="1325">
      <formula>$A559 = "begin repeat"</formula>
    </cfRule>
    <cfRule type="expression" dxfId="6792" priority="1329">
      <formula xml:space="preserve"> $A517 = "end repeat"</formula>
    </cfRule>
  </conditionalFormatting>
  <conditionalFormatting sqref="E562:E603 E608:E638 E694:E698 E723:E735 E738">
    <cfRule type="expression" dxfId="6791" priority="2813">
      <formula>AND(#REF!="section",$A562="begin group")</formula>
    </cfRule>
    <cfRule type="expression" dxfId="6790" priority="2814">
      <formula>AND(#REF! = "section",$A562 = "end group")</formula>
    </cfRule>
    <cfRule type="expression" dxfId="6789" priority="2815">
      <formula xml:space="preserve"> $A562 = "begin group"</formula>
    </cfRule>
    <cfRule type="expression" dxfId="6788" priority="2816">
      <formula xml:space="preserve"> AND(#REF!="gg",$A562 = "end group")</formula>
    </cfRule>
  </conditionalFormatting>
  <conditionalFormatting sqref="E580 G580">
    <cfRule type="expression" dxfId="6787" priority="1871">
      <formula>AND($U$1="disabled",$U645="yes")</formula>
    </cfRule>
    <cfRule type="expression" dxfId="6786" priority="1872">
      <formula>$A580 = "begin repeat"</formula>
    </cfRule>
    <cfRule type="expression" dxfId="6785" priority="1873">
      <formula xml:space="preserve"> $A646 = "end repeat"</formula>
    </cfRule>
  </conditionalFormatting>
  <conditionalFormatting sqref="E590 G590">
    <cfRule type="expression" dxfId="6784" priority="2058">
      <formula>AND($U$1="disabled",#REF!="yes")</formula>
    </cfRule>
  </conditionalFormatting>
  <conditionalFormatting sqref="E592 G592">
    <cfRule type="expression" dxfId="6783" priority="1850">
      <formula>AND($U$1="disabled",$U580="yes")</formula>
    </cfRule>
    <cfRule type="expression" dxfId="6782" priority="1852">
      <formula xml:space="preserve"> $A639 = "end repeat"</formula>
    </cfRule>
    <cfRule type="expression" dxfId="6781" priority="1851">
      <formula>$A592 = "begin repeat"</formula>
    </cfRule>
  </conditionalFormatting>
  <conditionalFormatting sqref="E597 G597 G599:G603 E599:E603">
    <cfRule type="expression" dxfId="6780" priority="1912">
      <formula>$A597 = "begin repeat"</formula>
    </cfRule>
    <cfRule type="expression" dxfId="6779" priority="1911">
      <formula>AND($U$1="disabled",$U644="yes")</formula>
    </cfRule>
    <cfRule type="expression" dxfId="6778" priority="1913">
      <formula xml:space="preserve"> $A645 = "end repeat"</formula>
    </cfRule>
  </conditionalFormatting>
  <conditionalFormatting sqref="E604:E605">
    <cfRule type="expression" dxfId="6777" priority="2120">
      <formula>AND(#REF! = "section",$A604 = "end group")</formula>
    </cfRule>
    <cfRule type="expression" dxfId="6776" priority="2119">
      <formula>AND(#REF!="section",$A604="begin group")</formula>
    </cfRule>
    <cfRule type="expression" dxfId="6775" priority="2121">
      <formula xml:space="preserve"> $A604 = "begin group"</formula>
    </cfRule>
    <cfRule type="expression" dxfId="6774" priority="2122">
      <formula xml:space="preserve"> AND(#REF!="gg",$A604 = "end group")</formula>
    </cfRule>
  </conditionalFormatting>
  <conditionalFormatting sqref="E606:E607">
    <cfRule type="expression" dxfId="6773" priority="2231">
      <formula xml:space="preserve"> AND(#REF!="gg",$A606 = "end group")</formula>
    </cfRule>
    <cfRule type="expression" dxfId="6772" priority="2228">
      <formula>AND(#REF!="section",$A606="begin group")</formula>
    </cfRule>
    <cfRule type="expression" dxfId="6771" priority="2229">
      <formula>AND(#REF! = "section",$A606 = "end group")</formula>
    </cfRule>
    <cfRule type="expression" dxfId="6770" priority="2230">
      <formula xml:space="preserve"> $A606 = "begin group"</formula>
    </cfRule>
  </conditionalFormatting>
  <conditionalFormatting sqref="E620 G620">
    <cfRule type="expression" dxfId="6769" priority="2638">
      <formula>$A620 = "begin repeat"</formula>
    </cfRule>
    <cfRule type="expression" dxfId="6768" priority="2639">
      <formula xml:space="preserve"> #REF! = "end repeat"</formula>
    </cfRule>
    <cfRule type="expression" dxfId="6767" priority="2637">
      <formula>AND($U$1="disabled",$U640="yes")</formula>
    </cfRule>
  </conditionalFormatting>
  <conditionalFormatting sqref="E624 G624">
    <cfRule type="expression" dxfId="6766" priority="1720">
      <formula xml:space="preserve"> $A716 = "end repeat"</formula>
    </cfRule>
    <cfRule type="expression" dxfId="6765" priority="1719">
      <formula>$A624 = "begin repeat"</formula>
    </cfRule>
    <cfRule type="expression" dxfId="6764" priority="1718">
      <formula>AND($U$1="disabled",$U715="yes")</formula>
    </cfRule>
  </conditionalFormatting>
  <conditionalFormatting sqref="E626 G626">
    <cfRule type="expression" dxfId="6763" priority="1881">
      <formula>AND($U$1="disabled",$U632="yes")</formula>
    </cfRule>
    <cfRule type="expression" dxfId="6762" priority="1882">
      <formula>$A626 = "begin repeat"</formula>
    </cfRule>
    <cfRule type="expression" dxfId="6761" priority="1883">
      <formula xml:space="preserve"> $A638 = "end repeat"</formula>
    </cfRule>
  </conditionalFormatting>
  <conditionalFormatting sqref="E634 G634">
    <cfRule type="expression" dxfId="6760" priority="1942">
      <formula>$A634 = "begin repeat"</formula>
    </cfRule>
    <cfRule type="expression" dxfId="6759" priority="1943">
      <formula xml:space="preserve"> $A624 = "end repeat"</formula>
    </cfRule>
    <cfRule type="expression" dxfId="6758" priority="1941">
      <formula>AND($U$1="disabled",$U623="yes")</formula>
    </cfRule>
  </conditionalFormatting>
  <conditionalFormatting sqref="E636 G636">
    <cfRule type="expression" dxfId="6757" priority="1893">
      <formula xml:space="preserve"> $A646 = "end repeat"</formula>
    </cfRule>
    <cfRule type="expression" dxfId="6756" priority="1892">
      <formula>$A636 = "begin repeat"</formula>
    </cfRule>
    <cfRule type="expression" dxfId="6755" priority="1891">
      <formula>AND($U$1="disabled",$U645="yes")</formula>
    </cfRule>
  </conditionalFormatting>
  <conditionalFormatting sqref="E641:E642">
    <cfRule type="expression" dxfId="6754" priority="2298">
      <formula xml:space="preserve"> $A596 = "end repeat"</formula>
    </cfRule>
    <cfRule type="expression" dxfId="6753" priority="2296">
      <formula>AND($U$1="disabled",$U641="yes")</formula>
    </cfRule>
    <cfRule type="expression" dxfId="6752" priority="2297">
      <formula>$A641 = "begin repeat"</formula>
    </cfRule>
    <cfRule type="expression" dxfId="6751" priority="2259">
      <formula xml:space="preserve"> AND($J641="gg",$A641 = "end group")</formula>
    </cfRule>
    <cfRule type="expression" dxfId="6750" priority="2258">
      <formula xml:space="preserve"> $A641 = "begin group"</formula>
    </cfRule>
  </conditionalFormatting>
  <conditionalFormatting sqref="E641:E643">
    <cfRule type="expression" dxfId="6749" priority="2256">
      <formula>AND($J641="section",$A641="begin group")</formula>
    </cfRule>
    <cfRule type="expression" dxfId="6748" priority="2257">
      <formula>AND($J641 = "section",$A641 = "end group")</formula>
    </cfRule>
  </conditionalFormatting>
  <conditionalFormatting sqref="E643">
    <cfRule type="expression" dxfId="6747" priority="2274">
      <formula xml:space="preserve"> $A643 = "begin group"</formula>
    </cfRule>
    <cfRule type="expression" dxfId="6746" priority="2275">
      <formula xml:space="preserve"> AND($J643="gg",$A643 = "end group")</formula>
    </cfRule>
  </conditionalFormatting>
  <conditionalFormatting sqref="E644:E679">
    <cfRule type="expression" dxfId="6745" priority="2221">
      <formula xml:space="preserve"> AND(#REF!="gg",$A644 = "end group")</formula>
    </cfRule>
    <cfRule type="expression" dxfId="6744" priority="2220">
      <formula xml:space="preserve"> $A644 = "begin group"</formula>
    </cfRule>
    <cfRule type="expression" dxfId="6743" priority="2219">
      <formula>AND(#REF! = "section",$A644 = "end group")</formula>
    </cfRule>
    <cfRule type="expression" dxfId="6742" priority="2218">
      <formula>AND(#REF!="section",$A644="begin group")</formula>
    </cfRule>
  </conditionalFormatting>
  <conditionalFormatting sqref="E672 G672">
    <cfRule type="expression" dxfId="6741" priority="1713">
      <formula xml:space="preserve"> $A704 = "end repeat"</formula>
    </cfRule>
    <cfRule type="expression" dxfId="6740" priority="1711">
      <formula>AND($U$1="disabled",$U679="yes")</formula>
    </cfRule>
    <cfRule type="expression" dxfId="6739" priority="1712">
      <formula>$A672 = "begin repeat"</formula>
    </cfRule>
  </conditionalFormatting>
  <conditionalFormatting sqref="E674 G674 G677 E677">
    <cfRule type="expression" dxfId="6738" priority="1709">
      <formula>$A674 = "begin repeat"</formula>
    </cfRule>
    <cfRule type="expression" dxfId="6737" priority="1710">
      <formula xml:space="preserve"> #REF! = "end repeat"</formula>
    </cfRule>
    <cfRule type="expression" dxfId="6736" priority="1708">
      <formula>AND($U$1="disabled",$U705="yes")</formula>
    </cfRule>
  </conditionalFormatting>
  <conditionalFormatting sqref="E680 E682:E693">
    <cfRule type="expression" dxfId="6735" priority="1800">
      <formula>AND(#REF!="section",$A680="begin group")</formula>
    </cfRule>
    <cfRule type="expression" dxfId="6734" priority="1801">
      <formula>AND(#REF! = "section",$A680 = "end group")</formula>
    </cfRule>
    <cfRule type="expression" dxfId="6733" priority="1802">
      <formula xml:space="preserve"> $A680 = "begin group"</formula>
    </cfRule>
    <cfRule type="expression" dxfId="6732" priority="1803">
      <formula xml:space="preserve"> AND(#REF!="gg",$A680 = "end group")</formula>
    </cfRule>
  </conditionalFormatting>
  <conditionalFormatting sqref="E681">
    <cfRule type="expression" dxfId="6731" priority="1738">
      <formula xml:space="preserve"> AND(#REF!="gg",$A681 = "end group")</formula>
    </cfRule>
    <cfRule type="expression" dxfId="6730" priority="1737">
      <formula xml:space="preserve"> $A681 = "begin group"</formula>
    </cfRule>
    <cfRule type="expression" dxfId="6729" priority="1735">
      <formula>AND(#REF!="section",$A681="begin group")</formula>
    </cfRule>
    <cfRule type="expression" dxfId="6728" priority="1736">
      <formula>AND(#REF! = "section",$A681 = "end group")</formula>
    </cfRule>
  </conditionalFormatting>
  <conditionalFormatting sqref="E699 G699">
    <cfRule type="expression" dxfId="6727" priority="2112">
      <formula xml:space="preserve"> $A711 = "end repeat"</formula>
    </cfRule>
    <cfRule type="expression" dxfId="6726" priority="2111">
      <formula>$A699 = "begin repeat"</formula>
    </cfRule>
    <cfRule type="expression" dxfId="6725" priority="2110">
      <formula>AND($U$1="disabled",$U710="yes")</formula>
    </cfRule>
  </conditionalFormatting>
  <conditionalFormatting sqref="E699">
    <cfRule type="expression" dxfId="6724" priority="1675">
      <formula xml:space="preserve"> AND(#REF!="gg",$A699 = "end group")</formula>
    </cfRule>
    <cfRule type="expression" dxfId="6723" priority="1674">
      <formula xml:space="preserve"> $A699 = "begin group"</formula>
    </cfRule>
    <cfRule type="expression" dxfId="6722" priority="1672">
      <formula>AND(#REF!="section",$A699="begin group")</formula>
    </cfRule>
    <cfRule type="expression" dxfId="6721" priority="1673">
      <formula>AND(#REF! = "section",$A699 = "end group")</formula>
    </cfRule>
  </conditionalFormatting>
  <conditionalFormatting sqref="E700">
    <cfRule type="expression" dxfId="6720" priority="1641">
      <formula>AND(#REF!="section",$A700="begin group")</formula>
    </cfRule>
    <cfRule type="expression" dxfId="6719" priority="1642">
      <formula>AND(#REF! = "section",$A700 = "end group")</formula>
    </cfRule>
    <cfRule type="expression" dxfId="6718" priority="1644">
      <formula xml:space="preserve"> AND(#REF!="gg",$A700 = "end group")</formula>
    </cfRule>
    <cfRule type="expression" dxfId="6717" priority="1643">
      <formula xml:space="preserve"> $A700 = "begin group"</formula>
    </cfRule>
  </conditionalFormatting>
  <conditionalFormatting sqref="E701">
    <cfRule type="expression" dxfId="6716" priority="1607">
      <formula>AND(#REF!="section",$A701="begin group")</formula>
    </cfRule>
    <cfRule type="expression" dxfId="6715" priority="1608">
      <formula>AND(#REF! = "section",$A701 = "end group")</formula>
    </cfRule>
    <cfRule type="expression" dxfId="6714" priority="1610">
      <formula xml:space="preserve"> AND(#REF!="gg",$A701 = "end group")</formula>
    </cfRule>
    <cfRule type="expression" dxfId="6713" priority="1609">
      <formula xml:space="preserve"> $A701 = "begin group"</formula>
    </cfRule>
  </conditionalFormatting>
  <conditionalFormatting sqref="E702">
    <cfRule type="expression" dxfId="6712" priority="1569">
      <formula>AND(#REF! = "section",$A702 = "end group")</formula>
    </cfRule>
    <cfRule type="expression" dxfId="6711" priority="1568">
      <formula>AND(#REF!="section",$A702="begin group")</formula>
    </cfRule>
    <cfRule type="expression" dxfId="6710" priority="1570">
      <formula xml:space="preserve"> $A702 = "begin group"</formula>
    </cfRule>
    <cfRule type="expression" dxfId="6709" priority="1571">
      <formula xml:space="preserve"> AND(#REF!="gg",$A702 = "end group")</formula>
    </cfRule>
  </conditionalFormatting>
  <conditionalFormatting sqref="E703">
    <cfRule type="expression" dxfId="6708" priority="1555">
      <formula xml:space="preserve"> AND(#REF!="gg",$A703 = "end group")</formula>
    </cfRule>
    <cfRule type="expression" dxfId="6707" priority="1552">
      <formula>AND(#REF!="section",$A703="begin group")</formula>
    </cfRule>
    <cfRule type="expression" dxfId="6706" priority="1553">
      <formula>AND(#REF! = "section",$A703 = "end group")</formula>
    </cfRule>
    <cfRule type="expression" dxfId="6705" priority="1554">
      <formula xml:space="preserve"> $A703 = "begin group"</formula>
    </cfRule>
  </conditionalFormatting>
  <conditionalFormatting sqref="E704">
    <cfRule type="expression" dxfId="6704" priority="2261">
      <formula>AND(#REF! = "section",$A704 = "end group")</formula>
    </cfRule>
    <cfRule type="expression" dxfId="6703" priority="2260">
      <formula>AND(#REF!="section",$A704="begin group")</formula>
    </cfRule>
    <cfRule type="expression" dxfId="6702" priority="2262">
      <formula xml:space="preserve"> $A704 = "begin group"</formula>
    </cfRule>
    <cfRule type="expression" dxfId="6701" priority="2263">
      <formula xml:space="preserve"> AND(#REF!="gg",$A704 = "end group")</formula>
    </cfRule>
  </conditionalFormatting>
  <conditionalFormatting sqref="E706:E707">
    <cfRule type="expression" dxfId="6700" priority="2254">
      <formula xml:space="preserve"> $A706 = "begin group"</formula>
    </cfRule>
    <cfRule type="expression" dxfId="6699" priority="2255">
      <formula xml:space="preserve"> AND($J706="gg",$A706 = "end group")</formula>
    </cfRule>
    <cfRule type="expression" dxfId="6698" priority="1601">
      <formula xml:space="preserve"> $A677 = "end repeat"</formula>
    </cfRule>
    <cfRule type="expression" dxfId="6697" priority="1600">
      <formula>$A706 = "begin repeat"</formula>
    </cfRule>
    <cfRule type="expression" dxfId="6696" priority="1599">
      <formula>AND($U$1="disabled",$U706="yes")</formula>
    </cfRule>
    <cfRule type="expression" dxfId="6695" priority="1314">
      <formula xml:space="preserve"> $A676 = "end repeat"</formula>
    </cfRule>
    <cfRule type="expression" dxfId="6694" priority="1313">
      <formula>$A706 = "begin repeat"</formula>
    </cfRule>
    <cfRule type="expression" dxfId="6693" priority="1312">
      <formula>AND($U$1="disabled",$U706="yes")</formula>
    </cfRule>
  </conditionalFormatting>
  <conditionalFormatting sqref="E706:E708">
    <cfRule type="expression" dxfId="6692" priority="2253">
      <formula>AND($J706 = "section",$A706 = "end group")</formula>
    </cfRule>
    <cfRule type="expression" dxfId="6691" priority="2252">
      <formula>AND($J706="section",$A706="begin group")</formula>
    </cfRule>
  </conditionalFormatting>
  <conditionalFormatting sqref="E708">
    <cfRule type="expression" dxfId="6690" priority="2270">
      <formula xml:space="preserve"> $A708 = "begin group"</formula>
    </cfRule>
    <cfRule type="expression" dxfId="6689" priority="2271">
      <formula xml:space="preserve"> AND($J708="gg",$A708 = "end group")</formula>
    </cfRule>
  </conditionalFormatting>
  <conditionalFormatting sqref="E709:E722">
    <cfRule type="expression" dxfId="6688" priority="2209">
      <formula>AND(#REF! = "section",$A709 = "end group")</formula>
    </cfRule>
    <cfRule type="expression" dxfId="6687" priority="2210">
      <formula xml:space="preserve"> $A709 = "begin group"</formula>
    </cfRule>
    <cfRule type="expression" dxfId="6686" priority="2211">
      <formula xml:space="preserve"> AND(#REF!="gg",$A709 = "end group")</formula>
    </cfRule>
    <cfRule type="expression" dxfId="6685" priority="2208">
      <formula>AND(#REF!="section",$A709="begin group")</formula>
    </cfRule>
  </conditionalFormatting>
  <conditionalFormatting sqref="E715 G715">
    <cfRule type="expression" dxfId="6684" priority="1345">
      <formula>AND($U$1="disabled",$U722="yes")</formula>
    </cfRule>
    <cfRule type="expression" dxfId="6683" priority="1346">
      <formula>$A715 = "begin repeat"</formula>
    </cfRule>
    <cfRule type="expression" dxfId="6682" priority="1347">
      <formula xml:space="preserve"> $A739 = "end repeat"</formula>
    </cfRule>
  </conditionalFormatting>
  <conditionalFormatting sqref="E718 E721 G718 G721">
    <cfRule type="expression" dxfId="6681" priority="1343">
      <formula>$A718 = "begin repeat"</formula>
    </cfRule>
    <cfRule type="expression" dxfId="6680" priority="1342">
      <formula>AND($U$1="disabled",$U741="yes")</formula>
    </cfRule>
    <cfRule type="expression" dxfId="6679" priority="1344">
      <formula xml:space="preserve"> #REF! = "end repeat"</formula>
    </cfRule>
  </conditionalFormatting>
  <conditionalFormatting sqref="E728 G728">
    <cfRule type="expression" dxfId="6678" priority="1446">
      <formula xml:space="preserve"> $A753 = "end repeat"</formula>
    </cfRule>
    <cfRule type="expression" dxfId="6677" priority="1444">
      <formula>AND($U$1="disabled",$U735="yes")</formula>
    </cfRule>
    <cfRule type="expression" dxfId="6676" priority="1445">
      <formula>$A728 = "begin repeat"</formula>
    </cfRule>
  </conditionalFormatting>
  <conditionalFormatting sqref="E731 E734 G731 G734 G736 E736 G738 E738">
    <cfRule type="expression" dxfId="6675" priority="1441">
      <formula>AND($U$1="disabled",$U755="yes")</formula>
    </cfRule>
    <cfRule type="expression" dxfId="6674" priority="1443">
      <formula xml:space="preserve"> #REF! = "end repeat"</formula>
    </cfRule>
    <cfRule type="expression" dxfId="6673" priority="1442">
      <formula>$A731 = "begin repeat"</formula>
    </cfRule>
  </conditionalFormatting>
  <conditionalFormatting sqref="E736:E737">
    <cfRule type="expression" dxfId="6672" priority="1433">
      <formula>AND(#REF! = "section",$A736 = "end group")</formula>
    </cfRule>
    <cfRule type="expression" dxfId="6671" priority="1432">
      <formula>AND(#REF!="section",$A736="begin group")</formula>
    </cfRule>
    <cfRule type="expression" dxfId="6670" priority="1435">
      <formula xml:space="preserve"> AND(#REF!="gg",$A736 = "end group")</formula>
    </cfRule>
    <cfRule type="expression" dxfId="6669" priority="1434">
      <formula xml:space="preserve"> $A736 = "begin group"</formula>
    </cfRule>
  </conditionalFormatting>
  <conditionalFormatting sqref="E739:E743 E559:E561 F559:F560 E639:F640 F641:F642 F704 E705:I705 F706:F707 F739:F742 A788:I789 F790:F791 F813:F816 E813:E817 E839:F840">
    <cfRule type="expression" dxfId="6668" priority="2283">
      <formula>AND($J559 = "section",$A559 = "end group")</formula>
    </cfRule>
  </conditionalFormatting>
  <conditionalFormatting sqref="E741:E742">
    <cfRule type="expression" dxfId="6667" priority="1338">
      <formula xml:space="preserve"> $A720 = "end repeat"</formula>
    </cfRule>
    <cfRule type="expression" dxfId="6666" priority="1336">
      <formula>AND($U$1="disabled",$U741="yes")</formula>
    </cfRule>
    <cfRule type="expression" dxfId="6665" priority="1409">
      <formula>$A741 = "begin repeat"</formula>
    </cfRule>
    <cfRule type="expression" dxfId="6664" priority="1408">
      <formula>AND($U$1="disabled",$U741="yes")</formula>
    </cfRule>
    <cfRule type="expression" dxfId="6663" priority="1410">
      <formula xml:space="preserve"> $A719 = "end repeat"</formula>
    </cfRule>
    <cfRule type="expression" dxfId="6662" priority="1337">
      <formula>$A741 = "begin repeat"</formula>
    </cfRule>
  </conditionalFormatting>
  <conditionalFormatting sqref="E744:E787">
    <cfRule type="expression" dxfId="6661" priority="2201">
      <formula xml:space="preserve"> AND(#REF!="gg",$A744 = "end group")</formula>
    </cfRule>
    <cfRule type="expression" dxfId="6660" priority="2200">
      <formula xml:space="preserve"> $A744 = "begin group"</formula>
    </cfRule>
    <cfRule type="expression" dxfId="6659" priority="2199">
      <formula>AND(#REF! = "section",$A744 = "end group")</formula>
    </cfRule>
    <cfRule type="expression" dxfId="6658" priority="2198">
      <formula>AND(#REF!="section",$A744="begin group")</formula>
    </cfRule>
  </conditionalFormatting>
  <conditionalFormatting sqref="E790:E791 E815:E816">
    <cfRule type="expression" dxfId="6657" priority="2671">
      <formula>$A790 = "begin repeat"</formula>
    </cfRule>
    <cfRule type="expression" dxfId="6656" priority="2629">
      <formula>$A790 = "begin repeat"</formula>
    </cfRule>
    <cfRule type="expression" dxfId="6655" priority="2628">
      <formula>AND($U$1="disabled",$U790="yes")</formula>
    </cfRule>
    <cfRule type="expression" dxfId="6654" priority="2670">
      <formula>AND($U$1="disabled",$U790="yes")</formula>
    </cfRule>
    <cfRule type="expression" dxfId="6653" priority="2672">
      <formula xml:space="preserve"> $A785 = "end repeat"</formula>
    </cfRule>
    <cfRule type="expression" dxfId="6652" priority="2630">
      <formula xml:space="preserve"> $A784 = "end repeat"</formula>
    </cfRule>
  </conditionalFormatting>
  <conditionalFormatting sqref="E790:E791">
    <cfRule type="expression" dxfId="6651" priority="2250">
      <formula xml:space="preserve"> $A790 = "begin group"</formula>
    </cfRule>
    <cfRule type="expression" dxfId="6650" priority="2251">
      <formula xml:space="preserve"> AND($J790="gg",$A790 = "end group")</formula>
    </cfRule>
  </conditionalFormatting>
  <conditionalFormatting sqref="E790:E792">
    <cfRule type="expression" dxfId="6649" priority="2248">
      <formula>AND($J790="section",$A790="begin group")</formula>
    </cfRule>
    <cfRule type="expression" dxfId="6648" priority="2249">
      <formula>AND($J790 = "section",$A790 = "end group")</formula>
    </cfRule>
  </conditionalFormatting>
  <conditionalFormatting sqref="E792">
    <cfRule type="expression" dxfId="6647" priority="2266">
      <formula xml:space="preserve"> $A792 = "begin group"</formula>
    </cfRule>
    <cfRule type="expression" dxfId="6646" priority="2267">
      <formula xml:space="preserve"> AND($J792="gg",$A792 = "end group")</formula>
    </cfRule>
  </conditionalFormatting>
  <conditionalFormatting sqref="E793:E812">
    <cfRule type="expression" dxfId="6645" priority="2188">
      <formula>AND(#REF!="section",$A793="begin group")</formula>
    </cfRule>
    <cfRule type="expression" dxfId="6644" priority="2189">
      <formula>AND(#REF! = "section",$A793 = "end group")</formula>
    </cfRule>
    <cfRule type="expression" dxfId="6643" priority="2190">
      <formula xml:space="preserve"> $A793 = "begin group"</formula>
    </cfRule>
    <cfRule type="expression" dxfId="6642" priority="2191">
      <formula xml:space="preserve"> AND(#REF!="gg",$A793 = "end group")</formula>
    </cfRule>
  </conditionalFormatting>
  <conditionalFormatting sqref="E818:E838">
    <cfRule type="expression" dxfId="6641" priority="2181">
      <formula xml:space="preserve"> AND(#REF!="gg",$A818 = "end group")</formula>
    </cfRule>
    <cfRule type="expression" dxfId="6640" priority="2180">
      <formula xml:space="preserve"> $A818 = "begin group"</formula>
    </cfRule>
    <cfRule type="expression" dxfId="6639" priority="2179">
      <formula>AND(#REF! = "section",$A818 = "end group")</formula>
    </cfRule>
    <cfRule type="expression" dxfId="6638" priority="2178">
      <formula>AND(#REF!="section",$A818="begin group")</formula>
    </cfRule>
  </conditionalFormatting>
  <conditionalFormatting sqref="E841 E843 G841:G843 A863:A868 I863:I868 L863:W868">
    <cfRule type="expression" dxfId="6637" priority="1048">
      <formula>$A841 = "begin repeat"</formula>
    </cfRule>
    <cfRule type="expression" dxfId="6636" priority="1047">
      <formula>AND($U$1="disabled",$U841="yes")</formula>
    </cfRule>
    <cfRule type="expression" dxfId="6635" priority="1049">
      <formula xml:space="preserve"> $A862 = "end repeat"</formula>
    </cfRule>
  </conditionalFormatting>
  <conditionalFormatting sqref="E841:E843">
    <cfRule type="expression" dxfId="6634" priority="567">
      <formula>AND($J841 = "section",$A841 = "end group")</formula>
    </cfRule>
  </conditionalFormatting>
  <conditionalFormatting sqref="E842">
    <cfRule type="expression" dxfId="6633" priority="568">
      <formula xml:space="preserve"> $A842 = "begin group"</formula>
    </cfRule>
    <cfRule type="expression" dxfId="6632" priority="566">
      <formula>AND($J842="section",$A842="begin group")</formula>
    </cfRule>
    <cfRule type="expression" dxfId="6631" priority="569">
      <formula xml:space="preserve"> AND($J842="gg",$A842 = "end group")</formula>
    </cfRule>
  </conditionalFormatting>
  <conditionalFormatting sqref="E844 G844 E853:E949 G853:G949">
    <cfRule type="expression" dxfId="6630" priority="1024">
      <formula>$A844 = "begin repeat"</formula>
    </cfRule>
    <cfRule type="expression" dxfId="6629" priority="1025">
      <formula xml:space="preserve"> #REF! = "end repeat"</formula>
    </cfRule>
    <cfRule type="expression" dxfId="6628" priority="1023">
      <formula>AND($U$1="disabled",$U851="yes")</formula>
    </cfRule>
  </conditionalFormatting>
  <conditionalFormatting sqref="E844 G844">
    <cfRule type="expression" dxfId="6627" priority="1022">
      <formula xml:space="preserve"> $A853 = "end repeat"</formula>
    </cfRule>
    <cfRule type="expression" dxfId="6626" priority="1021">
      <formula>$A844 = "begin repeat"</formula>
    </cfRule>
    <cfRule type="expression" dxfId="6625" priority="1020">
      <formula>AND($U$1="disabled",$U851="yes")</formula>
    </cfRule>
  </conditionalFormatting>
  <conditionalFormatting sqref="E844:E851 E853:E954">
    <cfRule type="expression" dxfId="6624" priority="560">
      <formula xml:space="preserve"> $A844 = "begin group"</formula>
    </cfRule>
    <cfRule type="expression" dxfId="6623" priority="561">
      <formula xml:space="preserve"> AND(#REF!="gg",$A844 = "end group")</formula>
    </cfRule>
    <cfRule type="expression" dxfId="6622" priority="559">
      <formula>AND(#REF! = "section",$A844 = "end group")</formula>
    </cfRule>
    <cfRule type="expression" dxfId="6621" priority="558">
      <formula>AND(#REF!="section",$A844="begin group")</formula>
    </cfRule>
  </conditionalFormatting>
  <conditionalFormatting sqref="E845:E852 G845:G852">
    <cfRule type="expression" dxfId="6620" priority="1050">
      <formula>AND($U$1="disabled",$U853="yes")</formula>
    </cfRule>
    <cfRule type="expression" dxfId="6619" priority="1055">
      <formula xml:space="preserve"> $A854 = "end repeat"</formula>
    </cfRule>
    <cfRule type="expression" dxfId="6618" priority="1054">
      <formula>$A845 = "begin repeat"</formula>
    </cfRule>
    <cfRule type="expression" dxfId="6617" priority="1053">
      <formula>AND($U$1="disabled",$U853="yes")</formula>
    </cfRule>
    <cfRule type="expression" dxfId="6616" priority="1052">
      <formula xml:space="preserve"> #REF! = "end repeat"</formula>
    </cfRule>
    <cfRule type="expression" dxfId="6615" priority="1051">
      <formula>$A845 = "begin repeat"</formula>
    </cfRule>
  </conditionalFormatting>
  <conditionalFormatting sqref="E852">
    <cfRule type="expression" dxfId="6614" priority="11">
      <formula>AND(#REF! = "section",$A852 = "end group")</formula>
    </cfRule>
    <cfRule type="expression" dxfId="6613" priority="13">
      <formula xml:space="preserve"> AND(#REF!="gg",$A852 = "end group")</formula>
    </cfRule>
    <cfRule type="expression" dxfId="6612" priority="12">
      <formula xml:space="preserve"> $A852 = "begin group"</formula>
    </cfRule>
    <cfRule type="expression" dxfId="6611" priority="10">
      <formula>AND(#REF!="section",$A852="begin group")</formula>
    </cfRule>
  </conditionalFormatting>
  <conditionalFormatting sqref="E853:E948 G853:G948">
    <cfRule type="expression" dxfId="6610" priority="1028">
      <formula xml:space="preserve"> $A861 = "end repeat"</formula>
    </cfRule>
    <cfRule type="expression" dxfId="6609" priority="1027">
      <formula>$A853 = "begin repeat"</formula>
    </cfRule>
    <cfRule type="expression" dxfId="6608" priority="1026">
      <formula>AND($U$1="disabled",$U860="yes")</formula>
    </cfRule>
  </conditionalFormatting>
  <conditionalFormatting sqref="E951 G951">
    <cfRule type="expression" dxfId="6607" priority="58">
      <formula>AND($U$1="disabled",#REF!="yes")</formula>
    </cfRule>
    <cfRule type="expression" dxfId="6606" priority="60">
      <formula xml:space="preserve"> $A957 = "end repeat"</formula>
    </cfRule>
    <cfRule type="expression" dxfId="6605" priority="59">
      <formula>$A951 = "begin repeat"</formula>
    </cfRule>
  </conditionalFormatting>
  <conditionalFormatting sqref="E952:E954 G952:G954">
    <cfRule type="expression" dxfId="6604" priority="55">
      <formula>AND($U$1="disabled",$U957="yes")</formula>
    </cfRule>
    <cfRule type="expression" dxfId="6603" priority="583">
      <formula>$A952 = "begin repeat"</formula>
    </cfRule>
    <cfRule type="expression" dxfId="6602" priority="584">
      <formula xml:space="preserve"> $A958 = "end repeat"</formula>
    </cfRule>
    <cfRule type="expression" dxfId="6601" priority="56">
      <formula>$A952 = "begin repeat"</formula>
    </cfRule>
    <cfRule type="expression" dxfId="6600" priority="582">
      <formula>AND($U$1="disabled",$U957="yes")</formula>
    </cfRule>
    <cfRule type="expression" dxfId="6599" priority="57">
      <formula xml:space="preserve"> #REF! = "end repeat"</formula>
    </cfRule>
  </conditionalFormatting>
  <conditionalFormatting sqref="E957">
    <cfRule type="expression" dxfId="6598" priority="573">
      <formula xml:space="preserve"> AND($J957="gg",$A957 = "end group")</formula>
    </cfRule>
    <cfRule type="expression" dxfId="6597" priority="572">
      <formula xml:space="preserve"> $A957 = "begin group"</formula>
    </cfRule>
    <cfRule type="expression" dxfId="6596" priority="63">
      <formula xml:space="preserve"> $A954 = "end repeat"</formula>
    </cfRule>
    <cfRule type="expression" dxfId="6595" priority="61">
      <formula>AND($U$1="disabled",$U957="yes")</formula>
    </cfRule>
    <cfRule type="expression" dxfId="6594" priority="925">
      <formula>$A957 = "begin repeat"</formula>
    </cfRule>
    <cfRule type="expression" dxfId="6593" priority="926">
      <formula xml:space="preserve"> $A953 = "end repeat"</formula>
    </cfRule>
    <cfRule type="expression" dxfId="6592" priority="924">
      <formula>AND($U$1="disabled",$U957="yes")</formula>
    </cfRule>
    <cfRule type="expression" dxfId="6591" priority="571">
      <formula>AND($J957 = "section",$A957 = "end group")</formula>
    </cfRule>
    <cfRule type="expression" dxfId="6590" priority="570">
      <formula>AND($J957="section",$A957="begin group")</formula>
    </cfRule>
    <cfRule type="expression" dxfId="6589" priority="62">
      <formula>$A957 = "begin repeat"</formula>
    </cfRule>
  </conditionalFormatting>
  <conditionalFormatting sqref="E958:E960 E962:E966 G962:G966 E972:E999 G972:G999">
    <cfRule type="expression" dxfId="6588" priority="39">
      <formula>AND($U$1="disabled",$U976="yes")</formula>
    </cfRule>
    <cfRule type="expression" dxfId="6587" priority="40">
      <formula>$A958 = "begin repeat"</formula>
    </cfRule>
    <cfRule type="expression" dxfId="6586" priority="41">
      <formula xml:space="preserve"> $A977 = "end repeat"</formula>
    </cfRule>
    <cfRule type="expression" dxfId="6585" priority="1017">
      <formula>AND($U$1="disabled",$U962="yes")</formula>
    </cfRule>
    <cfRule type="expression" dxfId="6584" priority="1019">
      <formula xml:space="preserve"> $A963 = "end repeat"</formula>
    </cfRule>
    <cfRule type="expression" dxfId="6583" priority="1018">
      <formula>$A958 = "begin repeat"</formula>
    </cfRule>
  </conditionalFormatting>
  <conditionalFormatting sqref="E958:E960">
    <cfRule type="expression" dxfId="6582" priority="638">
      <formula>AND(#REF! = "section",$A958 = "end group")</formula>
    </cfRule>
    <cfRule type="expression" dxfId="6581" priority="637">
      <formula>AND(#REF!="section",$A958="begin group")</formula>
    </cfRule>
    <cfRule type="expression" dxfId="6580" priority="636">
      <formula xml:space="preserve"> AND(#REF!="gg",$A958 = "end group")</formula>
    </cfRule>
    <cfRule type="expression" dxfId="6579" priority="635">
      <formula xml:space="preserve"> $A958 = "begin group"</formula>
    </cfRule>
    <cfRule type="expression" dxfId="6578" priority="634">
      <formula>AND(#REF! = "section",$A958 = "end group")</formula>
    </cfRule>
    <cfRule type="expression" dxfId="6577" priority="633">
      <formula>AND(#REF!="section",$A958="begin group")</formula>
    </cfRule>
    <cfRule type="expression" dxfId="6576" priority="632">
      <formula xml:space="preserve"> AND(#REF!="gg",$A958 = "end group")</formula>
    </cfRule>
    <cfRule type="expression" dxfId="6575" priority="631">
      <formula xml:space="preserve"> $A958 = "begin group"</formula>
    </cfRule>
    <cfRule type="expression" dxfId="6574" priority="630">
      <formula>AND(#REF! = "section",$A958 = "end group")</formula>
    </cfRule>
    <cfRule type="expression" dxfId="6573" priority="629">
      <formula>AND(#REF!="section",$A958="begin group")</formula>
    </cfRule>
    <cfRule type="expression" dxfId="6572" priority="628">
      <formula xml:space="preserve"> AND(#REF!="gg",$A958 = "end group")</formula>
    </cfRule>
    <cfRule type="expression" dxfId="6571" priority="627">
      <formula xml:space="preserve"> $A958 = "begin group"</formula>
    </cfRule>
    <cfRule type="expression" dxfId="6570" priority="626">
      <formula>AND(#REF! = "section",$A958 = "end group")</formula>
    </cfRule>
    <cfRule type="expression" dxfId="6569" priority="659">
      <formula xml:space="preserve"> $A958 = "begin group"</formula>
    </cfRule>
    <cfRule type="expression" dxfId="6568" priority="653">
      <formula>AND(#REF!="section",$A958="begin group")</formula>
    </cfRule>
    <cfRule type="expression" dxfId="6567" priority="654">
      <formula>AND(#REF! = "section",$A958 = "end group")</formula>
    </cfRule>
    <cfRule type="expression" dxfId="6566" priority="655">
      <formula xml:space="preserve"> $A958 = "begin group"</formula>
    </cfRule>
    <cfRule type="expression" dxfId="6565" priority="656">
      <formula xml:space="preserve"> AND(#REF!="gg",$A958 = "end group")</formula>
    </cfRule>
    <cfRule type="expression" dxfId="6564" priority="657">
      <formula>AND(#REF!="section",$A958="begin group")</formula>
    </cfRule>
    <cfRule type="expression" dxfId="6563" priority="652">
      <formula xml:space="preserve"> AND(#REF!="gg",$A958 = "end group")</formula>
    </cfRule>
    <cfRule type="expression" dxfId="6562" priority="651">
      <formula xml:space="preserve"> $A958 = "begin group"</formula>
    </cfRule>
    <cfRule type="expression" dxfId="6561" priority="650">
      <formula>AND(#REF! = "section",$A958 = "end group")</formula>
    </cfRule>
    <cfRule type="expression" dxfId="6560" priority="658">
      <formula>AND(#REF! = "section",$A958 = "end group")</formula>
    </cfRule>
    <cfRule type="expression" dxfId="6559" priority="660">
      <formula xml:space="preserve"> AND(#REF!="gg",$A958 = "end group")</formula>
    </cfRule>
    <cfRule type="expression" dxfId="6558" priority="661">
      <formula>AND(#REF!="section",$A958="begin group")</formula>
    </cfRule>
    <cfRule type="expression" dxfId="6557" priority="662">
      <formula>AND(#REF! = "section",$A958 = "end group")</formula>
    </cfRule>
    <cfRule type="expression" dxfId="6556" priority="663">
      <formula xml:space="preserve"> $A958 = "begin group"</formula>
    </cfRule>
    <cfRule type="expression" dxfId="6555" priority="664">
      <formula xml:space="preserve"> AND(#REF!="gg",$A958 = "end group")</formula>
    </cfRule>
    <cfRule type="expression" dxfId="6554" priority="649">
      <formula>AND(#REF!="section",$A958="begin group")</formula>
    </cfRule>
    <cfRule type="expression" dxfId="6553" priority="648">
      <formula xml:space="preserve"> AND(#REF!="gg",$A958 = "end group")</formula>
    </cfRule>
    <cfRule type="expression" dxfId="6552" priority="647">
      <formula xml:space="preserve"> $A958 = "begin group"</formula>
    </cfRule>
    <cfRule type="expression" dxfId="6551" priority="646">
      <formula>AND(#REF! = "section",$A958 = "end group")</formula>
    </cfRule>
    <cfRule type="expression" dxfId="6550" priority="645">
      <formula>AND(#REF!="section",$A958="begin group")</formula>
    </cfRule>
    <cfRule type="expression" dxfId="6549" priority="644">
      <formula xml:space="preserve"> AND(#REF!="gg",$A958 = "end group")</formula>
    </cfRule>
    <cfRule type="expression" dxfId="6548" priority="643">
      <formula xml:space="preserve"> $A958 = "begin group"</formula>
    </cfRule>
    <cfRule type="expression" dxfId="6547" priority="642">
      <formula>AND(#REF! = "section",$A958 = "end group")</formula>
    </cfRule>
    <cfRule type="expression" dxfId="6546" priority="625">
      <formula>AND(#REF!="section",$A958="begin group")</formula>
    </cfRule>
    <cfRule type="expression" dxfId="6545" priority="641">
      <formula>AND(#REF!="section",$A958="begin group")</formula>
    </cfRule>
    <cfRule type="expression" dxfId="6544" priority="640">
      <formula xml:space="preserve"> AND(#REF!="gg",$A958 = "end group")</formula>
    </cfRule>
    <cfRule type="expression" dxfId="6543" priority="639">
      <formula xml:space="preserve"> $A958 = "begin group"</formula>
    </cfRule>
  </conditionalFormatting>
  <conditionalFormatting sqref="E962:E966">
    <cfRule type="expression" dxfId="6542" priority="530">
      <formula xml:space="preserve"> $A962 = "begin group"</formula>
    </cfRule>
    <cfRule type="expression" dxfId="6541" priority="529">
      <formula>AND(#REF! = "section",$A962 = "end group")</formula>
    </cfRule>
    <cfRule type="expression" dxfId="6540" priority="528">
      <formula>AND(#REF!="section",$A962="begin group")</formula>
    </cfRule>
    <cfRule type="expression" dxfId="6539" priority="619">
      <formula xml:space="preserve"> $A962 = "begin group"</formula>
    </cfRule>
    <cfRule type="expression" dxfId="6538" priority="527">
      <formula xml:space="preserve"> AND(#REF!="gg",$A962 = "end group")</formula>
    </cfRule>
    <cfRule type="expression" dxfId="6537" priority="526">
      <formula xml:space="preserve"> $A962 = "begin group"</formula>
    </cfRule>
    <cfRule type="expression" dxfId="6536" priority="525">
      <formula>AND(#REF! = "section",$A962 = "end group")</formula>
    </cfRule>
    <cfRule type="expression" dxfId="6535" priority="524">
      <formula>AND(#REF!="section",$A962="begin group")</formula>
    </cfRule>
    <cfRule type="expression" dxfId="6534" priority="523">
      <formula xml:space="preserve"> AND(#REF!="gg",$A962 = "end group")</formula>
    </cfRule>
    <cfRule type="expression" dxfId="6533" priority="522">
      <formula xml:space="preserve"> $A962 = "begin group"</formula>
    </cfRule>
    <cfRule type="expression" dxfId="6532" priority="521">
      <formula>AND(#REF! = "section",$A962 = "end group")</formula>
    </cfRule>
    <cfRule type="expression" dxfId="6531" priority="520">
      <formula>AND(#REF!="section",$A962="begin group")</formula>
    </cfRule>
    <cfRule type="expression" dxfId="6530" priority="550">
      <formula xml:space="preserve"> $A962 = "begin group"</formula>
    </cfRule>
    <cfRule type="expression" dxfId="6529" priority="551">
      <formula xml:space="preserve"> AND(#REF!="gg",$A962 = "end group")</formula>
    </cfRule>
    <cfRule type="expression" dxfId="6528" priority="587">
      <formula xml:space="preserve"> $A962 = "begin group"</formula>
    </cfRule>
    <cfRule type="expression" dxfId="6527" priority="593">
      <formula>AND(#REF!="section",$A962="begin group")</formula>
    </cfRule>
    <cfRule type="expression" dxfId="6526" priority="533">
      <formula>AND(#REF! = "section",$A962 = "end group")</formula>
    </cfRule>
    <cfRule type="expression" dxfId="6525" priority="592">
      <formula xml:space="preserve"> AND(#REF!="gg",$A962 = "end group")</formula>
    </cfRule>
    <cfRule type="expression" dxfId="6524" priority="590">
      <formula>AND(#REF! = "section",$A962 = "end group")</formula>
    </cfRule>
    <cfRule type="expression" dxfId="6523" priority="591">
      <formula xml:space="preserve"> $A962 = "begin group"</formula>
    </cfRule>
    <cfRule type="expression" dxfId="6522" priority="588">
      <formula xml:space="preserve"> AND(#REF!="gg",$A962 = "end group")</formula>
    </cfRule>
    <cfRule type="expression" dxfId="6521" priority="618">
      <formula>AND(#REF! = "section",$A962 = "end group")</formula>
    </cfRule>
    <cfRule type="expression" dxfId="6520" priority="589">
      <formula>AND(#REF!="section",$A962="begin group")</formula>
    </cfRule>
    <cfRule type="expression" dxfId="6519" priority="623">
      <formula xml:space="preserve"> $A962 = "begin group"</formula>
    </cfRule>
    <cfRule type="expression" dxfId="6518" priority="548">
      <formula>AND(#REF!="section",$A962="begin group")</formula>
    </cfRule>
    <cfRule type="expression" dxfId="6517" priority="549">
      <formula>AND(#REF! = "section",$A962 = "end group")</formula>
    </cfRule>
    <cfRule type="expression" dxfId="6516" priority="622">
      <formula>AND(#REF! = "section",$A962 = "end group")</formula>
    </cfRule>
    <cfRule type="expression" dxfId="6515" priority="621">
      <formula>AND(#REF!="section",$A962="begin group")</formula>
    </cfRule>
    <cfRule type="expression" dxfId="6514" priority="617">
      <formula>AND(#REF!="section",$A962="begin group")</formula>
    </cfRule>
    <cfRule type="expression" dxfId="6513" priority="616">
      <formula xml:space="preserve"> AND(#REF!="gg",$A962 = "end group")</formula>
    </cfRule>
    <cfRule type="expression" dxfId="6512" priority="620">
      <formula xml:space="preserve"> AND(#REF!="gg",$A962 = "end group")</formula>
    </cfRule>
    <cfRule type="expression" dxfId="6511" priority="532">
      <formula>AND(#REF!="section",$A962="begin group")</formula>
    </cfRule>
    <cfRule type="expression" dxfId="6510" priority="519">
      <formula xml:space="preserve"> AND(#REF!="gg",$A962 = "end group")</formula>
    </cfRule>
    <cfRule type="expression" dxfId="6509" priority="544">
      <formula>AND(#REF!="section",$A962="begin group")</formula>
    </cfRule>
    <cfRule type="expression" dxfId="6508" priority="531">
      <formula xml:space="preserve"> AND(#REF!="gg",$A962 = "end group")</formula>
    </cfRule>
    <cfRule type="expression" dxfId="6507" priority="545">
      <formula>AND(#REF! = "section",$A962 = "end group")</formula>
    </cfRule>
    <cfRule type="expression" dxfId="6506" priority="546">
      <formula xml:space="preserve"> $A962 = "begin group"</formula>
    </cfRule>
    <cfRule type="expression" dxfId="6505" priority="540">
      <formula>AND(#REF!="section",$A962="begin group")</formula>
    </cfRule>
    <cfRule type="expression" dxfId="6504" priority="615">
      <formula xml:space="preserve"> $A962 = "begin group"</formula>
    </cfRule>
    <cfRule type="expression" dxfId="6503" priority="614">
      <formula>AND(#REF! = "section",$A962 = "end group")</formula>
    </cfRule>
    <cfRule type="expression" dxfId="6502" priority="539">
      <formula xml:space="preserve"> AND(#REF!="gg",$A962 = "end group")</formula>
    </cfRule>
    <cfRule type="expression" dxfId="6501" priority="613">
      <formula>AND(#REF!="section",$A962="begin group")</formula>
    </cfRule>
    <cfRule type="expression" dxfId="6500" priority="612">
      <formula xml:space="preserve"> AND(#REF!="gg",$A962 = "end group")</formula>
    </cfRule>
    <cfRule type="expression" dxfId="6499" priority="518">
      <formula xml:space="preserve"> $A962 = "begin group"</formula>
    </cfRule>
    <cfRule type="expression" dxfId="6498" priority="517">
      <formula>AND(#REF! = "section",$A962 = "end group")</formula>
    </cfRule>
    <cfRule type="expression" dxfId="6497" priority="516">
      <formula>AND(#REF!="section",$A962="begin group")</formula>
    </cfRule>
    <cfRule type="expression" dxfId="6496" priority="611">
      <formula xml:space="preserve"> $A962 = "begin group"</formula>
    </cfRule>
    <cfRule type="expression" dxfId="6495" priority="538">
      <formula xml:space="preserve"> $A962 = "begin group"</formula>
    </cfRule>
    <cfRule type="expression" dxfId="6494" priority="610">
      <formula>AND(#REF! = "section",$A962 = "end group")</formula>
    </cfRule>
    <cfRule type="expression" dxfId="6493" priority="609">
      <formula>AND(#REF!="section",$A962="begin group")</formula>
    </cfRule>
    <cfRule type="expression" dxfId="6492" priority="608">
      <formula xml:space="preserve"> AND(#REF!="gg",$A962 = "end group")</formula>
    </cfRule>
    <cfRule type="expression" dxfId="6491" priority="537">
      <formula>AND(#REF! = "section",$A962 = "end group")</formula>
    </cfRule>
    <cfRule type="expression" dxfId="6490" priority="536">
      <formula>AND(#REF!="section",$A962="begin group")</formula>
    </cfRule>
    <cfRule type="expression" dxfId="6489" priority="535">
      <formula xml:space="preserve"> AND(#REF!="gg",$A962 = "end group")</formula>
    </cfRule>
    <cfRule type="expression" dxfId="6488" priority="515">
      <formula xml:space="preserve"> AND(#REF!="gg",$A962 = "end group")</formula>
    </cfRule>
    <cfRule type="expression" dxfId="6487" priority="514">
      <formula xml:space="preserve"> $A962 = "begin group"</formula>
    </cfRule>
    <cfRule type="expression" dxfId="6486" priority="513">
      <formula>AND(#REF! = "section",$A962 = "end group")</formula>
    </cfRule>
    <cfRule type="expression" dxfId="6485" priority="607">
      <formula xml:space="preserve"> $A962 = "begin group"</formula>
    </cfRule>
    <cfRule type="expression" dxfId="6484" priority="606">
      <formula>AND(#REF! = "section",$A962 = "end group")</formula>
    </cfRule>
    <cfRule type="expression" dxfId="6483" priority="542">
      <formula xml:space="preserve"> $A962 = "begin group"</formula>
    </cfRule>
    <cfRule type="expression" dxfId="6482" priority="541">
      <formula>AND(#REF! = "section",$A962 = "end group")</formula>
    </cfRule>
    <cfRule type="expression" dxfId="6481" priority="543">
      <formula xml:space="preserve"> AND(#REF!="gg",$A962 = "end group")</formula>
    </cfRule>
    <cfRule type="expression" dxfId="6480" priority="605">
      <formula>AND(#REF!="section",$A962="begin group")</formula>
    </cfRule>
    <cfRule type="expression" dxfId="6479" priority="547">
      <formula xml:space="preserve"> AND(#REF!="gg",$A962 = "end group")</formula>
    </cfRule>
    <cfRule type="expression" dxfId="6478" priority="512">
      <formula>AND(#REF!="section",$A962="begin group")</formula>
    </cfRule>
    <cfRule type="expression" dxfId="6477" priority="604">
      <formula xml:space="preserve"> AND(#REF!="gg",$A962 = "end group")</formula>
    </cfRule>
    <cfRule type="expression" dxfId="6476" priority="603">
      <formula xml:space="preserve"> $A962 = "begin group"</formula>
    </cfRule>
    <cfRule type="expression" dxfId="6475" priority="534">
      <formula xml:space="preserve"> $A962 = "begin group"</formula>
    </cfRule>
    <cfRule type="expression" dxfId="6474" priority="602">
      <formula>AND(#REF! = "section",$A962 = "end group")</formula>
    </cfRule>
    <cfRule type="expression" dxfId="6473" priority="601">
      <formula>AND(#REF!="section",$A962="begin group")</formula>
    </cfRule>
    <cfRule type="expression" dxfId="6472" priority="600">
      <formula xml:space="preserve"> AND(#REF!="gg",$A962 = "end group")</formula>
    </cfRule>
    <cfRule type="expression" dxfId="6471" priority="599">
      <formula xml:space="preserve"> $A962 = "begin group"</formula>
    </cfRule>
    <cfRule type="expression" dxfId="6470" priority="598">
      <formula>AND(#REF! = "section",$A962 = "end group")</formula>
    </cfRule>
    <cfRule type="expression" dxfId="6469" priority="597">
      <formula>AND(#REF!="section",$A962="begin group")</formula>
    </cfRule>
    <cfRule type="expression" dxfId="6468" priority="596">
      <formula xml:space="preserve"> AND(#REF!="gg",$A962 = "end group")</formula>
    </cfRule>
    <cfRule type="expression" dxfId="6467" priority="624">
      <formula xml:space="preserve"> AND(#REF!="gg",$A962 = "end group")</formula>
    </cfRule>
    <cfRule type="expression" dxfId="6466" priority="585">
      <formula>AND(#REF!="section",$A962="begin group")</formula>
    </cfRule>
    <cfRule type="expression" dxfId="6465" priority="595">
      <formula xml:space="preserve"> $A962 = "begin group"</formula>
    </cfRule>
    <cfRule type="expression" dxfId="6464" priority="594">
      <formula>AND(#REF! = "section",$A962 = "end group")</formula>
    </cfRule>
    <cfRule type="expression" dxfId="6463" priority="586">
      <formula>AND(#REF! = "section",$A962 = "end group")</formula>
    </cfRule>
  </conditionalFormatting>
  <conditionalFormatting sqref="E968 E950:E951 G950:G951 G958:G960 G968">
    <cfRule type="expression" dxfId="6462" priority="708">
      <formula>AND($U$1="disabled",#REF!="yes")</formula>
    </cfRule>
  </conditionalFormatting>
  <conditionalFormatting sqref="E968">
    <cfRule type="expression" dxfId="6461" priority="669">
      <formula xml:space="preserve"> AND(#REF!="gg",$A968 = "end group")</formula>
    </cfRule>
    <cfRule type="expression" dxfId="6460" priority="668">
      <formula xml:space="preserve"> $A968 = "begin group"</formula>
    </cfRule>
    <cfRule type="expression" dxfId="6459" priority="667">
      <formula>AND(#REF! = "section",$A968 = "end group")</formula>
    </cfRule>
    <cfRule type="expression" dxfId="6458" priority="666">
      <formula>AND(#REF!="section",$A968="begin group")</formula>
    </cfRule>
  </conditionalFormatting>
  <conditionalFormatting sqref="E969">
    <cfRule type="expression" dxfId="6457" priority="574">
      <formula>AND($J969="section",$A969="begin group")</formula>
    </cfRule>
    <cfRule type="expression" dxfId="6456" priority="575">
      <formula>AND($J969 = "section",$A969 = "end group")</formula>
    </cfRule>
    <cfRule type="expression" dxfId="6455" priority="576">
      <formula xml:space="preserve"> $A969 = "begin group"</formula>
    </cfRule>
    <cfRule type="expression" dxfId="6454" priority="577">
      <formula xml:space="preserve"> AND($J969="gg",$A969 = "end group")</formula>
    </cfRule>
  </conditionalFormatting>
  <conditionalFormatting sqref="E971 E969 E1002 E841:E842">
    <cfRule type="expression" dxfId="6453" priority="1043">
      <formula xml:space="preserve"> $A836 = "end repeat"</formula>
    </cfRule>
    <cfRule type="expression" dxfId="6452" priority="1042">
      <formula>$A841 = "begin repeat"</formula>
    </cfRule>
    <cfRule type="expression" dxfId="6451" priority="1041">
      <formula>AND($U$1="disabled",$U841="yes")</formula>
    </cfRule>
    <cfRule type="expression" dxfId="6450" priority="931">
      <formula>$A841 = "begin repeat"</formula>
    </cfRule>
    <cfRule type="expression" dxfId="6449" priority="932">
      <formula xml:space="preserve"> $A835 = "end repeat"</formula>
    </cfRule>
    <cfRule type="expression" dxfId="6448" priority="930">
      <formula>AND($U$1="disabled",$U841="yes")</formula>
    </cfRule>
  </conditionalFormatting>
  <conditionalFormatting sqref="E971">
    <cfRule type="expression" dxfId="6447" priority="578">
      <formula>AND($J971="section",$A971="begin group")</formula>
    </cfRule>
    <cfRule type="expression" dxfId="6446" priority="580">
      <formula xml:space="preserve"> $A971 = "begin group"</formula>
    </cfRule>
    <cfRule type="expression" dxfId="6445" priority="581">
      <formula xml:space="preserve"> AND($J971="gg",$A971 = "end group")</formula>
    </cfRule>
  </conditionalFormatting>
  <conditionalFormatting sqref="E972:E999">
    <cfRule type="expression" dxfId="6444" priority="396">
      <formula xml:space="preserve"> AND(#REF!="gg",$A972 = "end group")</formula>
    </cfRule>
    <cfRule type="expression" dxfId="6443" priority="395">
      <formula xml:space="preserve"> $A972 = "begin group"</formula>
    </cfRule>
    <cfRule type="expression" dxfId="6442" priority="394">
      <formula>AND(#REF! = "section",$A972 = "end group")</formula>
    </cfRule>
    <cfRule type="expression" dxfId="6441" priority="393">
      <formula>AND(#REF!="section",$A972="begin group")</formula>
    </cfRule>
    <cfRule type="expression" dxfId="6440" priority="392">
      <formula xml:space="preserve"> AND(#REF!="gg",$A972 = "end group")</formula>
    </cfRule>
    <cfRule type="expression" dxfId="6439" priority="391">
      <formula xml:space="preserve"> $A972 = "begin group"</formula>
    </cfRule>
    <cfRule type="expression" dxfId="6438" priority="390">
      <formula>AND(#REF! = "section",$A972 = "end group")</formula>
    </cfRule>
    <cfRule type="expression" dxfId="6437" priority="389">
      <formula>AND(#REF!="section",$A972="begin group")</formula>
    </cfRule>
    <cfRule type="expression" dxfId="6436" priority="388">
      <formula xml:space="preserve"> AND(#REF!="gg",$A972 = "end group")</formula>
    </cfRule>
    <cfRule type="expression" dxfId="6435" priority="387">
      <formula xml:space="preserve"> $A972 = "begin group"</formula>
    </cfRule>
    <cfRule type="expression" dxfId="6434" priority="386">
      <formula>AND(#REF! = "section",$A972 = "end group")</formula>
    </cfRule>
    <cfRule type="expression" dxfId="6433" priority="385">
      <formula>AND(#REF!="section",$A972="begin group")</formula>
    </cfRule>
    <cfRule type="expression" dxfId="6432" priority="384">
      <formula xml:space="preserve"> AND(#REF!="gg",$A972 = "end group")</formula>
    </cfRule>
    <cfRule type="expression" dxfId="6431" priority="383">
      <formula xml:space="preserve"> $A972 = "begin group"</formula>
    </cfRule>
    <cfRule type="expression" dxfId="6430" priority="382">
      <formula>AND(#REF! = "section",$A972 = "end group")</formula>
    </cfRule>
    <cfRule type="expression" dxfId="6429" priority="381">
      <formula>AND(#REF!="section",$A972="begin group")</formula>
    </cfRule>
    <cfRule type="expression" dxfId="6428" priority="380">
      <formula xml:space="preserve"> AND(#REF!="gg",$A972 = "end group")</formula>
    </cfRule>
    <cfRule type="expression" dxfId="6427" priority="379">
      <formula xml:space="preserve"> $A972 = "begin group"</formula>
    </cfRule>
    <cfRule type="expression" dxfId="6426" priority="378">
      <formula>AND(#REF! = "section",$A972 = "end group")</formula>
    </cfRule>
    <cfRule type="expression" dxfId="6425" priority="377">
      <formula>AND(#REF!="section",$A972="begin group")</formula>
    </cfRule>
    <cfRule type="expression" dxfId="6424" priority="376">
      <formula xml:space="preserve"> AND(#REF!="gg",$A972 = "end group")</formula>
    </cfRule>
    <cfRule type="expression" dxfId="6423" priority="375">
      <formula xml:space="preserve"> $A972 = "begin group"</formula>
    </cfRule>
    <cfRule type="expression" dxfId="6422" priority="374">
      <formula>AND(#REF! = "section",$A972 = "end group")</formula>
    </cfRule>
    <cfRule type="expression" dxfId="6421" priority="373">
      <formula>AND(#REF!="section",$A972="begin group")</formula>
    </cfRule>
    <cfRule type="expression" dxfId="6420" priority="372">
      <formula xml:space="preserve"> AND(#REF!="gg",$A972 = "end group")</formula>
    </cfRule>
    <cfRule type="expression" dxfId="6419" priority="371">
      <formula xml:space="preserve"> $A972 = "begin group"</formula>
    </cfRule>
    <cfRule type="expression" dxfId="6418" priority="370">
      <formula>AND(#REF! = "section",$A972 = "end group")</formula>
    </cfRule>
    <cfRule type="expression" dxfId="6417" priority="369">
      <formula>AND(#REF!="section",$A972="begin group")</formula>
    </cfRule>
    <cfRule type="expression" dxfId="6416" priority="368">
      <formula xml:space="preserve"> AND(#REF!="gg",$A972 = "end group")</formula>
    </cfRule>
    <cfRule type="expression" dxfId="6415" priority="367">
      <formula xml:space="preserve"> $A972 = "begin group"</formula>
    </cfRule>
    <cfRule type="expression" dxfId="6414" priority="366">
      <formula>AND(#REF! = "section",$A972 = "end group")</formula>
    </cfRule>
    <cfRule type="expression" dxfId="6413" priority="365">
      <formula>AND(#REF!="section",$A972="begin group")</formula>
    </cfRule>
    <cfRule type="expression" dxfId="6412" priority="364">
      <formula xml:space="preserve"> AND(#REF!="gg",$A972 = "end group")</formula>
    </cfRule>
    <cfRule type="expression" dxfId="6411" priority="362">
      <formula>AND(#REF! = "section",$A972 = "end group")</formula>
    </cfRule>
    <cfRule type="expression" dxfId="6410" priority="361">
      <formula>AND(#REF!="section",$A972="begin group")</formula>
    </cfRule>
    <cfRule type="expression" dxfId="6409" priority="360">
      <formula xml:space="preserve"> AND(#REF!="gg",$A972 = "end group")</formula>
    </cfRule>
    <cfRule type="expression" dxfId="6408" priority="359">
      <formula xml:space="preserve"> $A972 = "begin group"</formula>
    </cfRule>
    <cfRule type="expression" dxfId="6407" priority="358">
      <formula>AND(#REF! = "section",$A972 = "end group")</formula>
    </cfRule>
    <cfRule type="expression" dxfId="6406" priority="357">
      <formula>AND(#REF!="section",$A972="begin group")</formula>
    </cfRule>
    <cfRule type="expression" dxfId="6405" priority="356">
      <formula xml:space="preserve"> AND(#REF!="gg",$A972 = "end group")</formula>
    </cfRule>
    <cfRule type="expression" dxfId="6404" priority="355">
      <formula xml:space="preserve"> $A972 = "begin group"</formula>
    </cfRule>
    <cfRule type="expression" dxfId="6403" priority="354">
      <formula>AND(#REF! = "section",$A972 = "end group")</formula>
    </cfRule>
    <cfRule type="expression" dxfId="6402" priority="353">
      <formula>AND(#REF!="section",$A972="begin group")</formula>
    </cfRule>
    <cfRule type="expression" dxfId="6401" priority="352">
      <formula xml:space="preserve"> AND(#REF!="gg",$A972 = "end group")</formula>
    </cfRule>
    <cfRule type="expression" dxfId="6400" priority="351">
      <formula xml:space="preserve"> $A972 = "begin group"</formula>
    </cfRule>
    <cfRule type="expression" dxfId="6399" priority="350">
      <formula>AND(#REF! = "section",$A972 = "end group")</formula>
    </cfRule>
    <cfRule type="expression" dxfId="6398" priority="349">
      <formula>AND(#REF!="section",$A972="begin group")</formula>
    </cfRule>
    <cfRule type="expression" dxfId="6397" priority="348">
      <formula xml:space="preserve"> AND(#REF!="gg",$A972 = "end group")</formula>
    </cfRule>
    <cfRule type="expression" dxfId="6396" priority="347">
      <formula xml:space="preserve"> $A972 = "begin group"</formula>
    </cfRule>
    <cfRule type="expression" dxfId="6395" priority="346">
      <formula>AND(#REF! = "section",$A972 = "end group")</formula>
    </cfRule>
    <cfRule type="expression" dxfId="6394" priority="345">
      <formula>AND(#REF!="section",$A972="begin group")</formula>
    </cfRule>
    <cfRule type="expression" dxfId="6393" priority="363">
      <formula xml:space="preserve"> $A972 = "begin group"</formula>
    </cfRule>
    <cfRule type="expression" dxfId="6392" priority="406">
      <formula>AND(#REF! = "section",$A972 = "end group")</formula>
    </cfRule>
    <cfRule type="expression" dxfId="6391" priority="424">
      <formula xml:space="preserve"> AND(#REF!="gg",$A972 = "end group")</formula>
    </cfRule>
    <cfRule type="expression" dxfId="6390" priority="423">
      <formula xml:space="preserve"> $A972 = "begin group"</formula>
    </cfRule>
    <cfRule type="expression" dxfId="6389" priority="422">
      <formula>AND(#REF! = "section",$A972 = "end group")</formula>
    </cfRule>
    <cfRule type="expression" dxfId="6388" priority="421">
      <formula>AND(#REF!="section",$A972="begin group")</formula>
    </cfRule>
    <cfRule type="expression" dxfId="6387" priority="420">
      <formula xml:space="preserve"> AND(#REF!="gg",$A972 = "end group")</formula>
    </cfRule>
    <cfRule type="expression" dxfId="6386" priority="419">
      <formula xml:space="preserve"> $A972 = "begin group"</formula>
    </cfRule>
    <cfRule type="expression" dxfId="6385" priority="418">
      <formula>AND(#REF! = "section",$A972 = "end group")</formula>
    </cfRule>
    <cfRule type="expression" dxfId="6384" priority="417">
      <formula>AND(#REF!="section",$A972="begin group")</formula>
    </cfRule>
    <cfRule type="expression" dxfId="6383" priority="416">
      <formula xml:space="preserve"> AND(#REF!="gg",$A972 = "end group")</formula>
    </cfRule>
    <cfRule type="expression" dxfId="6382" priority="415">
      <formula xml:space="preserve"> $A972 = "begin group"</formula>
    </cfRule>
    <cfRule type="expression" dxfId="6381" priority="414">
      <formula>AND(#REF! = "section",$A972 = "end group")</formula>
    </cfRule>
    <cfRule type="expression" dxfId="6380" priority="413">
      <formula>AND(#REF!="section",$A972="begin group")</formula>
    </cfRule>
    <cfRule type="expression" dxfId="6379" priority="412">
      <formula xml:space="preserve"> AND(#REF!="gg",$A972 = "end group")</formula>
    </cfRule>
    <cfRule type="expression" dxfId="6378" priority="411">
      <formula xml:space="preserve"> $A972 = "begin group"</formula>
    </cfRule>
    <cfRule type="expression" dxfId="6377" priority="410">
      <formula>AND(#REF! = "section",$A972 = "end group")</formula>
    </cfRule>
    <cfRule type="expression" dxfId="6376" priority="409">
      <formula>AND(#REF!="section",$A972="begin group")</formula>
    </cfRule>
    <cfRule type="expression" dxfId="6375" priority="408">
      <formula xml:space="preserve"> AND(#REF!="gg",$A972 = "end group")</formula>
    </cfRule>
    <cfRule type="expression" dxfId="6374" priority="407">
      <formula xml:space="preserve"> $A972 = "begin group"</formula>
    </cfRule>
    <cfRule type="expression" dxfId="6373" priority="405">
      <formula>AND(#REF!="section",$A972="begin group")</formula>
    </cfRule>
    <cfRule type="expression" dxfId="6372" priority="404">
      <formula xml:space="preserve"> AND(#REF!="gg",$A972 = "end group")</formula>
    </cfRule>
    <cfRule type="expression" dxfId="6371" priority="403">
      <formula xml:space="preserve"> $A972 = "begin group"</formula>
    </cfRule>
    <cfRule type="expression" dxfId="6370" priority="402">
      <formula>AND(#REF! = "section",$A972 = "end group")</formula>
    </cfRule>
    <cfRule type="expression" dxfId="6369" priority="401">
      <formula>AND(#REF!="section",$A972="begin group")</formula>
    </cfRule>
    <cfRule type="expression" dxfId="6368" priority="400">
      <formula xml:space="preserve"> AND(#REF!="gg",$A972 = "end group")</formula>
    </cfRule>
    <cfRule type="expression" dxfId="6367" priority="399">
      <formula xml:space="preserve"> $A972 = "begin group"</formula>
    </cfRule>
    <cfRule type="expression" dxfId="6366" priority="398">
      <formula>AND(#REF! = "section",$A972 = "end group")</formula>
    </cfRule>
    <cfRule type="expression" dxfId="6365" priority="397">
      <formula>AND(#REF!="section",$A972="begin group")</formula>
    </cfRule>
  </conditionalFormatting>
  <conditionalFormatting sqref="E1002">
    <cfRule type="expression" dxfId="6364" priority="261">
      <formula>AND($J1002="section",$A1002="begin group")</formula>
    </cfRule>
    <cfRule type="expression" dxfId="6363" priority="262">
      <formula>AND($J1002 = "section",$A1002 = "end group")</formula>
    </cfRule>
    <cfRule type="expression" dxfId="6362" priority="264">
      <formula xml:space="preserve"> AND($J1002="gg",$A1002 = "end group")</formula>
    </cfRule>
    <cfRule type="expression" dxfId="6361" priority="263">
      <formula xml:space="preserve"> $A1002 = "begin group"</formula>
    </cfRule>
  </conditionalFormatting>
  <conditionalFormatting sqref="E1003:E1016 G1003:G1016">
    <cfRule type="expression" dxfId="6360" priority="1631148">
      <formula>AND($U$1="disabled",#REF!="yes")</formula>
    </cfRule>
    <cfRule type="expression" dxfId="6359" priority="1631149">
      <formula>$A1003 = "begin repeat"</formula>
    </cfRule>
    <cfRule type="expression" dxfId="6358" priority="1631150">
      <formula xml:space="preserve"> #REF! = "end repeat"</formula>
    </cfRule>
  </conditionalFormatting>
  <conditionalFormatting sqref="E1003:E1016">
    <cfRule type="expression" dxfId="6357" priority="198">
      <formula xml:space="preserve"> $A1003 = "begin group"</formula>
    </cfRule>
    <cfRule type="expression" dxfId="6356" priority="213">
      <formula>AND(#REF! = "section",$A1003 = "end group")</formula>
    </cfRule>
    <cfRule type="expression" dxfId="6355" priority="225">
      <formula>AND(#REF! = "section",$A1003 = "end group")</formula>
    </cfRule>
    <cfRule type="expression" dxfId="6354" priority="226">
      <formula xml:space="preserve"> $A1003 = "begin group"</formula>
    </cfRule>
    <cfRule type="expression" dxfId="6353" priority="214">
      <formula xml:space="preserve"> $A1003 = "begin group"</formula>
    </cfRule>
    <cfRule type="expression" dxfId="6352" priority="227">
      <formula xml:space="preserve"> AND(#REF!="gg",$A1003 = "end group")</formula>
    </cfRule>
    <cfRule type="expression" dxfId="6351" priority="228">
      <formula>AND(#REF!="section",$A1003="begin group")</formula>
    </cfRule>
    <cfRule type="expression" dxfId="6350" priority="229">
      <formula>AND(#REF! = "section",$A1003 = "end group")</formula>
    </cfRule>
    <cfRule type="expression" dxfId="6349" priority="230">
      <formula xml:space="preserve"> $A1003 = "begin group"</formula>
    </cfRule>
    <cfRule type="expression" dxfId="6348" priority="252">
      <formula>AND(#REF!="section",$A1003="begin group")</formula>
    </cfRule>
    <cfRule type="expression" dxfId="6347" priority="199">
      <formula xml:space="preserve"> AND(#REF!="gg",$A1003 = "end group")</formula>
    </cfRule>
    <cfRule type="expression" dxfId="6346" priority="231">
      <formula xml:space="preserve"> AND(#REF!="gg",$A1003 = "end group")</formula>
    </cfRule>
    <cfRule type="expression" dxfId="6345" priority="232">
      <formula>AND(#REF!="section",$A1003="begin group")</formula>
    </cfRule>
    <cfRule type="expression" dxfId="6344" priority="233">
      <formula>AND(#REF! = "section",$A1003 = "end group")</formula>
    </cfRule>
    <cfRule type="expression" dxfId="6343" priority="234">
      <formula xml:space="preserve"> $A1003 = "begin group"</formula>
    </cfRule>
    <cfRule type="expression" dxfId="6342" priority="235">
      <formula xml:space="preserve"> AND(#REF!="gg",$A1003 = "end group")</formula>
    </cfRule>
    <cfRule type="expression" dxfId="6341" priority="236">
      <formula>AND(#REF!="section",$A1003="begin group")</formula>
    </cfRule>
    <cfRule type="expression" dxfId="6340" priority="253">
      <formula>AND(#REF! = "section",$A1003 = "end group")</formula>
    </cfRule>
    <cfRule type="expression" dxfId="6339" priority="237">
      <formula>AND(#REF! = "section",$A1003 = "end group")</formula>
    </cfRule>
    <cfRule type="expression" dxfId="6338" priority="238">
      <formula xml:space="preserve"> $A1003 = "begin group"</formula>
    </cfRule>
    <cfRule type="expression" dxfId="6337" priority="239">
      <formula xml:space="preserve"> AND(#REF!="gg",$A1003 = "end group")</formula>
    </cfRule>
    <cfRule type="expression" dxfId="6336" priority="240">
      <formula>AND(#REF!="section",$A1003="begin group")</formula>
    </cfRule>
    <cfRule type="expression" dxfId="6335" priority="215">
      <formula xml:space="preserve"> AND(#REF!="gg",$A1003 = "end group")</formula>
    </cfRule>
    <cfRule type="expression" dxfId="6334" priority="216">
      <formula>AND(#REF!="section",$A1003="begin group")</formula>
    </cfRule>
    <cfRule type="expression" dxfId="6333" priority="217">
      <formula>AND(#REF! = "section",$A1003 = "end group")</formula>
    </cfRule>
    <cfRule type="expression" dxfId="6332" priority="241">
      <formula>AND(#REF! = "section",$A1003 = "end group")</formula>
    </cfRule>
    <cfRule type="expression" dxfId="6331" priority="242">
      <formula xml:space="preserve"> $A1003 = "begin group"</formula>
    </cfRule>
    <cfRule type="expression" dxfId="6330" priority="243">
      <formula xml:space="preserve"> AND(#REF!="gg",$A1003 = "end group")</formula>
    </cfRule>
    <cfRule type="expression" dxfId="6329" priority="244">
      <formula>AND(#REF!="section",$A1003="begin group")</formula>
    </cfRule>
    <cfRule type="expression" dxfId="6328" priority="223">
      <formula xml:space="preserve"> AND(#REF!="gg",$A1003 = "end group")</formula>
    </cfRule>
    <cfRule type="expression" dxfId="6327" priority="245">
      <formula>AND(#REF! = "section",$A1003 = "end group")</formula>
    </cfRule>
    <cfRule type="expression" dxfId="6326" priority="246">
      <formula xml:space="preserve"> $A1003 = "begin group"</formula>
    </cfRule>
    <cfRule type="expression" dxfId="6325" priority="247">
      <formula xml:space="preserve"> AND(#REF!="gg",$A1003 = "end group")</formula>
    </cfRule>
    <cfRule type="expression" dxfId="6324" priority="248">
      <formula>AND(#REF!="section",$A1003="begin group")</formula>
    </cfRule>
    <cfRule type="expression" dxfId="6323" priority="250">
      <formula xml:space="preserve"> $A1003 = "begin group"</formula>
    </cfRule>
    <cfRule type="expression" dxfId="6322" priority="224">
      <formula>AND(#REF!="section",$A1003="begin group")</formula>
    </cfRule>
    <cfRule type="expression" dxfId="6321" priority="176">
      <formula>AND(#REF!="section",$A1003="begin group")</formula>
    </cfRule>
    <cfRule type="expression" dxfId="6320" priority="177">
      <formula>AND(#REF! = "section",$A1003 = "end group")</formula>
    </cfRule>
    <cfRule type="expression" dxfId="6319" priority="178">
      <formula xml:space="preserve"> $A1003 = "begin group"</formula>
    </cfRule>
    <cfRule type="expression" dxfId="6318" priority="179">
      <formula xml:space="preserve"> AND(#REF!="gg",$A1003 = "end group")</formula>
    </cfRule>
    <cfRule type="expression" dxfId="6317" priority="180">
      <formula>AND(#REF!="section",$A1003="begin group")</formula>
    </cfRule>
    <cfRule type="expression" dxfId="6316" priority="181">
      <formula>AND(#REF! = "section",$A1003 = "end group")</formula>
    </cfRule>
    <cfRule type="expression" dxfId="6315" priority="182">
      <formula xml:space="preserve"> $A1003 = "begin group"</formula>
    </cfRule>
    <cfRule type="expression" dxfId="6314" priority="183">
      <formula xml:space="preserve"> AND(#REF!="gg",$A1003 = "end group")</formula>
    </cfRule>
    <cfRule type="expression" dxfId="6313" priority="184">
      <formula>AND(#REF!="section",$A1003="begin group")</formula>
    </cfRule>
    <cfRule type="expression" dxfId="6312" priority="185">
      <formula>AND(#REF! = "section",$A1003 = "end group")</formula>
    </cfRule>
    <cfRule type="expression" dxfId="6311" priority="186">
      <formula xml:space="preserve"> $A1003 = "begin group"</formula>
    </cfRule>
    <cfRule type="expression" dxfId="6310" priority="187">
      <formula xml:space="preserve"> AND(#REF!="gg",$A1003 = "end group")</formula>
    </cfRule>
    <cfRule type="expression" dxfId="6309" priority="188">
      <formula>AND(#REF!="section",$A1003="begin group")</formula>
    </cfRule>
    <cfRule type="expression" dxfId="6308" priority="189">
      <formula>AND(#REF! = "section",$A1003 = "end group")</formula>
    </cfRule>
    <cfRule type="expression" dxfId="6307" priority="195">
      <formula xml:space="preserve"> AND(#REF!="gg",$A1003 = "end group")</formula>
    </cfRule>
    <cfRule type="expression" dxfId="6306" priority="196">
      <formula>AND(#REF!="section",$A1003="begin group")</formula>
    </cfRule>
    <cfRule type="expression" dxfId="6305" priority="197">
      <formula>AND(#REF! = "section",$A1003 = "end group")</formula>
    </cfRule>
    <cfRule type="expression" dxfId="6304" priority="190">
      <formula xml:space="preserve"> $A1003 = "begin group"</formula>
    </cfRule>
    <cfRule type="expression" dxfId="6303" priority="200">
      <formula>AND(#REF!="section",$A1003="begin group")</formula>
    </cfRule>
    <cfRule type="expression" dxfId="6302" priority="249">
      <formula>AND(#REF! = "section",$A1003 = "end group")</formula>
    </cfRule>
    <cfRule type="expression" dxfId="6301" priority="201">
      <formula>AND(#REF! = "section",$A1003 = "end group")</formula>
    </cfRule>
    <cfRule type="expression" dxfId="6300" priority="254">
      <formula xml:space="preserve"> $A1003 = "begin group"</formula>
    </cfRule>
    <cfRule type="expression" dxfId="6299" priority="218">
      <formula xml:space="preserve"> $A1003 = "begin group"</formula>
    </cfRule>
    <cfRule type="expression" dxfId="6298" priority="202">
      <formula xml:space="preserve"> $A1003 = "begin group"</formula>
    </cfRule>
    <cfRule type="expression" dxfId="6297" priority="203">
      <formula xml:space="preserve"> AND(#REF!="gg",$A1003 = "end group")</formula>
    </cfRule>
    <cfRule type="expression" dxfId="6296" priority="204">
      <formula>AND(#REF!="section",$A1003="begin group")</formula>
    </cfRule>
    <cfRule type="expression" dxfId="6295" priority="251">
      <formula xml:space="preserve"> AND(#REF!="gg",$A1003 = "end group")</formula>
    </cfRule>
    <cfRule type="expression" dxfId="6294" priority="205">
      <formula>AND(#REF! = "section",$A1003 = "end group")</formula>
    </cfRule>
    <cfRule type="expression" dxfId="6293" priority="191">
      <formula xml:space="preserve"> AND(#REF!="gg",$A1003 = "end group")</formula>
    </cfRule>
    <cfRule type="expression" dxfId="6292" priority="192">
      <formula>AND(#REF!="section",$A1003="begin group")</formula>
    </cfRule>
    <cfRule type="expression" dxfId="6291" priority="193">
      <formula>AND(#REF! = "section",$A1003 = "end group")</formula>
    </cfRule>
    <cfRule type="expression" dxfId="6290" priority="219">
      <formula xml:space="preserve"> AND(#REF!="gg",$A1003 = "end group")</formula>
    </cfRule>
    <cfRule type="expression" dxfId="6289" priority="255">
      <formula xml:space="preserve"> AND(#REF!="gg",$A1003 = "end group")</formula>
    </cfRule>
    <cfRule type="expression" dxfId="6288" priority="194">
      <formula xml:space="preserve"> $A1003 = "begin group"</formula>
    </cfRule>
    <cfRule type="expression" dxfId="6287" priority="220">
      <formula>AND(#REF!="section",$A1003="begin group")</formula>
    </cfRule>
    <cfRule type="expression" dxfId="6286" priority="206">
      <formula xml:space="preserve"> $A1003 = "begin group"</formula>
    </cfRule>
    <cfRule type="expression" dxfId="6285" priority="207">
      <formula xml:space="preserve"> AND(#REF!="gg",$A1003 = "end group")</formula>
    </cfRule>
    <cfRule type="expression" dxfId="6284" priority="208">
      <formula>AND(#REF!="section",$A1003="begin group")</formula>
    </cfRule>
    <cfRule type="expression" dxfId="6283" priority="209">
      <formula>AND(#REF! = "section",$A1003 = "end group")</formula>
    </cfRule>
    <cfRule type="expression" dxfId="6282" priority="210">
      <formula xml:space="preserve"> $A1003 = "begin group"</formula>
    </cfRule>
    <cfRule type="expression" dxfId="6281" priority="211">
      <formula xml:space="preserve"> AND(#REF!="gg",$A1003 = "end group")</formula>
    </cfRule>
    <cfRule type="expression" dxfId="6280" priority="212">
      <formula>AND(#REF!="section",$A1003="begin group")</formula>
    </cfRule>
    <cfRule type="expression" dxfId="6279" priority="221">
      <formula>AND(#REF! = "section",$A1003 = "end group")</formula>
    </cfRule>
    <cfRule type="expression" dxfId="6278" priority="222">
      <formula xml:space="preserve"> $A1003 = "begin group"</formula>
    </cfRule>
  </conditionalFormatting>
  <conditionalFormatting sqref="E1:F8 E10:F17">
    <cfRule type="expression" dxfId="6277" priority="25567">
      <formula xml:space="preserve"> AND($J1="gg",$A1 = "end group")</formula>
    </cfRule>
    <cfRule type="expression" dxfId="6276" priority="25566">
      <formula xml:space="preserve"> $A1 = "begin group"</formula>
    </cfRule>
  </conditionalFormatting>
  <conditionalFormatting sqref="E2:F2">
    <cfRule type="expression" dxfId="6275" priority="25291">
      <formula xml:space="preserve"> #REF! = "end repeat"</formula>
    </cfRule>
    <cfRule type="expression" dxfId="6274" priority="25290">
      <formula>$A2 = "begin repeat"</formula>
    </cfRule>
    <cfRule type="expression" dxfId="6273" priority="25289">
      <formula>AND($U$1="disabled",$U2="yes")</formula>
    </cfRule>
  </conditionalFormatting>
  <conditionalFormatting sqref="E9:F9 F18:F20 F22:F23">
    <cfRule type="expression" dxfId="6272" priority="25303">
      <formula xml:space="preserve"> #REF! = "end repeat"</formula>
    </cfRule>
    <cfRule type="expression" dxfId="6271" priority="25302">
      <formula>$A9 = "begin repeat"</formula>
    </cfRule>
    <cfRule type="expression" dxfId="6270" priority="25301">
      <formula>AND($T$1="disabled",$T9="yes")</formula>
    </cfRule>
  </conditionalFormatting>
  <conditionalFormatting sqref="E9:F9">
    <cfRule type="expression" dxfId="6269" priority="25307">
      <formula>AND($P9="section",$A9="begin group")</formula>
    </cfRule>
    <cfRule type="expression" dxfId="6268" priority="25310">
      <formula xml:space="preserve"> AND($P9="gg",$A9 = "end group")</formula>
    </cfRule>
    <cfRule type="expression" dxfId="6267" priority="25309">
      <formula xml:space="preserve"> $A9 = "begin group"</formula>
    </cfRule>
  </conditionalFormatting>
  <conditionalFormatting sqref="E36:F37 E38 E127:F130 E131 E209:F210">
    <cfRule type="expression" dxfId="6266" priority="8092">
      <formula>AND($J36 = "section",$A36 = "end group")</formula>
    </cfRule>
  </conditionalFormatting>
  <conditionalFormatting sqref="E114:F115">
    <cfRule type="expression" dxfId="6265" priority="8070">
      <formula>AND($J114 = "section",$A114 = "end group")</formula>
    </cfRule>
  </conditionalFormatting>
  <conditionalFormatting sqref="E123:F124">
    <cfRule type="expression" dxfId="6264" priority="8063">
      <formula>AND($J123 = "section",$A123 = "end group")</formula>
    </cfRule>
  </conditionalFormatting>
  <conditionalFormatting sqref="E124:F124">
    <cfRule type="expression" dxfId="6263" priority="8062">
      <formula>AND($J124="section",$A124="begin group")</formula>
    </cfRule>
  </conditionalFormatting>
  <conditionalFormatting sqref="E200:F201">
    <cfRule type="expression" dxfId="6262" priority="8058">
      <formula>AND($J200="section",$A200="begin group")</formula>
    </cfRule>
    <cfRule type="expression" dxfId="6261" priority="8059">
      <formula>AND($J200 = "section",$A200 = "end group")</formula>
    </cfRule>
  </conditionalFormatting>
  <conditionalFormatting sqref="E205:F206">
    <cfRule type="expression" dxfId="6260" priority="8052">
      <formula>AND($J205 = "section",$A205 = "end group")</formula>
    </cfRule>
  </conditionalFormatting>
  <conditionalFormatting sqref="E206:F206">
    <cfRule type="expression" dxfId="6259" priority="8051">
      <formula>AND($J206="section",$A206="begin group")</formula>
    </cfRule>
  </conditionalFormatting>
  <conditionalFormatting sqref="E346:F346 E245 F273:F276 E211:E213 E241:F244 E273:E277 F347 F211:F212">
    <cfRule type="expression" dxfId="6258" priority="7360">
      <formula xml:space="preserve"> $A211 = "begin group"</formula>
    </cfRule>
    <cfRule type="expression" dxfId="6257" priority="7361">
      <formula xml:space="preserve"> AND($J211="gg",$A211 = "end group")</formula>
    </cfRule>
  </conditionalFormatting>
  <conditionalFormatting sqref="E346:F347">
    <cfRule type="expression" dxfId="6256" priority="7317">
      <formula>AND($J346 = "section",$A346 = "end group")</formula>
    </cfRule>
    <cfRule type="expression" dxfId="6255" priority="7316">
      <formula>AND($J346="section",$A346="begin group")</formula>
    </cfRule>
  </conditionalFormatting>
  <conditionalFormatting sqref="E970:F971">
    <cfRule type="expression" dxfId="6254" priority="579">
      <formula>AND($J970 = "section",$A970 = "end group")</formula>
    </cfRule>
  </conditionalFormatting>
  <conditionalFormatting sqref="E9:I9">
    <cfRule type="expression" dxfId="6253" priority="25308">
      <formula>AND($P9 = "section",$A9 = "end group")</formula>
    </cfRule>
  </conditionalFormatting>
  <conditionalFormatting sqref="F1:F8 F10:F17">
    <cfRule type="expression" dxfId="6252" priority="25776">
      <formula>$A1="calculate"</formula>
    </cfRule>
  </conditionalFormatting>
  <conditionalFormatting sqref="F9">
    <cfRule type="expression" dxfId="6251" priority="25588">
      <formula>$A9="calculate"</formula>
    </cfRule>
  </conditionalFormatting>
  <conditionalFormatting sqref="F18:F20 F22:F23">
    <cfRule type="expression" dxfId="6250" priority="25221">
      <formula>AND($N18="section",$A18="begin group")</formula>
    </cfRule>
    <cfRule type="expression" dxfId="6249" priority="25222">
      <formula>AND($N18 = "section",$A18 = "end group")</formula>
    </cfRule>
    <cfRule type="expression" dxfId="6248" priority="25223">
      <formula xml:space="preserve"> $A18 = "begin group"</formula>
    </cfRule>
    <cfRule type="expression" dxfId="6247" priority="25224">
      <formula xml:space="preserve"> AND($N18="gg",$A18 = "end group")</formula>
    </cfRule>
  </conditionalFormatting>
  <conditionalFormatting sqref="F24">
    <cfRule type="expression" dxfId="6246" priority="25233">
      <formula xml:space="preserve"> #REF! = "begin group"</formula>
    </cfRule>
    <cfRule type="expression" dxfId="6245" priority="25234">
      <formula xml:space="preserve"> AND($N24="gg",#REF! = "end group")</formula>
    </cfRule>
    <cfRule type="expression" dxfId="6244" priority="25236">
      <formula>#REF! = "begin repeat"</formula>
    </cfRule>
    <cfRule type="expression" dxfId="6243" priority="25237">
      <formula xml:space="preserve"> #REF! = "end repeat"</formula>
    </cfRule>
    <cfRule type="expression" dxfId="6242" priority="25231">
      <formula>AND($N24="section",#REF!="begin group")</formula>
    </cfRule>
    <cfRule type="expression" dxfId="6241" priority="25235">
      <formula>AND($T$1="disabled",$T24="yes")</formula>
    </cfRule>
    <cfRule type="expression" dxfId="6240" priority="25232">
      <formula>AND($N24 = "section",#REF! = "end group")</formula>
    </cfRule>
  </conditionalFormatting>
  <conditionalFormatting sqref="F28:F31 E28:E32">
    <cfRule type="expression" dxfId="6239" priority="25391">
      <formula xml:space="preserve"> #REF! = "end repeat"</formula>
    </cfRule>
    <cfRule type="expression" dxfId="6238" priority="25390">
      <formula>$B28 = "begin repeat"</formula>
    </cfRule>
    <cfRule type="expression" dxfId="6237" priority="25389">
      <formula>AND($N$1="disabled",$R28="yes")</formula>
    </cfRule>
    <cfRule type="expression" dxfId="6236" priority="25274">
      <formula xml:space="preserve"> $B28 = "begin group"</formula>
    </cfRule>
    <cfRule type="expression" dxfId="6235" priority="25273">
      <formula>AND($L28 = "section",$B28 = "end group")</formula>
    </cfRule>
    <cfRule type="expression" dxfId="6234" priority="25275">
      <formula xml:space="preserve"> AND($L28="gg",$B28 = "end group")</formula>
    </cfRule>
    <cfRule type="expression" dxfId="6233" priority="25272">
      <formula>AND($L28="section",$B28="begin group")</formula>
    </cfRule>
  </conditionalFormatting>
  <conditionalFormatting sqref="F28:F31">
    <cfRule type="expression" dxfId="6232" priority="25655">
      <formula>$B28="calculate"</formula>
    </cfRule>
  </conditionalFormatting>
  <conditionalFormatting sqref="F36:F37 F124 F206 F200:F201 F209:F210 F127:F130 F39:F106 F110:F114">
    <cfRule type="expression" dxfId="6231" priority="8095">
      <formula>$A36="calculate"</formula>
    </cfRule>
  </conditionalFormatting>
  <conditionalFormatting sqref="F38">
    <cfRule type="expression" dxfId="6230" priority="8090">
      <formula xml:space="preserve"> $A38 = "begin group"</formula>
    </cfRule>
  </conditionalFormatting>
  <conditionalFormatting sqref="F97 H97 B97 J97 F110:F113 H110:H113 B182 J182 F182 H182">
    <cfRule type="expression" dxfId="6229" priority="8532">
      <formula xml:space="preserve"> $A110 = "end repeat"</formula>
    </cfRule>
    <cfRule type="expression" dxfId="6228" priority="8531">
      <formula>$A97 = "begin repeat"</formula>
    </cfRule>
    <cfRule type="expression" dxfId="6227" priority="8530">
      <formula>AND($U$1="disabled",$U97="yes")</formula>
    </cfRule>
  </conditionalFormatting>
  <conditionalFormatting sqref="F107:F108">
    <cfRule type="expression" dxfId="6226" priority="7909">
      <formula>$A107="calculate"</formula>
    </cfRule>
  </conditionalFormatting>
  <conditionalFormatting sqref="F109">
    <cfRule type="expression" dxfId="6225" priority="7879">
      <formula>$A109="calculate"</formula>
    </cfRule>
  </conditionalFormatting>
  <conditionalFormatting sqref="F115 E123:F123 E205:F205 E36:F37 E38 E114:F114 E127:F130 E131 E209:F210">
    <cfRule type="expression" dxfId="6224" priority="8091">
      <formula>AND($J36="section",$A36="begin group")</formula>
    </cfRule>
  </conditionalFormatting>
  <conditionalFormatting sqref="F116:F122">
    <cfRule type="expression" dxfId="6223" priority="8029">
      <formula>$A116="calculate"</formula>
    </cfRule>
  </conditionalFormatting>
  <conditionalFormatting sqref="F123 F115">
    <cfRule type="expression" dxfId="6222" priority="8088">
      <formula>$A115="calculate"</formula>
    </cfRule>
  </conditionalFormatting>
  <conditionalFormatting sqref="F125:F126">
    <cfRule type="expression" dxfId="6221" priority="8027">
      <formula>$A125="calculate"</formula>
    </cfRule>
  </conditionalFormatting>
  <conditionalFormatting sqref="F131">
    <cfRule type="expression" dxfId="6220" priority="8089">
      <formula xml:space="preserve"> $A131 = "begin group"</formula>
    </cfRule>
  </conditionalFormatting>
  <conditionalFormatting sqref="F132:F191 F195:F199">
    <cfRule type="expression" dxfId="6219" priority="8017">
      <formula>$A132="calculate"</formula>
    </cfRule>
  </conditionalFormatting>
  <conditionalFormatting sqref="F192:F193">
    <cfRule type="expression" dxfId="6218" priority="7834">
      <formula>$A192="calculate"</formula>
    </cfRule>
  </conditionalFormatting>
  <conditionalFormatting sqref="F194">
    <cfRule type="expression" dxfId="6217" priority="7807">
      <formula>$A194="calculate"</formula>
    </cfRule>
  </conditionalFormatting>
  <conditionalFormatting sqref="F195:F199 H195:H199">
    <cfRule type="expression" dxfId="6216" priority="8554">
      <formula>AND($U$1="disabled",$U195="yes")</formula>
    </cfRule>
    <cfRule type="expression" dxfId="6215" priority="8556">
      <formula xml:space="preserve"> $A209 = "end repeat"</formula>
    </cfRule>
    <cfRule type="expression" dxfId="6214" priority="8555">
      <formula>$A195 = "begin repeat"</formula>
    </cfRule>
  </conditionalFormatting>
  <conditionalFormatting sqref="F202">
    <cfRule type="expression" dxfId="6213" priority="8086">
      <formula>$A202="calculate"</formula>
    </cfRule>
  </conditionalFormatting>
  <conditionalFormatting sqref="F203:F204">
    <cfRule type="expression" dxfId="6212" priority="8081">
      <formula>$A203="calculate"</formula>
    </cfRule>
  </conditionalFormatting>
  <conditionalFormatting sqref="F205">
    <cfRule type="expression" dxfId="6211" priority="8087">
      <formula>$A205="calculate"</formula>
    </cfRule>
  </conditionalFormatting>
  <conditionalFormatting sqref="F206 E200:F200 E205:F205 E114:F114 E36:F37 E131 E123:F123 E38 E127:F130 F115 F124 F201 E209:F210">
    <cfRule type="expression" dxfId="6210" priority="8093">
      <formula xml:space="preserve"> $A36 = "begin group"</formula>
    </cfRule>
    <cfRule type="expression" dxfId="6209" priority="8094">
      <formula xml:space="preserve"> AND($J36="gg",$A36 = "end group")</formula>
    </cfRule>
  </conditionalFormatting>
  <conditionalFormatting sqref="F207:F208">
    <cfRule type="expression" dxfId="6208" priority="8015">
      <formula>$A207="calculate"</formula>
    </cfRule>
  </conditionalFormatting>
  <conditionalFormatting sqref="F213">
    <cfRule type="expression" dxfId="6207" priority="7357">
      <formula xml:space="preserve"> $A213 = "begin group"</formula>
    </cfRule>
  </conditionalFormatting>
  <conditionalFormatting sqref="F214:F240">
    <cfRule type="expression" dxfId="6206" priority="7307">
      <formula>$A214="calculate"</formula>
    </cfRule>
  </conditionalFormatting>
  <conditionalFormatting sqref="F241:F244 F346:F347 F273:F276 F211:F212 F356:F357">
    <cfRule type="expression" dxfId="6205" priority="7362">
      <formula>$A211="calculate"</formula>
    </cfRule>
  </conditionalFormatting>
  <conditionalFormatting sqref="F245">
    <cfRule type="expression" dxfId="6204" priority="7356">
      <formula xml:space="preserve"> $A245 = "begin group"</formula>
    </cfRule>
  </conditionalFormatting>
  <conditionalFormatting sqref="F246:F272">
    <cfRule type="expression" dxfId="6203" priority="7297">
      <formula>$A246="calculate"</formula>
    </cfRule>
  </conditionalFormatting>
  <conditionalFormatting sqref="F273:F276 E273:E277 F211:F212 E211:E213 E241:F244 E245">
    <cfRule type="expression" dxfId="6202" priority="7358">
      <formula>AND($J211="section",$A211="begin group")</formula>
    </cfRule>
    <cfRule type="expression" dxfId="6201" priority="7359">
      <formula>AND($J211 = "section",$A211 = "end group")</formula>
    </cfRule>
  </conditionalFormatting>
  <conditionalFormatting sqref="F277">
    <cfRule type="expression" dxfId="6200" priority="7355">
      <formula xml:space="preserve"> $A277 = "begin group"</formula>
    </cfRule>
  </conditionalFormatting>
  <conditionalFormatting sqref="F278:F305">
    <cfRule type="expression" dxfId="6199" priority="7287">
      <formula>$A278="calculate"</formula>
    </cfRule>
  </conditionalFormatting>
  <conditionalFormatting sqref="F302:F305 H302:H305">
    <cfRule type="expression" dxfId="6198" priority="7187">
      <formula>$A302 = "begin repeat"</formula>
    </cfRule>
    <cfRule type="expression" dxfId="6197" priority="7186">
      <formula>AND($U$1="disabled",$U302="yes")</formula>
    </cfRule>
    <cfRule type="expression" dxfId="6196" priority="7188">
      <formula xml:space="preserve"> $A345 = "end repeat"</formula>
    </cfRule>
  </conditionalFormatting>
  <conditionalFormatting sqref="F306:F311">
    <cfRule type="expression" dxfId="6195" priority="7216">
      <formula>$A306="calculate"</formula>
    </cfRule>
  </conditionalFormatting>
  <conditionalFormatting sqref="F315:F317 H315:H317">
    <cfRule type="expression" dxfId="6194" priority="7191">
      <formula xml:space="preserve"> $A356 = "end repeat"</formula>
    </cfRule>
    <cfRule type="expression" dxfId="6193" priority="7190">
      <formula>$A315 = "begin repeat"</formula>
    </cfRule>
    <cfRule type="expression" dxfId="6192" priority="7189">
      <formula>AND($U$1="disabled",$U315="yes")</formula>
    </cfRule>
  </conditionalFormatting>
  <conditionalFormatting sqref="F348:F351">
    <cfRule type="expression" dxfId="6191" priority="7285">
      <formula>$A348="calculate"</formula>
    </cfRule>
  </conditionalFormatting>
  <conditionalFormatting sqref="F352">
    <cfRule type="expression" dxfId="6190" priority="7019">
      <formula>$A352="calculate"</formula>
    </cfRule>
  </conditionalFormatting>
  <conditionalFormatting sqref="F354 H354:I354 K354">
    <cfRule type="expression" dxfId="6189" priority="6951">
      <formula>$A354="calculate"</formula>
    </cfRule>
  </conditionalFormatting>
  <conditionalFormatting sqref="F360">
    <cfRule type="expression" dxfId="6188" priority="6452">
      <formula xml:space="preserve"> $A360 = "begin group"</formula>
    </cfRule>
  </conditionalFormatting>
  <conditionalFormatting sqref="F361:F391">
    <cfRule type="expression" dxfId="6187" priority="6432">
      <formula>$A361="calculate"</formula>
    </cfRule>
  </conditionalFormatting>
  <conditionalFormatting sqref="F392">
    <cfRule type="expression" dxfId="6186" priority="6349">
      <formula>$A392="calculate"</formula>
    </cfRule>
  </conditionalFormatting>
  <conditionalFormatting sqref="F396">
    <cfRule type="expression" dxfId="6185" priority="5961">
      <formula>$A396="calculate"</formula>
    </cfRule>
  </conditionalFormatting>
  <conditionalFormatting sqref="F397">
    <cfRule type="expression" dxfId="6184" priority="5690">
      <formula>$A397="calculate"</formula>
    </cfRule>
  </conditionalFormatting>
  <conditionalFormatting sqref="F398">
    <cfRule type="expression" dxfId="6183" priority="6293">
      <formula>$A398="calculate"</formula>
    </cfRule>
  </conditionalFormatting>
  <conditionalFormatting sqref="F399">
    <cfRule type="expression" dxfId="6182" priority="6262">
      <formula>$A399="calculate"</formula>
    </cfRule>
  </conditionalFormatting>
  <conditionalFormatting sqref="F400">
    <cfRule type="expression" dxfId="6181" priority="6231">
      <formula>$A400="calculate"</formula>
    </cfRule>
  </conditionalFormatting>
  <conditionalFormatting sqref="F401">
    <cfRule type="expression" dxfId="6180" priority="3417">
      <formula>$A401="calculate"</formula>
    </cfRule>
  </conditionalFormatting>
  <conditionalFormatting sqref="F402">
    <cfRule type="expression" dxfId="6179" priority="3383">
      <formula>$A402="calculate"</formula>
    </cfRule>
  </conditionalFormatting>
  <conditionalFormatting sqref="F403">
    <cfRule type="expression" dxfId="6178" priority="5927">
      <formula>$A403="calculate"</formula>
    </cfRule>
  </conditionalFormatting>
  <conditionalFormatting sqref="F404">
    <cfRule type="expression" dxfId="6177" priority="5766">
      <formula>$A404="calculate"</formula>
    </cfRule>
  </conditionalFormatting>
  <conditionalFormatting sqref="F405">
    <cfRule type="expression" dxfId="6176" priority="6200">
      <formula>$A405="calculate"</formula>
    </cfRule>
  </conditionalFormatting>
  <conditionalFormatting sqref="F406">
    <cfRule type="expression" dxfId="6175" priority="6169">
      <formula>$A406="calculate"</formula>
    </cfRule>
  </conditionalFormatting>
  <conditionalFormatting sqref="F407">
    <cfRule type="expression" dxfId="6174" priority="5896">
      <formula>$A407="calculate"</formula>
    </cfRule>
  </conditionalFormatting>
  <conditionalFormatting sqref="F408">
    <cfRule type="expression" dxfId="6173" priority="5797">
      <formula>$A408="calculate"</formula>
    </cfRule>
  </conditionalFormatting>
  <conditionalFormatting sqref="F409">
    <cfRule type="expression" dxfId="6172" priority="5865">
      <formula>$A409="calculate"</formula>
    </cfRule>
  </conditionalFormatting>
  <conditionalFormatting sqref="F410">
    <cfRule type="expression" dxfId="6171" priority="6129">
      <formula>$A410="calculate"</formula>
    </cfRule>
  </conditionalFormatting>
  <conditionalFormatting sqref="F411">
    <cfRule type="expression" dxfId="6170" priority="6098">
      <formula>$A411="calculate"</formula>
    </cfRule>
  </conditionalFormatting>
  <conditionalFormatting sqref="F412">
    <cfRule type="expression" dxfId="6169" priority="5834">
      <formula>$A412="calculate"</formula>
    </cfRule>
  </conditionalFormatting>
  <conditionalFormatting sqref="F413">
    <cfRule type="expression" dxfId="6168" priority="5656">
      <formula>$A413="calculate"</formula>
    </cfRule>
  </conditionalFormatting>
  <conditionalFormatting sqref="F414">
    <cfRule type="expression" dxfId="6167" priority="6067">
      <formula>$A414="calculate"</formula>
    </cfRule>
  </conditionalFormatting>
  <conditionalFormatting sqref="F415">
    <cfRule type="expression" dxfId="6166" priority="6036">
      <formula>$A415="calculate"</formula>
    </cfRule>
  </conditionalFormatting>
  <conditionalFormatting sqref="F416">
    <cfRule type="expression" dxfId="6165" priority="3346">
      <formula>$A416="calculate"</formula>
    </cfRule>
  </conditionalFormatting>
  <conditionalFormatting sqref="F417">
    <cfRule type="expression" dxfId="6164" priority="3226">
      <formula>$A417="calculate"</formula>
    </cfRule>
  </conditionalFormatting>
  <conditionalFormatting sqref="F418">
    <cfRule type="expression" dxfId="6163" priority="3195">
      <formula>$A418="calculate"</formula>
    </cfRule>
  </conditionalFormatting>
  <conditionalFormatting sqref="F419">
    <cfRule type="expression" dxfId="6162" priority="3288">
      <formula>$A419="calculate"</formula>
    </cfRule>
  </conditionalFormatting>
  <conditionalFormatting sqref="F420">
    <cfRule type="expression" dxfId="6161" priority="3257">
      <formula>$A420="calculate"</formula>
    </cfRule>
  </conditionalFormatting>
  <conditionalFormatting sqref="F421:F424 F486:F489 E421:E425 E486:E490 E557:F558">
    <cfRule type="expression" dxfId="6160" priority="6456">
      <formula xml:space="preserve"> AND($J421="gg",$A421 = "end group")</formula>
    </cfRule>
    <cfRule type="expression" dxfId="6159" priority="6455">
      <formula xml:space="preserve"> $A421 = "begin group"</formula>
    </cfRule>
  </conditionalFormatting>
  <conditionalFormatting sqref="F425">
    <cfRule type="expression" dxfId="6158" priority="6451">
      <formula xml:space="preserve"> $A425 = "begin group"</formula>
    </cfRule>
  </conditionalFormatting>
  <conditionalFormatting sqref="F426:F456">
    <cfRule type="expression" dxfId="6157" priority="6422">
      <formula>$A426="calculate"</formula>
    </cfRule>
  </conditionalFormatting>
  <conditionalFormatting sqref="F457 H457 D526:D527 I526:I527">
    <cfRule type="expression" dxfId="6156" priority="6606">
      <formula>$A457 = "begin repeat"</formula>
    </cfRule>
    <cfRule type="expression" dxfId="6155" priority="6607">
      <formula xml:space="preserve"> $A497 = "end repeat"</formula>
    </cfRule>
    <cfRule type="expression" dxfId="6154" priority="6605">
      <formula>AND($U$1="disabled",$U457="yes")</formula>
    </cfRule>
  </conditionalFormatting>
  <conditionalFormatting sqref="F457">
    <cfRule type="expression" dxfId="6153" priority="6324">
      <formula>$A457="calculate"</formula>
    </cfRule>
  </conditionalFormatting>
  <conditionalFormatting sqref="F461">
    <cfRule type="expression" dxfId="6152" priority="5307">
      <formula>$A461="calculate"</formula>
    </cfRule>
  </conditionalFormatting>
  <conditionalFormatting sqref="F462">
    <cfRule type="expression" dxfId="6151" priority="5048">
      <formula>$A462="calculate"</formula>
    </cfRule>
  </conditionalFormatting>
  <conditionalFormatting sqref="F463">
    <cfRule type="expression" dxfId="6150" priority="5586">
      <formula>$A463="calculate"</formula>
    </cfRule>
  </conditionalFormatting>
  <conditionalFormatting sqref="F464">
    <cfRule type="expression" dxfId="6149" priority="5555">
      <formula>$A464="calculate"</formula>
    </cfRule>
  </conditionalFormatting>
  <conditionalFormatting sqref="F465">
    <cfRule type="expression" dxfId="6148" priority="5524">
      <formula>$A465="calculate"</formula>
    </cfRule>
  </conditionalFormatting>
  <conditionalFormatting sqref="F466">
    <cfRule type="expression" dxfId="6147" priority="3703">
      <formula>$A466="calculate"</formula>
    </cfRule>
  </conditionalFormatting>
  <conditionalFormatting sqref="F467">
    <cfRule type="expression" dxfId="6146" priority="3665">
      <formula>$A467="calculate"</formula>
    </cfRule>
  </conditionalFormatting>
  <conditionalFormatting sqref="F468">
    <cfRule type="expression" dxfId="6145" priority="5276">
      <formula>$A468="calculate"</formula>
    </cfRule>
  </conditionalFormatting>
  <conditionalFormatting sqref="F469">
    <cfRule type="expression" dxfId="6144" priority="5121">
      <formula>$A469="calculate"</formula>
    </cfRule>
  </conditionalFormatting>
  <conditionalFormatting sqref="F470">
    <cfRule type="expression" dxfId="6143" priority="5493">
      <formula>$A470="calculate"</formula>
    </cfRule>
  </conditionalFormatting>
  <conditionalFormatting sqref="F471">
    <cfRule type="expression" dxfId="6142" priority="5462">
      <formula>$A471="calculate"</formula>
    </cfRule>
  </conditionalFormatting>
  <conditionalFormatting sqref="F472">
    <cfRule type="expression" dxfId="6141" priority="5245">
      <formula>$A472="calculate"</formula>
    </cfRule>
  </conditionalFormatting>
  <conditionalFormatting sqref="F473">
    <cfRule type="expression" dxfId="6140" priority="5152">
      <formula>$A473="calculate"</formula>
    </cfRule>
  </conditionalFormatting>
  <conditionalFormatting sqref="F473:F474 H473:H474 F408:F409 H408:H409 K532:K533">
    <cfRule type="expression" dxfId="6139" priority="6766">
      <formula xml:space="preserve"> $A436 = "end repeat"</formula>
    </cfRule>
    <cfRule type="expression" dxfId="6138" priority="6765">
      <formula>$A408 = "begin repeat"</formula>
    </cfRule>
    <cfRule type="expression" dxfId="6137" priority="6764">
      <formula>AND($U$1="disabled",$U408="yes")</formula>
    </cfRule>
  </conditionalFormatting>
  <conditionalFormatting sqref="F474">
    <cfRule type="expression" dxfId="6136" priority="5214">
      <formula>$A474="calculate"</formula>
    </cfRule>
  </conditionalFormatting>
  <conditionalFormatting sqref="F475">
    <cfRule type="expression" dxfId="6135" priority="5431">
      <formula>$A475="calculate"</formula>
    </cfRule>
  </conditionalFormatting>
  <conditionalFormatting sqref="F476">
    <cfRule type="expression" dxfId="6134" priority="5400">
      <formula>$A476="calculate"</formula>
    </cfRule>
  </conditionalFormatting>
  <conditionalFormatting sqref="F477">
    <cfRule type="expression" dxfId="6133" priority="5183">
      <formula>$A477="calculate"</formula>
    </cfRule>
  </conditionalFormatting>
  <conditionalFormatting sqref="F478">
    <cfRule type="expression" dxfId="6132" priority="5017">
      <formula>$A478="calculate"</formula>
    </cfRule>
  </conditionalFormatting>
  <conditionalFormatting sqref="F479">
    <cfRule type="expression" dxfId="6131" priority="5369">
      <formula>$A479="calculate"</formula>
    </cfRule>
  </conditionalFormatting>
  <conditionalFormatting sqref="F480">
    <cfRule type="expression" dxfId="6130" priority="5338">
      <formula>$A480="calculate"</formula>
    </cfRule>
  </conditionalFormatting>
  <conditionalFormatting sqref="F481 F416 J549 H481 H416 F463:F467 H463:H467 F398:F402 H398:H402">
    <cfRule type="expression" dxfId="6129" priority="6683">
      <formula xml:space="preserve"> $A434 = "end repeat"</formula>
    </cfRule>
    <cfRule type="expression" dxfId="6128" priority="6682">
      <formula>$A398 = "begin repeat"</formula>
    </cfRule>
    <cfRule type="expression" dxfId="6127" priority="6681">
      <formula>AND($U$1="disabled",$U398="yes")</formula>
    </cfRule>
  </conditionalFormatting>
  <conditionalFormatting sqref="F481">
    <cfRule type="expression" dxfId="6126" priority="3621">
      <formula>$A481="calculate"</formula>
    </cfRule>
  </conditionalFormatting>
  <conditionalFormatting sqref="F482">
    <cfRule type="expression" dxfId="6125" priority="3479">
      <formula>$A482="calculate"</formula>
    </cfRule>
  </conditionalFormatting>
  <conditionalFormatting sqref="F483">
    <cfRule type="expression" dxfId="6124" priority="3448">
      <formula>$A483="calculate"</formula>
    </cfRule>
  </conditionalFormatting>
  <conditionalFormatting sqref="F484">
    <cfRule type="expression" dxfId="6123" priority="3541">
      <formula>$A484="calculate"</formula>
    </cfRule>
  </conditionalFormatting>
  <conditionalFormatting sqref="F485">
    <cfRule type="expression" dxfId="6122" priority="3510">
      <formula>$A485="calculate"</formula>
    </cfRule>
  </conditionalFormatting>
  <conditionalFormatting sqref="F490">
    <cfRule type="expression" dxfId="6121" priority="6450">
      <formula xml:space="preserve"> $A490 = "begin group"</formula>
    </cfRule>
  </conditionalFormatting>
  <conditionalFormatting sqref="F491:F521">
    <cfRule type="expression" dxfId="6120" priority="6412">
      <formula>$A491="calculate"</formula>
    </cfRule>
  </conditionalFormatting>
  <conditionalFormatting sqref="F522 H522 K468 K403 K482 K417">
    <cfRule type="expression" dxfId="6119" priority="6496">
      <formula xml:space="preserve"> $A448 = "end repeat"</formula>
    </cfRule>
    <cfRule type="expression" dxfId="6118" priority="6495">
      <formula>$A403 = "begin repeat"</formula>
    </cfRule>
    <cfRule type="expression" dxfId="6117" priority="6494">
      <formula>AND($U$1="disabled",$U403="yes")</formula>
    </cfRule>
  </conditionalFormatting>
  <conditionalFormatting sqref="F522">
    <cfRule type="expression" dxfId="6116" priority="5998">
      <formula>$A522="calculate"</formula>
    </cfRule>
  </conditionalFormatting>
  <conditionalFormatting sqref="F526">
    <cfRule type="expression" dxfId="6115" priority="4660">
      <formula>$A526="calculate"</formula>
    </cfRule>
  </conditionalFormatting>
  <conditionalFormatting sqref="F527">
    <cfRule type="expression" dxfId="6114" priority="4607">
      <formula>$A527="calculate"</formula>
    </cfRule>
  </conditionalFormatting>
  <conditionalFormatting sqref="F529">
    <cfRule type="expression" dxfId="6113" priority="4969">
      <formula>$A529="calculate"</formula>
    </cfRule>
  </conditionalFormatting>
  <conditionalFormatting sqref="F530">
    <cfRule type="expression" dxfId="6112" priority="4940">
      <formula>$A530="calculate"</formula>
    </cfRule>
  </conditionalFormatting>
  <conditionalFormatting sqref="F531">
    <cfRule type="expression" dxfId="6111" priority="3805">
      <formula>$A531="calculate"</formula>
    </cfRule>
  </conditionalFormatting>
  <conditionalFormatting sqref="F532">
    <cfRule type="expression" dxfId="6110" priority="4578">
      <formula>$A532="calculate"</formula>
    </cfRule>
  </conditionalFormatting>
  <conditionalFormatting sqref="F533">
    <cfRule type="expression" dxfId="6109" priority="3743">
      <formula>$A533="calculate"</formula>
    </cfRule>
  </conditionalFormatting>
  <conditionalFormatting sqref="F534">
    <cfRule type="expression" dxfId="6108" priority="4795">
      <formula>$A534="calculate"</formula>
    </cfRule>
  </conditionalFormatting>
  <conditionalFormatting sqref="F535">
    <cfRule type="expression" dxfId="6107" priority="4737">
      <formula>$A535="calculate"</formula>
    </cfRule>
  </conditionalFormatting>
  <conditionalFormatting sqref="F536">
    <cfRule type="expression" dxfId="6106" priority="4911">
      <formula>$A536="calculate"</formula>
    </cfRule>
  </conditionalFormatting>
  <conditionalFormatting sqref="F537">
    <cfRule type="expression" dxfId="6105" priority="4549">
      <formula>$A537="calculate"</formula>
    </cfRule>
  </conditionalFormatting>
  <conditionalFormatting sqref="F538">
    <cfRule type="expression" dxfId="6104" priority="4520">
      <formula>$A538="calculate"</formula>
    </cfRule>
  </conditionalFormatting>
  <conditionalFormatting sqref="F539">
    <cfRule type="expression" dxfId="6103" priority="4491">
      <formula>$A539="calculate"</formula>
    </cfRule>
  </conditionalFormatting>
  <conditionalFormatting sqref="F540">
    <cfRule type="expression" dxfId="6102" priority="4882">
      <formula>$A540="calculate"</formula>
    </cfRule>
  </conditionalFormatting>
  <conditionalFormatting sqref="F541">
    <cfRule type="expression" dxfId="6101" priority="4853">
      <formula>$A541="calculate"</formula>
    </cfRule>
  </conditionalFormatting>
  <conditionalFormatting sqref="F542">
    <cfRule type="expression" dxfId="6100" priority="4375">
      <formula>$A542="calculate"</formula>
    </cfRule>
  </conditionalFormatting>
  <conditionalFormatting sqref="F543">
    <cfRule type="expression" dxfId="6099" priority="4766">
      <formula>$A543="calculate"</formula>
    </cfRule>
  </conditionalFormatting>
  <conditionalFormatting sqref="F544">
    <cfRule type="expression" dxfId="6098" priority="4689">
      <formula>$A544="calculate"</formula>
    </cfRule>
  </conditionalFormatting>
  <conditionalFormatting sqref="F545">
    <cfRule type="expression" dxfId="6097" priority="4824">
      <formula>$A545="calculate"</formula>
    </cfRule>
  </conditionalFormatting>
  <conditionalFormatting sqref="F546">
    <cfRule type="expression" dxfId="6096" priority="4462">
      <formula>$A546="calculate"</formula>
    </cfRule>
  </conditionalFormatting>
  <conditionalFormatting sqref="F547">
    <cfRule type="expression" dxfId="6095" priority="4433">
      <formula>$A547="calculate"</formula>
    </cfRule>
  </conditionalFormatting>
  <conditionalFormatting sqref="F548">
    <cfRule type="expression" dxfId="6094" priority="4404">
      <formula>$A548="calculate"</formula>
    </cfRule>
  </conditionalFormatting>
  <conditionalFormatting sqref="F549">
    <cfRule type="expression" dxfId="6093" priority="4133">
      <formula>$A549="calculate"</formula>
    </cfRule>
  </conditionalFormatting>
  <conditionalFormatting sqref="F550">
    <cfRule type="expression" dxfId="6092" priority="4074">
      <formula>$A550="calculate"</formula>
    </cfRule>
  </conditionalFormatting>
  <conditionalFormatting sqref="F551">
    <cfRule type="expression" dxfId="6091" priority="3965">
      <formula>$A551="calculate"</formula>
    </cfRule>
  </conditionalFormatting>
  <conditionalFormatting sqref="F552">
    <cfRule type="expression" dxfId="6090" priority="3936">
      <formula>$A552="calculate"</formula>
    </cfRule>
  </conditionalFormatting>
  <conditionalFormatting sqref="F553">
    <cfRule type="expression" dxfId="6089" priority="3994">
      <formula>$A553="calculate"</formula>
    </cfRule>
  </conditionalFormatting>
  <conditionalFormatting sqref="F554">
    <cfRule type="expression" dxfId="6088" priority="3907">
      <formula>$A554="calculate"</formula>
    </cfRule>
  </conditionalFormatting>
  <conditionalFormatting sqref="F555">
    <cfRule type="expression" dxfId="6087" priority="3878">
      <formula>$A555="calculate"</formula>
    </cfRule>
  </conditionalFormatting>
  <conditionalFormatting sqref="F556">
    <cfRule type="expression" dxfId="6086" priority="3849">
      <formula>$A556="calculate"</formula>
    </cfRule>
  </conditionalFormatting>
  <conditionalFormatting sqref="F557:F558 F421:F424 F486:F489 F358:F359">
    <cfRule type="expression" dxfId="6085" priority="6457">
      <formula>$A358="calculate"</formula>
    </cfRule>
  </conditionalFormatting>
  <conditionalFormatting sqref="F559:F560 E559:E561 E639:F640 F641:F642 F704 E705:I705 F706:F707 F739:F742 E739:E743 A788:I789 F790:F791 F813:F816 E813:E817 E839:F840">
    <cfRule type="expression" dxfId="6084" priority="2282">
      <formula>AND($J559="section",$A559="begin group")</formula>
    </cfRule>
  </conditionalFormatting>
  <conditionalFormatting sqref="F561">
    <cfRule type="expression" dxfId="6083" priority="2281">
      <formula xml:space="preserve"> $A561 = "begin group"</formula>
    </cfRule>
  </conditionalFormatting>
  <conditionalFormatting sqref="F580 H580">
    <cfRule type="expression" dxfId="6082" priority="2087">
      <formula xml:space="preserve"> $A648 = "end repeat"</formula>
    </cfRule>
    <cfRule type="expression" dxfId="6081" priority="2086">
      <formula>$A580 = "begin repeat"</formula>
    </cfRule>
    <cfRule type="expression" dxfId="6080" priority="2085">
      <formula>AND($U$1="disabled",$U580="yes")</formula>
    </cfRule>
  </conditionalFormatting>
  <conditionalFormatting sqref="F589 H589">
    <cfRule type="expression" dxfId="6079" priority="2245">
      <formula>AND($U$1="disabled",$U589="yes")</formula>
    </cfRule>
    <cfRule type="expression" dxfId="6078" priority="2246">
      <formula>$A589 = "begin repeat"</formula>
    </cfRule>
    <cfRule type="expression" dxfId="6077" priority="2247">
      <formula xml:space="preserve"> $A580 = "end repeat"</formula>
    </cfRule>
  </conditionalFormatting>
  <conditionalFormatting sqref="F604:F605">
    <cfRule type="expression" dxfId="6076" priority="2118">
      <formula>$A604="calculate"</formula>
    </cfRule>
  </conditionalFormatting>
  <conditionalFormatting sqref="F606:F607">
    <cfRule type="expression" dxfId="6075" priority="2227">
      <formula>$A606="calculate"</formula>
    </cfRule>
  </conditionalFormatting>
  <conditionalFormatting sqref="F612 H612 A613 D613 I613 L613:W613 R641 H616:H620 F616:F620 J726:J728">
    <cfRule type="expression" dxfId="6074" priority="2655">
      <formula>AND($U$1="disabled",$U612="yes")</formula>
    </cfRule>
    <cfRule type="expression" dxfId="6073" priority="2656">
      <formula>$A612 = "begin repeat"</formula>
    </cfRule>
    <cfRule type="expression" dxfId="6072" priority="2657">
      <formula xml:space="preserve"> $A635 = "end repeat"</formula>
    </cfRule>
  </conditionalFormatting>
  <conditionalFormatting sqref="F615 H615 K637 K683 C835 C837 C833 K571:K573 K639:W640 A639:I640 B832:B838 J832:J838">
    <cfRule type="expression" dxfId="6071" priority="2682">
      <formula>AND($U$1="disabled",$U571="yes")</formula>
    </cfRule>
    <cfRule type="expression" dxfId="6070" priority="2684">
      <formula xml:space="preserve"> $A592 = "end repeat"</formula>
    </cfRule>
    <cfRule type="expression" dxfId="6069" priority="2683">
      <formula>$A571 = "begin repeat"</formula>
    </cfRule>
  </conditionalFormatting>
  <conditionalFormatting sqref="F624 H624">
    <cfRule type="expression" dxfId="6068" priority="1638">
      <formula xml:space="preserve"> $A718 = "end repeat"</formula>
    </cfRule>
    <cfRule type="expression" dxfId="6067" priority="1637">
      <formula>$A624 = "begin repeat"</formula>
    </cfRule>
    <cfRule type="expression" dxfId="6066" priority="1636">
      <formula>AND($U$1="disabled",$U624="yes")</formula>
    </cfRule>
  </conditionalFormatting>
  <conditionalFormatting sqref="F633 H633">
    <cfRule type="expression" dxfId="6065" priority="2238">
      <formula xml:space="preserve"> $A621 = "end repeat"</formula>
    </cfRule>
    <cfRule type="expression" dxfId="6064" priority="2237">
      <formula>$A633 = "begin repeat"</formula>
    </cfRule>
    <cfRule type="expression" dxfId="6063" priority="2236">
      <formula>AND($U$1="disabled",$U633="yes")</formula>
    </cfRule>
  </conditionalFormatting>
  <conditionalFormatting sqref="F634 H634">
    <cfRule type="expression" dxfId="6062" priority="2290">
      <formula>AND($U$1="disabled",$U634="yes")</formula>
    </cfRule>
    <cfRule type="expression" dxfId="6061" priority="2291">
      <formula>$A634 = "begin repeat"</formula>
    </cfRule>
    <cfRule type="expression" dxfId="6060" priority="2292">
      <formula xml:space="preserve"> $A639 = "end repeat"</formula>
    </cfRule>
  </conditionalFormatting>
  <conditionalFormatting sqref="F643">
    <cfRule type="expression" dxfId="6059" priority="2280">
      <formula xml:space="preserve"> $A643 = "begin group"</formula>
    </cfRule>
  </conditionalFormatting>
  <conditionalFormatting sqref="F644:F679">
    <cfRule type="expression" dxfId="6058" priority="2217">
      <formula>$A644="calculate"</formula>
    </cfRule>
  </conditionalFormatting>
  <conditionalFormatting sqref="F680 F682:F693">
    <cfRule type="expression" dxfId="6057" priority="1799">
      <formula>$A680="calculate"</formula>
    </cfRule>
  </conditionalFormatting>
  <conditionalFormatting sqref="F681">
    <cfRule type="expression" dxfId="6056" priority="1734">
      <formula>$A681="calculate"</formula>
    </cfRule>
  </conditionalFormatting>
  <conditionalFormatting sqref="F699">
    <cfRule type="expression" dxfId="6055" priority="1671">
      <formula>$A699="calculate"</formula>
    </cfRule>
  </conditionalFormatting>
  <conditionalFormatting sqref="F700">
    <cfRule type="expression" dxfId="6054" priority="1640">
      <formula>$A700="calculate"</formula>
    </cfRule>
  </conditionalFormatting>
  <conditionalFormatting sqref="F701">
    <cfRule type="expression" dxfId="6053" priority="1606">
      <formula>$A701="calculate"</formula>
    </cfRule>
  </conditionalFormatting>
  <conditionalFormatting sqref="F702">
    <cfRule type="expression" dxfId="6052" priority="1567">
      <formula>$A702="calculate"</formula>
    </cfRule>
  </conditionalFormatting>
  <conditionalFormatting sqref="F708">
    <cfRule type="expression" dxfId="6051" priority="2279">
      <formula xml:space="preserve"> $A708 = "begin group"</formula>
    </cfRule>
  </conditionalFormatting>
  <conditionalFormatting sqref="F709:F722">
    <cfRule type="expression" dxfId="6050" priority="2207">
      <formula>$A709="calculate"</formula>
    </cfRule>
  </conditionalFormatting>
  <conditionalFormatting sqref="F736:F737 H736:H737">
    <cfRule type="expression" dxfId="6049" priority="1440">
      <formula>$A736="calculate"</formula>
    </cfRule>
  </conditionalFormatting>
  <conditionalFormatting sqref="F739:F742 F641:F642 F706:F707 F790:F791 F813:F816 F704 F559:F560 E705:F705 E639:F640 E788:F789 E559:E561 E739:E743 E813:E817 E839:F840">
    <cfRule type="expression" dxfId="6048" priority="2284">
      <formula xml:space="preserve"> $A559 = "begin group"</formula>
    </cfRule>
    <cfRule type="expression" dxfId="6047" priority="2285">
      <formula xml:space="preserve"> AND($J559="gg",$A559 = "end group")</formula>
    </cfRule>
  </conditionalFormatting>
  <conditionalFormatting sqref="F743">
    <cfRule type="expression" dxfId="6046" priority="2278">
      <formula xml:space="preserve"> $A743 = "begin group"</formula>
    </cfRule>
  </conditionalFormatting>
  <conditionalFormatting sqref="F744:F784">
    <cfRule type="expression" dxfId="6045" priority="2197">
      <formula>$A744="calculate"</formula>
    </cfRule>
  </conditionalFormatting>
  <conditionalFormatting sqref="F788:F791 F739:F742 F704:F707 F839:F840 F813:F816 F559:F560 F639:F642">
    <cfRule type="expression" dxfId="6044" priority="2286">
      <formula>$A559="calculate"</formula>
    </cfRule>
  </conditionalFormatting>
  <conditionalFormatting sqref="F792">
    <cfRule type="expression" dxfId="6043" priority="2277">
      <formula xml:space="preserve"> $A792 = "begin group"</formula>
    </cfRule>
  </conditionalFormatting>
  <conditionalFormatting sqref="F793:F811">
    <cfRule type="expression" dxfId="6042" priority="2187">
      <formula>$A793="calculate"</formula>
    </cfRule>
  </conditionalFormatting>
  <conditionalFormatting sqref="F817">
    <cfRule type="expression" dxfId="6041" priority="2276">
      <formula xml:space="preserve"> $A817 = "begin group"</formula>
    </cfRule>
  </conditionalFormatting>
  <conditionalFormatting sqref="F818:F828">
    <cfRule type="expression" dxfId="6040" priority="2177">
      <formula>$A818="calculate"</formula>
    </cfRule>
  </conditionalFormatting>
  <conditionalFormatting sqref="F832:F838">
    <cfRule type="expression" dxfId="6039" priority="2171">
      <formula>$A832="calculate"</formula>
    </cfRule>
  </conditionalFormatting>
  <conditionalFormatting sqref="F841:F842 E955:F956 E961 F966 F968:F969 E1001:I1001 E1017:F1018">
    <cfRule type="expression" dxfId="6038" priority="672">
      <formula>AND($J841 = "section",$A841 = "end group")</formula>
    </cfRule>
  </conditionalFormatting>
  <conditionalFormatting sqref="F841:F842 F966 E1017:F1018 E955:F956 E970:F970 E1001:F1001 E961 E841 F968:F969 F971 E843">
    <cfRule type="expression" dxfId="6037" priority="674">
      <formula xml:space="preserve"> AND($J841="gg",$A841 = "end group")</formula>
    </cfRule>
    <cfRule type="expression" dxfId="6036" priority="673">
      <formula xml:space="preserve"> $A841 = "begin group"</formula>
    </cfRule>
    <cfRule type="expression" dxfId="6035" priority="671">
      <formula>AND($J841="section",$A841="begin group")</formula>
    </cfRule>
  </conditionalFormatting>
  <conditionalFormatting sqref="F841:F842 F968:F971 F955:F957 F1000:F1002 F1017:F1018">
    <cfRule type="expression" dxfId="6034" priority="679">
      <formula>$A841="calculate"</formula>
    </cfRule>
  </conditionalFormatting>
  <conditionalFormatting sqref="F843">
    <cfRule type="expression" dxfId="6033" priority="670">
      <formula xml:space="preserve"> $A843 = "begin group"</formula>
    </cfRule>
  </conditionalFormatting>
  <conditionalFormatting sqref="F844:F851 F853:F954">
    <cfRule type="expression" dxfId="6032" priority="553">
      <formula>$A844="calculate"</formula>
    </cfRule>
  </conditionalFormatting>
  <conditionalFormatting sqref="F852">
    <cfRule type="expression" dxfId="6031" priority="5">
      <formula>$A852="calculate"</formula>
    </cfRule>
  </conditionalFormatting>
  <conditionalFormatting sqref="F957 F1002 E1000:F1000">
    <cfRule type="expression" dxfId="6030" priority="678">
      <formula xml:space="preserve"> AND(#REF!="gg",$A957 = "end group")</formula>
    </cfRule>
    <cfRule type="expression" dxfId="6029" priority="677">
      <formula xml:space="preserve"> $A957 = "begin group"</formula>
    </cfRule>
    <cfRule type="expression" dxfId="6028" priority="676">
      <formula>AND(#REF! = "section",$A957 = "end group")</formula>
    </cfRule>
    <cfRule type="expression" dxfId="6027" priority="675">
      <formula>AND(#REF!="section",$A957="begin group")</formula>
    </cfRule>
  </conditionalFormatting>
  <conditionalFormatting sqref="F958:F965">
    <cfRule type="expression" dxfId="6026" priority="431">
      <formula>$A958="calculate"</formula>
    </cfRule>
  </conditionalFormatting>
  <conditionalFormatting sqref="F966">
    <cfRule type="expression" dxfId="6025" priority="665">
      <formula>$A966="calculate"</formula>
    </cfRule>
  </conditionalFormatting>
  <conditionalFormatting sqref="F972:F999">
    <cfRule type="expression" dxfId="6024" priority="426">
      <formula>AND($J972="section",$A972="begin group")</formula>
    </cfRule>
    <cfRule type="expression" dxfId="6023" priority="427">
      <formula>AND($J972 = "section",$A972 = "end group")</formula>
    </cfRule>
    <cfRule type="expression" dxfId="6022" priority="428">
      <formula xml:space="preserve"> $A972 = "begin group"</formula>
    </cfRule>
    <cfRule type="expression" dxfId="6021" priority="429">
      <formula xml:space="preserve"> AND($J972="gg",$A972 = "end group")</formula>
    </cfRule>
    <cfRule type="expression" dxfId="6020" priority="425">
      <formula>$A972="calculate"</formula>
    </cfRule>
  </conditionalFormatting>
  <conditionalFormatting sqref="F1003:F1016">
    <cfRule type="expression" dxfId="6019" priority="260">
      <formula xml:space="preserve"> AND($J1003="gg",$A1003 = "end group")</formula>
    </cfRule>
    <cfRule type="expression" dxfId="6018" priority="259">
      <formula xml:space="preserve"> $A1003 = "begin group"</formula>
    </cfRule>
    <cfRule type="expression" dxfId="6017" priority="256">
      <formula>$A1003="calculate"</formula>
    </cfRule>
    <cfRule type="expression" dxfId="6016" priority="257">
      <formula>AND($J1003="section",$A1003="begin group")</formula>
    </cfRule>
    <cfRule type="expression" dxfId="6015" priority="258">
      <formula>AND($J1003 = "section",$A1003 = "end group")</formula>
    </cfRule>
  </conditionalFormatting>
  <conditionalFormatting sqref="G35 B34:D35">
    <cfRule type="duplicateValues" dxfId="6014" priority="1631042"/>
    <cfRule type="duplicateValues" dxfId="6013" priority="1631040"/>
    <cfRule type="duplicateValues" dxfId="6012" priority="1631047"/>
    <cfRule type="duplicateValues" dxfId="6011" priority="1631046"/>
    <cfRule type="duplicateValues" dxfId="6010" priority="1631045"/>
    <cfRule type="duplicateValues" dxfId="6009" priority="1631044"/>
  </conditionalFormatting>
  <conditionalFormatting sqref="G39:G106 G110:G113">
    <cfRule type="expression" dxfId="6008" priority="8263">
      <formula>AND(#REF!="section",$A39="begin group")</formula>
    </cfRule>
    <cfRule type="expression" dxfId="6007" priority="8264">
      <formula>AND(#REF! = "section",$A39 = "end group")</formula>
    </cfRule>
    <cfRule type="expression" dxfId="6006" priority="8265">
      <formula xml:space="preserve"> $A39 = "begin group"</formula>
    </cfRule>
    <cfRule type="expression" dxfId="6005" priority="8266">
      <formula xml:space="preserve"> AND(#REF!="gg",$A39 = "end group")</formula>
    </cfRule>
  </conditionalFormatting>
  <conditionalFormatting sqref="G102">
    <cfRule type="expression" dxfId="6004" priority="7937">
      <formula>$A102 = "begin repeat"</formula>
    </cfRule>
    <cfRule type="expression" dxfId="6003" priority="7936">
      <formula>AND($U$1="disabled",$U106="yes")</formula>
    </cfRule>
    <cfRule type="expression" dxfId="6002" priority="7938">
      <formula xml:space="preserve"> $A110 = "end repeat"</formula>
    </cfRule>
  </conditionalFormatting>
  <conditionalFormatting sqref="G104">
    <cfRule type="expression" dxfId="6001" priority="8247">
      <formula>AND($U$1="disabled",$U114="yes")</formula>
    </cfRule>
    <cfRule type="expression" dxfId="6000" priority="8248">
      <formula>$A104 = "begin repeat"</formula>
    </cfRule>
    <cfRule type="expression" dxfId="5999" priority="8249">
      <formula xml:space="preserve"> $A124 = "end repeat"</formula>
    </cfRule>
  </conditionalFormatting>
  <conditionalFormatting sqref="G104:G109 G192:G194">
    <cfRule type="expression" dxfId="5998" priority="7961">
      <formula>AND($U$1="disabled",$U114="yes")</formula>
    </cfRule>
    <cfRule type="expression" dxfId="5997" priority="7962">
      <formula>$A104 = "begin repeat"</formula>
    </cfRule>
    <cfRule type="expression" dxfId="5996" priority="7963">
      <formula xml:space="preserve"> $A115 = "end repeat"</formula>
    </cfRule>
  </conditionalFormatting>
  <conditionalFormatting sqref="G105:G109 G192:G194">
    <cfRule type="expression" dxfId="5995" priority="7907">
      <formula xml:space="preserve"> $A125 = "end repeat"</formula>
    </cfRule>
    <cfRule type="expression" dxfId="5994" priority="7905">
      <formula>AND($U$1="disabled",$U124="yes")</formula>
    </cfRule>
    <cfRule type="expression" dxfId="5993" priority="7906">
      <formula>$A105 = "begin repeat"</formula>
    </cfRule>
  </conditionalFormatting>
  <conditionalFormatting sqref="G107:G108">
    <cfRule type="expression" dxfId="5992" priority="7910">
      <formula>AND(#REF!="section",$A107="begin group")</formula>
    </cfRule>
    <cfRule type="expression" dxfId="5991" priority="7911">
      <formula>AND(#REF! = "section",$A107 = "end group")</formula>
    </cfRule>
    <cfRule type="expression" dxfId="5990" priority="7912">
      <formula xml:space="preserve"> $A107 = "begin group"</formula>
    </cfRule>
    <cfRule type="expression" dxfId="5989" priority="7913">
      <formula xml:space="preserve"> AND(#REF!="gg",$A107 = "end group")</formula>
    </cfRule>
  </conditionalFormatting>
  <conditionalFormatting sqref="G109">
    <cfRule type="expression" dxfId="5988" priority="7880">
      <formula>AND(#REF!="section",$A109="begin group")</formula>
    </cfRule>
    <cfRule type="expression" dxfId="5987" priority="7881">
      <formula>AND(#REF! = "section",$A109 = "end group")</formula>
    </cfRule>
    <cfRule type="expression" dxfId="5986" priority="7882">
      <formula xml:space="preserve"> $A109 = "begin group"</formula>
    </cfRule>
    <cfRule type="expression" dxfId="5985" priority="7883">
      <formula xml:space="preserve"> AND(#REF!="gg",$A109 = "end group")</formula>
    </cfRule>
  </conditionalFormatting>
  <conditionalFormatting sqref="G110:G113 A184">
    <cfRule type="expression" dxfId="5984" priority="7969">
      <formula xml:space="preserve"> #REF! = "end repeat"</formula>
    </cfRule>
    <cfRule type="expression" dxfId="5983" priority="7968">
      <formula>$A110 = "begin repeat"</formula>
    </cfRule>
    <cfRule type="expression" dxfId="5982" priority="7967">
      <formula>AND($U$1="disabled",$U126="yes")</formula>
    </cfRule>
  </conditionalFormatting>
  <conditionalFormatting sqref="G116:G119">
    <cfRule type="expression" dxfId="5981" priority="8221">
      <formula xml:space="preserve"> AND(#REF!="gg",$A116 = "end group")</formula>
    </cfRule>
    <cfRule type="expression" dxfId="5980" priority="8220">
      <formula xml:space="preserve"> $A116 = "begin group"</formula>
    </cfRule>
    <cfRule type="expression" dxfId="5979" priority="8219">
      <formula>AND(#REF! = "section",$A116 = "end group")</formula>
    </cfRule>
    <cfRule type="expression" dxfId="5978" priority="8218">
      <formula>AND(#REF!="section",$A116="begin group")</formula>
    </cfRule>
  </conditionalFormatting>
  <conditionalFormatting sqref="G120:G122 E120:E122 E207">
    <cfRule type="expression" dxfId="5977" priority="8254">
      <formula>$A120 = "begin repeat"</formula>
    </cfRule>
    <cfRule type="expression" dxfId="5976" priority="8255">
      <formula xml:space="preserve"> #REF! = "end repeat"</formula>
    </cfRule>
  </conditionalFormatting>
  <conditionalFormatting sqref="G120:G122 E120:E122 E207:E208">
    <cfRule type="expression" dxfId="5975" priority="8253">
      <formula>AND($U$1="disabled",#REF!="yes")</formula>
    </cfRule>
  </conditionalFormatting>
  <conditionalFormatting sqref="G120:G122">
    <cfRule type="expression" dxfId="5974" priority="8103">
      <formula xml:space="preserve"> AND(#REF!="gg",$A120 = "end group")</formula>
    </cfRule>
    <cfRule type="expression" dxfId="5973" priority="8100">
      <formula>AND(#REF!="section",$A120="begin group")</formula>
    </cfRule>
    <cfRule type="expression" dxfId="5972" priority="8101">
      <formula>AND(#REF! = "section",$A120 = "end group")</formula>
    </cfRule>
    <cfRule type="expression" dxfId="5971" priority="8102">
      <formula xml:space="preserve"> $A120 = "begin group"</formula>
    </cfRule>
  </conditionalFormatting>
  <conditionalFormatting sqref="G121:G122">
    <cfRule type="expression" dxfId="5970" priority="8099">
      <formula xml:space="preserve"> AND(#REF!="gg",$A121 = "end group")</formula>
    </cfRule>
    <cfRule type="expression" dxfId="5969" priority="8097">
      <formula>AND(#REF! = "section",$A121 = "end group")</formula>
    </cfRule>
    <cfRule type="expression" dxfId="5968" priority="8098">
      <formula xml:space="preserve"> $A121 = "begin group"</formula>
    </cfRule>
    <cfRule type="expression" dxfId="5967" priority="8096">
      <formula>AND(#REF!="section",$A121="begin group")</formula>
    </cfRule>
  </conditionalFormatting>
  <conditionalFormatting sqref="G125:G126">
    <cfRule type="expression" dxfId="5966" priority="8261">
      <formula xml:space="preserve"> $A125 = "begin group"</formula>
    </cfRule>
    <cfRule type="expression" dxfId="5965" priority="8262">
      <formula xml:space="preserve"> AND(#REF!="gg",$A125 = "end group")</formula>
    </cfRule>
    <cfRule type="expression" dxfId="5964" priority="8259">
      <formula>AND(#REF!="section",$A125="begin group")</formula>
    </cfRule>
    <cfRule type="expression" dxfId="5963" priority="8033">
      <formula xml:space="preserve"> $A125 = "begin group"</formula>
    </cfRule>
    <cfRule type="expression" dxfId="5962" priority="8034">
      <formula xml:space="preserve"> AND(#REF!="gg",$A125 = "end group")</formula>
    </cfRule>
    <cfRule type="expression" dxfId="5961" priority="8031">
      <formula>AND(#REF!="section",$A125="begin group")</formula>
    </cfRule>
    <cfRule type="expression" dxfId="5960" priority="8260">
      <formula>AND(#REF! = "section",$A125 = "end group")</formula>
    </cfRule>
    <cfRule type="expression" dxfId="5959" priority="8032">
      <formula>AND(#REF! = "section",$A125 = "end group")</formula>
    </cfRule>
  </conditionalFormatting>
  <conditionalFormatting sqref="G126">
    <cfRule type="expression" dxfId="5958" priority="8038">
      <formula xml:space="preserve"> AND(#REF!="gg",$A126 = "end group")</formula>
    </cfRule>
    <cfRule type="expression" dxfId="5957" priority="8035">
      <formula>AND(#REF!="section",$A126="begin group")</formula>
    </cfRule>
    <cfRule type="expression" dxfId="5956" priority="8037">
      <formula xml:space="preserve"> $A126 = "begin group"</formula>
    </cfRule>
    <cfRule type="expression" dxfId="5955" priority="8036">
      <formula>AND(#REF! = "section",$A126 = "end group")</formula>
    </cfRule>
  </conditionalFormatting>
  <conditionalFormatting sqref="G132:G191 G195:G199">
    <cfRule type="expression" dxfId="5954" priority="8024">
      <formula xml:space="preserve"> $A132 = "begin group"</formula>
    </cfRule>
    <cfRule type="expression" dxfId="5953" priority="8025">
      <formula xml:space="preserve"> AND(#REF!="gg",$A132 = "end group")</formula>
    </cfRule>
    <cfRule type="expression" dxfId="5952" priority="8022">
      <formula>AND(#REF!="section",$A132="begin group")</formula>
    </cfRule>
    <cfRule type="expression" dxfId="5951" priority="8023">
      <formula>AND(#REF! = "section",$A132 = "end group")</formula>
    </cfRule>
  </conditionalFormatting>
  <conditionalFormatting sqref="G185 E185">
    <cfRule type="expression" dxfId="5950" priority="7875">
      <formula>AND($U$1="disabled",$U195="yes")</formula>
    </cfRule>
    <cfRule type="expression" dxfId="5949" priority="7960">
      <formula xml:space="preserve"> #REF! = "end repeat"</formula>
    </cfRule>
    <cfRule type="expression" dxfId="5948" priority="7877">
      <formula xml:space="preserve"> $A200 = "end repeat"</formula>
    </cfRule>
    <cfRule type="expression" dxfId="5947" priority="7876">
      <formula>$A185 = "begin repeat"</formula>
    </cfRule>
    <cfRule type="expression" dxfId="5946" priority="7959">
      <formula>$A185 = "begin repeat"</formula>
    </cfRule>
    <cfRule type="expression" dxfId="5945" priority="7958">
      <formula>AND($U$1="disabled",$U195="yes")</formula>
    </cfRule>
  </conditionalFormatting>
  <conditionalFormatting sqref="G186:G191 E186:E191">
    <cfRule type="expression" dxfId="5944" priority="7988">
      <formula>$A186 = "begin repeat"</formula>
    </cfRule>
    <cfRule type="expression" dxfId="5943" priority="7989">
      <formula xml:space="preserve"> $A201 = "end repeat"</formula>
    </cfRule>
    <cfRule type="expression" dxfId="5942" priority="7987">
      <formula>AND($U$1="disabled",$U200="yes")</formula>
    </cfRule>
  </conditionalFormatting>
  <conditionalFormatting sqref="G191 G187 E189 E191 E187 G189">
    <cfRule type="expression" dxfId="5941" priority="7869">
      <formula>AND($U$1="disabled",$U201="yes")</formula>
    </cfRule>
    <cfRule type="expression" dxfId="5940" priority="7870">
      <formula>$A187 = "begin repeat"</formula>
    </cfRule>
    <cfRule type="expression" dxfId="5939" priority="7871">
      <formula xml:space="preserve"> #REF! = "end repeat"</formula>
    </cfRule>
  </conditionalFormatting>
  <conditionalFormatting sqref="G192:G193">
    <cfRule type="expression" dxfId="5938" priority="7838">
      <formula xml:space="preserve"> AND(#REF!="gg",$A192 = "end group")</formula>
    </cfRule>
    <cfRule type="expression" dxfId="5937" priority="7835">
      <formula>AND(#REF!="section",$A192="begin group")</formula>
    </cfRule>
    <cfRule type="expression" dxfId="5936" priority="7837">
      <formula xml:space="preserve"> $A192 = "begin group"</formula>
    </cfRule>
    <cfRule type="expression" dxfId="5935" priority="7836">
      <formula>AND(#REF! = "section",$A192 = "end group")</formula>
    </cfRule>
  </conditionalFormatting>
  <conditionalFormatting sqref="G194">
    <cfRule type="expression" dxfId="5934" priority="7810">
      <formula xml:space="preserve"> $A194 = "begin group"</formula>
    </cfRule>
    <cfRule type="expression" dxfId="5933" priority="7809">
      <formula>AND(#REF! = "section",$A194 = "end group")</formula>
    </cfRule>
    <cfRule type="expression" dxfId="5932" priority="7808">
      <formula>AND(#REF!="section",$A194="begin group")</formula>
    </cfRule>
    <cfRule type="expression" dxfId="5931" priority="7811">
      <formula xml:space="preserve"> AND(#REF!="gg",$A194 = "end group")</formula>
    </cfRule>
  </conditionalFormatting>
  <conditionalFormatting sqref="G195:G199 E195:E199">
    <cfRule type="expression" dxfId="5930" priority="7964">
      <formula>AND($U$1="disabled",$U206="yes")</formula>
    </cfRule>
    <cfRule type="expression" dxfId="5929" priority="7965">
      <formula>$A195 = "begin repeat"</formula>
    </cfRule>
    <cfRule type="expression" dxfId="5928" priority="7966">
      <formula xml:space="preserve"> $A207 = "end repeat"</formula>
    </cfRule>
  </conditionalFormatting>
  <conditionalFormatting sqref="G202:G204">
    <cfRule type="expression" dxfId="5927" priority="8146">
      <formula xml:space="preserve"> AND(#REF!="gg",$A202 = "end group")</formula>
    </cfRule>
    <cfRule type="expression" dxfId="5926" priority="8144">
      <formula>AND(#REF! = "section",$A202 = "end group")</formula>
    </cfRule>
    <cfRule type="expression" dxfId="5925" priority="8143">
      <formula>AND(#REF!="section",$A202="begin group")</formula>
    </cfRule>
    <cfRule type="expression" dxfId="5924" priority="8145">
      <formula xml:space="preserve"> $A202 = "begin group"</formula>
    </cfRule>
  </conditionalFormatting>
  <conditionalFormatting sqref="G203:G204">
    <cfRule type="expression" dxfId="5923" priority="8123">
      <formula>AND(#REF! = "section",$A203 = "end group")</formula>
    </cfRule>
    <cfRule type="expression" dxfId="5922" priority="8124">
      <formula xml:space="preserve"> $A203 = "begin group"</formula>
    </cfRule>
    <cfRule type="expression" dxfId="5921" priority="8125">
      <formula xml:space="preserve"> AND(#REF!="gg",$A203 = "end group")</formula>
    </cfRule>
    <cfRule type="expression" dxfId="5920" priority="8122">
      <formula>AND(#REF!="section",$A203="begin group")</formula>
    </cfRule>
  </conditionalFormatting>
  <conditionalFormatting sqref="G207:G208">
    <cfRule type="expression" dxfId="5919" priority="7997">
      <formula xml:space="preserve"> AND(#REF!="gg",$A207 = "end group")</formula>
    </cfRule>
    <cfRule type="expression" dxfId="5918" priority="7990">
      <formula>AND(#REF!="section",$A207="begin group")</formula>
    </cfRule>
    <cfRule type="expression" dxfId="5917" priority="7991">
      <formula>AND(#REF! = "section",$A207 = "end group")</formula>
    </cfRule>
    <cfRule type="expression" dxfId="5916" priority="7992">
      <formula xml:space="preserve"> $A207 = "begin group"</formula>
    </cfRule>
    <cfRule type="expression" dxfId="5915" priority="7993">
      <formula xml:space="preserve"> AND(#REF!="gg",$A207 = "end group")</formula>
    </cfRule>
    <cfRule type="expression" dxfId="5914" priority="7995">
      <formula>AND(#REF! = "section",$A207 = "end group")</formula>
    </cfRule>
    <cfRule type="expression" dxfId="5913" priority="7996">
      <formula xml:space="preserve"> $A207 = "begin group"</formula>
    </cfRule>
    <cfRule type="expression" dxfId="5912" priority="7994">
      <formula>AND(#REF!="section",$A207="begin group")</formula>
    </cfRule>
  </conditionalFormatting>
  <conditionalFormatting sqref="G211:G213 J211:J237 G241:I244 J241:J264 G245 J273 G273:G277 M273:W305 J274:K277 J278:J305 A312:B322 A324:B324 I324:K324 A326:B339 I326:K339 M241:W252 D279:D305 I348:K350 K353 I277:I305 D312:D322 M312:W322 I316:K322 A346:B350 A353:B353 H211:I212 K211:K213 A211:A216 M211:W216 C211:D237 I213:I216 C238:C240 A241:D242 K241:K249 C243:D268 A243:A272 I245:I252 I255:I264 M255:W267 I265:J268 C269:C272 H273:I276 C275:D278 A275:A305 J312:J314 I312:I315 J315:K315 D326:D339 M326:W339 B345 G346:K347 C346:D348 M346:W350 D349:D350 C349:C355 I351 D353 I353 M353:W353 A355:B355 D355 I355 M355:W356 K357 M324:W324 A356:K356 K351 C279:C345 D324 K355 A273:D274">
    <cfRule type="expression" dxfId="5911" priority="7614">
      <formula>AND($J211="section",$A211="begin group")</formula>
    </cfRule>
    <cfRule type="expression" dxfId="5910" priority="7615">
      <formula>AND($J211 = "section",$A211 = "end group")</formula>
    </cfRule>
  </conditionalFormatting>
  <conditionalFormatting sqref="G214:G240">
    <cfRule type="expression" dxfId="5909" priority="7312">
      <formula>AND(#REF!="section",$A214="begin group")</formula>
    </cfRule>
    <cfRule type="expression" dxfId="5908" priority="7315">
      <formula xml:space="preserve"> AND(#REF!="gg",$A214 = "end group")</formula>
    </cfRule>
    <cfRule type="expression" dxfId="5907" priority="7314">
      <formula xml:space="preserve"> $A214 = "begin group"</formula>
    </cfRule>
    <cfRule type="expression" dxfId="5906" priority="7313">
      <formula>AND(#REF! = "section",$A214 = "end group")</formula>
    </cfRule>
  </conditionalFormatting>
  <conditionalFormatting sqref="G246:G272 E246:E272 G278:G297 E278:E297 G327:G331 E327:E331 G324:G325 E324:E325 G214:G240 E214:E240">
    <cfRule type="expression" dxfId="5905" priority="7506">
      <formula>AND($U$1="disabled",$U221="yes")</formula>
    </cfRule>
    <cfRule type="expression" dxfId="5904" priority="7507">
      <formula>$A214 = "begin repeat"</formula>
    </cfRule>
    <cfRule type="expression" dxfId="5903" priority="7508">
      <formula xml:space="preserve"> $A222 = "end repeat"</formula>
    </cfRule>
  </conditionalFormatting>
  <conditionalFormatting sqref="G246:G272">
    <cfRule type="expression" dxfId="5902" priority="7305">
      <formula xml:space="preserve"> AND(#REF!="gg",$A246 = "end group")</formula>
    </cfRule>
    <cfRule type="expression" dxfId="5901" priority="7304">
      <formula xml:space="preserve"> $A246 = "begin group"</formula>
    </cfRule>
    <cfRule type="expression" dxfId="5900" priority="7303">
      <formula>AND(#REF! = "section",$A246 = "end group")</formula>
    </cfRule>
    <cfRule type="expression" dxfId="5899" priority="7302">
      <formula>AND(#REF!="section",$A246="begin group")</formula>
    </cfRule>
  </conditionalFormatting>
  <conditionalFormatting sqref="G278:G305">
    <cfRule type="expression" dxfId="5898" priority="7295">
      <formula xml:space="preserve"> AND(#REF!="gg",$A278 = "end group")</formula>
    </cfRule>
    <cfRule type="expression" dxfId="5897" priority="7292">
      <formula>AND(#REF!="section",$A278="begin group")</formula>
    </cfRule>
    <cfRule type="expression" dxfId="5896" priority="7294">
      <formula xml:space="preserve"> $A278 = "begin group"</formula>
    </cfRule>
    <cfRule type="expression" dxfId="5895" priority="7293">
      <formula>AND(#REF! = "section",$A278 = "end group")</formula>
    </cfRule>
  </conditionalFormatting>
  <conditionalFormatting sqref="G298 E298">
    <cfRule type="expression" dxfId="5894" priority="7264">
      <formula xml:space="preserve"> $A312 = "end repeat"</formula>
    </cfRule>
    <cfRule type="expression" dxfId="5893" priority="7262">
      <formula>AND($U$1="disabled",$U305="yes")</formula>
    </cfRule>
    <cfRule type="expression" dxfId="5892" priority="7263">
      <formula>$A298 = "begin repeat"</formula>
    </cfRule>
  </conditionalFormatting>
  <conditionalFormatting sqref="G302 G304 G300 E302 E304 E300">
    <cfRule type="expression" dxfId="5891" priority="7494">
      <formula>AND($U$1="disabled",$U313="yes")</formula>
    </cfRule>
    <cfRule type="expression" dxfId="5890" priority="7495">
      <formula>$A300 = "begin repeat"</formula>
    </cfRule>
    <cfRule type="expression" dxfId="5889" priority="7496">
      <formula xml:space="preserve"> #REF! = "end repeat"</formula>
    </cfRule>
  </conditionalFormatting>
  <conditionalFormatting sqref="G305 E305">
    <cfRule type="expression" dxfId="5888" priority="7168">
      <formula>AND($U$1="disabled",$U345="yes")</formula>
    </cfRule>
    <cfRule type="expression" dxfId="5887" priority="7169">
      <formula>$A305 = "begin repeat"</formula>
    </cfRule>
    <cfRule type="expression" dxfId="5886" priority="7170">
      <formula xml:space="preserve"> $A346 = "end repeat"</formula>
    </cfRule>
  </conditionalFormatting>
  <conditionalFormatting sqref="G306 E306 E355 G355">
    <cfRule type="expression" dxfId="5885" priority="7265">
      <formula>AND($U$1="disabled",$U316="yes")</formula>
    </cfRule>
    <cfRule type="expression" dxfId="5884" priority="7266">
      <formula>$A306 = "begin repeat"</formula>
    </cfRule>
    <cfRule type="expression" dxfId="5883" priority="7267">
      <formula xml:space="preserve"> $A317 = "end repeat"</formula>
    </cfRule>
  </conditionalFormatting>
  <conditionalFormatting sqref="G306:G307 E306:E307">
    <cfRule type="expression" dxfId="5882" priority="7214">
      <formula xml:space="preserve"> #REF! = "end repeat"</formula>
    </cfRule>
    <cfRule type="expression" dxfId="5881" priority="7213">
      <formula>$A306 = "begin repeat"</formula>
    </cfRule>
    <cfRule type="expression" dxfId="5880" priority="7212">
      <formula>AND($U$1="disabled",$U316="yes")</formula>
    </cfRule>
  </conditionalFormatting>
  <conditionalFormatting sqref="G306:G311">
    <cfRule type="expression" dxfId="5879" priority="7223">
      <formula xml:space="preserve"> $A306 = "begin group"</formula>
    </cfRule>
    <cfRule type="expression" dxfId="5878" priority="7221">
      <formula>AND(#REF!="section",$A306="begin group")</formula>
    </cfRule>
    <cfRule type="expression" dxfId="5877" priority="7224">
      <formula xml:space="preserve"> AND(#REF!="gg",$A306 = "end group")</formula>
    </cfRule>
    <cfRule type="expression" dxfId="5876" priority="7222">
      <formula>AND(#REF! = "section",$A306 = "end group")</formula>
    </cfRule>
  </conditionalFormatting>
  <conditionalFormatting sqref="G308:G310 E308:E310 E333:E340 G333:G340 E318 G318">
    <cfRule type="expression" dxfId="5875" priority="7372">
      <formula>AND($U$1="disabled",#REF!="yes")</formula>
    </cfRule>
  </conditionalFormatting>
  <conditionalFormatting sqref="G308:G310 E308:E310 G318 E318 G333:G340 E333:E340">
    <cfRule type="expression" dxfId="5874" priority="7374">
      <formula xml:space="preserve"> #REF! = "end repeat"</formula>
    </cfRule>
    <cfRule type="expression" dxfId="5873" priority="7373">
      <formula>$A308 = "begin repeat"</formula>
    </cfRule>
  </conditionalFormatting>
  <conditionalFormatting sqref="G311:G316 E311:E316">
    <cfRule type="expression" dxfId="5872" priority="7197">
      <formula xml:space="preserve"> $A346 = "end repeat"</formula>
    </cfRule>
    <cfRule type="expression" dxfId="5871" priority="7195">
      <formula>AND($U$1="disabled",$U345="yes")</formula>
    </cfRule>
    <cfRule type="expression" dxfId="5870" priority="7196">
      <formula>$A311 = "begin repeat"</formula>
    </cfRule>
  </conditionalFormatting>
  <conditionalFormatting sqref="G312:G322 E312:E322 E345 G345 E324 G324 G326:G339 E326:E339">
    <cfRule type="expression" dxfId="5869" priority="7622">
      <formula>AND(#REF!="section",$A312="begin group")</formula>
    </cfRule>
    <cfRule type="expression" dxfId="5868" priority="7623">
      <formula>AND(#REF! = "section",$A312 = "end group")</formula>
    </cfRule>
    <cfRule type="expression" dxfId="5867" priority="7624">
      <formula xml:space="preserve"> $A312 = "begin group"</formula>
    </cfRule>
    <cfRule type="expression" dxfId="5866" priority="7625">
      <formula xml:space="preserve"> AND(#REF!="gg",$A312 = "end group")</formula>
    </cfRule>
  </conditionalFormatting>
  <conditionalFormatting sqref="G317 E317">
    <cfRule type="expression" dxfId="5865" priority="6874">
      <formula>AND($U$1="disabled",$U351="yes")</formula>
    </cfRule>
    <cfRule type="expression" dxfId="5864" priority="6876">
      <formula xml:space="preserve"> $A356 = "end repeat"</formula>
    </cfRule>
    <cfRule type="expression" dxfId="5863" priority="6875">
      <formula>$A317 = "begin repeat"</formula>
    </cfRule>
  </conditionalFormatting>
  <conditionalFormatting sqref="G323 E323">
    <cfRule type="expression" dxfId="5862" priority="7006">
      <formula xml:space="preserve"> $A323 = "begin group"</formula>
    </cfRule>
    <cfRule type="expression" dxfId="5861" priority="7004">
      <formula>AND(#REF!="section",$A323="begin group")</formula>
    </cfRule>
    <cfRule type="expression" dxfId="5860" priority="7007">
      <formula xml:space="preserve"> AND(#REF!="gg",$A323 = "end group")</formula>
    </cfRule>
    <cfRule type="expression" dxfId="5859" priority="7005">
      <formula>AND(#REF! = "section",$A323 = "end group")</formula>
    </cfRule>
  </conditionalFormatting>
  <conditionalFormatting sqref="G326 E326 G342:G344 E342:E344">
    <cfRule type="expression" dxfId="5858" priority="7164">
      <formula xml:space="preserve"> $A333 = "end repeat"</formula>
    </cfRule>
    <cfRule type="expression" dxfId="5857" priority="7163">
      <formula>$A326 = "begin repeat"</formula>
    </cfRule>
    <cfRule type="expression" dxfId="5856" priority="7162">
      <formula>AND($U$1="disabled",$U332="yes")</formula>
    </cfRule>
  </conditionalFormatting>
  <conditionalFormatting sqref="G326 E326 G343 E343">
    <cfRule type="expression" dxfId="5855" priority="7165">
      <formula>AND($U$1="disabled",$U332="yes")</formula>
    </cfRule>
    <cfRule type="expression" dxfId="5854" priority="7166">
      <formula>$A326 = "begin repeat"</formula>
    </cfRule>
    <cfRule type="expression" dxfId="5853" priority="7167">
      <formula xml:space="preserve"> #REF! = "end repeat"</formula>
    </cfRule>
  </conditionalFormatting>
  <conditionalFormatting sqref="G327 G329 E327 E329 G214 G216 G218 G220 G228 G230 G232 G234 G236 G238 G240 E214 E216 E218 E228 E230 E232 E234 E236 E238 E240 G247 G249 G251 G253 G255 G257 G259 G261 G263 G265 G267 G269 G271 E247 E249 E251 E253 E255 E257 E259 E261 E263 E265 E267 E269 E271 G278 G280 G282 G284 G286 G288 G290 G292 G294 G296 G298 E278 E280 E282 E284 E286 E288 E290 E292 E294 E296 E298 G331:G332 E331:E332 G222:G226 E220:E226">
    <cfRule type="expression" dxfId="5852" priority="7504">
      <formula>$A214 = "begin repeat"</formula>
    </cfRule>
    <cfRule type="expression" dxfId="5851" priority="7503">
      <formula>AND($U$1="disabled",$U221="yes")</formula>
    </cfRule>
    <cfRule type="expression" dxfId="5850" priority="7505">
      <formula xml:space="preserve"> #REF! = "end repeat"</formula>
    </cfRule>
  </conditionalFormatting>
  <conditionalFormatting sqref="G339 E339">
    <cfRule type="expression" dxfId="5849" priority="7110">
      <formula xml:space="preserve"> $A349 = "end repeat"</formula>
    </cfRule>
    <cfRule type="expression" dxfId="5848" priority="7109">
      <formula>$A339 = "begin repeat"</formula>
    </cfRule>
  </conditionalFormatting>
  <conditionalFormatting sqref="G340 E340">
    <cfRule type="expression" dxfId="5847" priority="7074">
      <formula xml:space="preserve"> $A351 = "end repeat"</formula>
    </cfRule>
    <cfRule type="expression" dxfId="5846" priority="7079">
      <formula>AND(#REF!="section",$A340="begin group")</formula>
    </cfRule>
    <cfRule type="expression" dxfId="5845" priority="7073">
      <formula>$A340 = "begin repeat"</formula>
    </cfRule>
    <cfRule type="expression" dxfId="5844" priority="7082">
      <formula xml:space="preserve"> AND(#REF!="gg",$A340 = "end group")</formula>
    </cfRule>
    <cfRule type="expression" dxfId="5843" priority="7081">
      <formula xml:space="preserve"> $A340 = "begin group"</formula>
    </cfRule>
    <cfRule type="expression" dxfId="5842" priority="7080">
      <formula>AND(#REF! = "section",$A340 = "end group")</formula>
    </cfRule>
  </conditionalFormatting>
  <conditionalFormatting sqref="G341 E341">
    <cfRule type="expression" dxfId="5841" priority="7061">
      <formula xml:space="preserve"> $A341 = "begin group"</formula>
    </cfRule>
    <cfRule type="expression" dxfId="5840" priority="7060">
      <formula>AND(#REF! = "section",$A341 = "end group")</formula>
    </cfRule>
    <cfRule type="expression" dxfId="5839" priority="7059">
      <formula>AND(#REF!="section",$A341="begin group")</formula>
    </cfRule>
    <cfRule type="expression" dxfId="5838" priority="7062">
      <formula xml:space="preserve"> AND(#REF!="gg",$A341 = "end group")</formula>
    </cfRule>
  </conditionalFormatting>
  <conditionalFormatting sqref="G342:G344 E342:E344">
    <cfRule type="expression" dxfId="5837" priority="7042">
      <formula>AND(#REF!="section",$A342="begin group")</formula>
    </cfRule>
    <cfRule type="expression" dxfId="5836" priority="7044">
      <formula xml:space="preserve"> $A342 = "begin group"</formula>
    </cfRule>
    <cfRule type="expression" dxfId="5835" priority="7045">
      <formula xml:space="preserve"> AND(#REF!="gg",$A342 = "end group")</formula>
    </cfRule>
    <cfRule type="expression" dxfId="5834" priority="7043">
      <formula>AND(#REF! = "section",$A342 = "end group")</formula>
    </cfRule>
  </conditionalFormatting>
  <conditionalFormatting sqref="G348:G353 G355">
    <cfRule type="expression" dxfId="5833" priority="7764">
      <formula>AND(#REF!="section",$A348="begin group")</formula>
    </cfRule>
    <cfRule type="expression" dxfId="5832" priority="7767">
      <formula xml:space="preserve"> AND(#REF!="gg",$A348 = "end group")</formula>
    </cfRule>
    <cfRule type="expression" dxfId="5831" priority="7766">
      <formula xml:space="preserve"> $A348 = "begin group"</formula>
    </cfRule>
    <cfRule type="expression" dxfId="5830" priority="7765">
      <formula>AND(#REF! = "section",$A348 = "end group")</formula>
    </cfRule>
  </conditionalFormatting>
  <conditionalFormatting sqref="G354">
    <cfRule type="expression" dxfId="5829" priority="6949">
      <formula xml:space="preserve"> $A354 = "begin group"</formula>
    </cfRule>
    <cfRule type="expression" dxfId="5828" priority="6950">
      <formula xml:space="preserve"> AND(#REF!="gg",$A354 = "end group")</formula>
    </cfRule>
    <cfRule type="expression" dxfId="5827" priority="6948">
      <formula>AND(#REF! = "section",$A354 = "end group")</formula>
    </cfRule>
    <cfRule type="expression" dxfId="5826" priority="6947">
      <formula>AND(#REF!="section",$A354="begin group")</formula>
    </cfRule>
  </conditionalFormatting>
  <conditionalFormatting sqref="G361:G383 E361:E383 G426:G448 E426:E448 G491:G511 E491:E511">
    <cfRule type="expression" dxfId="5825" priority="6744">
      <formula>$A361 = "begin repeat"</formula>
    </cfRule>
    <cfRule type="expression" dxfId="5824" priority="6743">
      <formula>AND($U$1="disabled",$U368="yes")</formula>
    </cfRule>
    <cfRule type="expression" dxfId="5823" priority="6745">
      <formula xml:space="preserve"> $A369 = "end repeat"</formula>
    </cfRule>
  </conditionalFormatting>
  <conditionalFormatting sqref="G361:G391">
    <cfRule type="expression" dxfId="5822" priority="6437">
      <formula>AND(#REF!="section",$A361="begin group")</formula>
    </cfRule>
    <cfRule type="expression" dxfId="5821" priority="6438">
      <formula>AND(#REF! = "section",$A361 = "end group")</formula>
    </cfRule>
    <cfRule type="expression" dxfId="5820" priority="6440">
      <formula xml:space="preserve"> AND(#REF!="gg",$A361 = "end group")</formula>
    </cfRule>
    <cfRule type="expression" dxfId="5819" priority="6439">
      <formula xml:space="preserve"> $A361 = "begin group"</formula>
    </cfRule>
  </conditionalFormatting>
  <conditionalFormatting sqref="G362 G364 G366 G370 G374 G378 G382 G368 G372 G376 G380 G384 E362 E364 E366 E370 E374 E378 E382 E368 E372 E376 E380 E384 G426 G428 G430 G432 G434 G436 G438 G440 G442 G444 G446 G448 E426 E428 E430 E432 E434 E436 E438 E440 E442 E444 E446 E448 G492 G494 G496 G498 G500 G502 G504 G506 G508 G510 G512 E492 E494 E496 E498 E500 E502 E504 E506 E508 E510 E512">
    <cfRule type="expression" dxfId="5818" priority="6741">
      <formula>$A362 = "begin repeat"</formula>
    </cfRule>
    <cfRule type="expression" dxfId="5817" priority="6742">
      <formula xml:space="preserve"> #REF! = "end repeat"</formula>
    </cfRule>
    <cfRule type="expression" dxfId="5816" priority="6740">
      <formula>AND($U$1="disabled",$U369="yes")</formula>
    </cfRule>
  </conditionalFormatting>
  <conditionalFormatting sqref="G385:G391 E385:E391 G450:G456 E450:E456">
    <cfRule type="expression" dxfId="5815" priority="3584">
      <formula>AND($U$1="disabled",$U421="yes")</formula>
    </cfRule>
    <cfRule type="expression" dxfId="5814" priority="3586">
      <formula xml:space="preserve"> $A422 = "end repeat"</formula>
    </cfRule>
    <cfRule type="expression" dxfId="5813" priority="3585">
      <formula>$A385 = "begin repeat"</formula>
    </cfRule>
  </conditionalFormatting>
  <conditionalFormatting sqref="G388 G390 E386 E390 E388 G386 G456 E452 E454 E456 G450 G452 G454 E450">
    <cfRule type="expression" dxfId="5812" priority="4364">
      <formula xml:space="preserve"> #REF! = "end repeat"</formula>
    </cfRule>
    <cfRule type="expression" dxfId="5811" priority="4363">
      <formula>$A386 = "begin repeat"</formula>
    </cfRule>
    <cfRule type="expression" dxfId="5810" priority="4362">
      <formula>AND($U$1="disabled",$U422="yes")</formula>
    </cfRule>
  </conditionalFormatting>
  <conditionalFormatting sqref="G392">
    <cfRule type="expression" dxfId="5809" priority="6354">
      <formula>AND(#REF!="section",$A392="begin group")</formula>
    </cfRule>
    <cfRule type="expression" dxfId="5808" priority="6357">
      <formula xml:space="preserve"> AND(#REF!="gg",$A392 = "end group")</formula>
    </cfRule>
    <cfRule type="expression" dxfId="5807" priority="6355">
      <formula>AND(#REF! = "section",$A392 = "end group")</formula>
    </cfRule>
    <cfRule type="expression" dxfId="5806" priority="6356">
      <formula xml:space="preserve"> $A392 = "begin group"</formula>
    </cfRule>
  </conditionalFormatting>
  <conditionalFormatting sqref="G393 G528">
    <cfRule type="expression" dxfId="5805" priority="6463">
      <formula xml:space="preserve"> $A393 = "begin group"</formula>
    </cfRule>
    <cfRule type="expression" dxfId="5804" priority="6462">
      <formula>AND(#REF! = "section",$A393 = "end group")</formula>
    </cfRule>
    <cfRule type="expression" dxfId="5803" priority="6461">
      <formula>AND(#REF!="section",$A393="begin group")</formula>
    </cfRule>
    <cfRule type="expression" dxfId="5802" priority="6464">
      <formula xml:space="preserve"> AND(#REF!="gg",$A393 = "end group")</formula>
    </cfRule>
  </conditionalFormatting>
  <conditionalFormatting sqref="G393:G395 E393:E395 G458:G460 E458:E460">
    <cfRule type="expression" dxfId="5801" priority="3593">
      <formula>AND($U$1="disabled",$U428="yes")</formula>
    </cfRule>
    <cfRule type="expression" dxfId="5800" priority="3594">
      <formula>$A393 = "begin repeat"</formula>
    </cfRule>
    <cfRule type="expression" dxfId="5799" priority="3595">
      <formula xml:space="preserve"> $A429 = "end repeat"</formula>
    </cfRule>
  </conditionalFormatting>
  <conditionalFormatting sqref="G394">
    <cfRule type="expression" dxfId="5798" priority="5747">
      <formula>AND(#REF!="section",$A394="begin group")</formula>
    </cfRule>
    <cfRule type="expression" dxfId="5797" priority="5748">
      <formula>AND(#REF! = "section",$A394 = "end group")</formula>
    </cfRule>
    <cfRule type="expression" dxfId="5796" priority="5750">
      <formula xml:space="preserve"> AND(#REF!="gg",$A394 = "end group")</formula>
    </cfRule>
    <cfRule type="expression" dxfId="5795" priority="5749">
      <formula xml:space="preserve"> $A394 = "begin group"</formula>
    </cfRule>
  </conditionalFormatting>
  <conditionalFormatting sqref="G395">
    <cfRule type="expression" dxfId="5794" priority="5728">
      <formula xml:space="preserve"> $A395 = "begin group"</formula>
    </cfRule>
    <cfRule type="expression" dxfId="5793" priority="5729">
      <formula xml:space="preserve"> AND(#REF!="gg",$A395 = "end group")</formula>
    </cfRule>
    <cfRule type="expression" dxfId="5792" priority="5726">
      <formula>AND(#REF!="section",$A395="begin group")</formula>
    </cfRule>
    <cfRule type="expression" dxfId="5791" priority="5727">
      <formula>AND(#REF! = "section",$A395 = "end group")</formula>
    </cfRule>
  </conditionalFormatting>
  <conditionalFormatting sqref="G396">
    <cfRule type="expression" dxfId="5790" priority="5967">
      <formula>AND(#REF! = "section",$A396 = "end group")</formula>
    </cfRule>
    <cfRule type="expression" dxfId="5789" priority="5966">
      <formula>AND(#REF!="section",$A396="begin group")</formula>
    </cfRule>
    <cfRule type="expression" dxfId="5788" priority="5968">
      <formula xml:space="preserve"> $A396 = "begin group"</formula>
    </cfRule>
    <cfRule type="expression" dxfId="5787" priority="5969">
      <formula xml:space="preserve"> AND(#REF!="gg",$A396 = "end group")</formula>
    </cfRule>
  </conditionalFormatting>
  <conditionalFormatting sqref="G397">
    <cfRule type="expression" dxfId="5786" priority="5696">
      <formula>AND(#REF! = "section",$A397 = "end group")</formula>
    </cfRule>
    <cfRule type="expression" dxfId="5785" priority="5695">
      <formula>AND(#REF!="section",$A397="begin group")</formula>
    </cfRule>
    <cfRule type="expression" dxfId="5784" priority="5698">
      <formula xml:space="preserve"> AND(#REF!="gg",$A397 = "end group")</formula>
    </cfRule>
    <cfRule type="expression" dxfId="5783" priority="5697">
      <formula xml:space="preserve"> $A397 = "begin group"</formula>
    </cfRule>
  </conditionalFormatting>
  <conditionalFormatting sqref="G398">
    <cfRule type="expression" dxfId="5782" priority="6299">
      <formula>AND(#REF! = "section",$A398 = "end group")</formula>
    </cfRule>
    <cfRule type="expression" dxfId="5781" priority="6298">
      <formula>AND(#REF!="section",$A398="begin group")</formula>
    </cfRule>
    <cfRule type="expression" dxfId="5780" priority="6301">
      <formula xml:space="preserve"> AND(#REF!="gg",$A398 = "end group")</formula>
    </cfRule>
    <cfRule type="expression" dxfId="5779" priority="6300">
      <formula xml:space="preserve"> $A398 = "begin group"</formula>
    </cfRule>
  </conditionalFormatting>
  <conditionalFormatting sqref="G399">
    <cfRule type="expression" dxfId="5778" priority="6268">
      <formula>AND(#REF! = "section",$A399 = "end group")</formula>
    </cfRule>
    <cfRule type="expression" dxfId="5777" priority="6269">
      <formula xml:space="preserve"> $A399 = "begin group"</formula>
    </cfRule>
    <cfRule type="expression" dxfId="5776" priority="6270">
      <formula xml:space="preserve"> AND(#REF!="gg",$A399 = "end group")</formula>
    </cfRule>
    <cfRule type="expression" dxfId="5775" priority="6267">
      <formula>AND(#REF!="section",$A399="begin group")</formula>
    </cfRule>
  </conditionalFormatting>
  <conditionalFormatting sqref="G400">
    <cfRule type="expression" dxfId="5774" priority="6238">
      <formula xml:space="preserve"> $A400 = "begin group"</formula>
    </cfRule>
    <cfRule type="expression" dxfId="5773" priority="6236">
      <formula>AND(#REF!="section",$A400="begin group")</formula>
    </cfRule>
    <cfRule type="expression" dxfId="5772" priority="6237">
      <formula>AND(#REF! = "section",$A400 = "end group")</formula>
    </cfRule>
    <cfRule type="expression" dxfId="5771" priority="6239">
      <formula xml:space="preserve"> AND(#REF!="gg",$A400 = "end group")</formula>
    </cfRule>
  </conditionalFormatting>
  <conditionalFormatting sqref="G401">
    <cfRule type="expression" dxfId="5770" priority="3424">
      <formula xml:space="preserve"> $A401 = "begin group"</formula>
    </cfRule>
    <cfRule type="expression" dxfId="5769" priority="3423">
      <formula>AND(#REF! = "section",$A401 = "end group")</formula>
    </cfRule>
    <cfRule type="expression" dxfId="5768" priority="3422">
      <formula>AND(#REF!="section",$A401="begin group")</formula>
    </cfRule>
    <cfRule type="expression" dxfId="5767" priority="3425">
      <formula xml:space="preserve"> AND(#REF!="gg",$A401 = "end group")</formula>
    </cfRule>
  </conditionalFormatting>
  <conditionalFormatting sqref="G402">
    <cfRule type="expression" dxfId="5766" priority="3391">
      <formula xml:space="preserve"> AND(#REF!="gg",$A402 = "end group")</formula>
    </cfRule>
    <cfRule type="expression" dxfId="5765" priority="3390">
      <formula xml:space="preserve"> $A402 = "begin group"</formula>
    </cfRule>
    <cfRule type="expression" dxfId="5764" priority="3389">
      <formula>AND(#REF! = "section",$A402 = "end group")</formula>
    </cfRule>
    <cfRule type="expression" dxfId="5763" priority="3388">
      <formula>AND(#REF!="section",$A402="begin group")</formula>
    </cfRule>
  </conditionalFormatting>
  <conditionalFormatting sqref="G403">
    <cfRule type="expression" dxfId="5762" priority="5935">
      <formula xml:space="preserve"> AND(#REF!="gg",$A403 = "end group")</formula>
    </cfRule>
    <cfRule type="expression" dxfId="5761" priority="5933">
      <formula>AND(#REF! = "section",$A403 = "end group")</formula>
    </cfRule>
    <cfRule type="expression" dxfId="5760" priority="5932">
      <formula>AND(#REF!="section",$A403="begin group")</formula>
    </cfRule>
    <cfRule type="expression" dxfId="5759" priority="5934">
      <formula xml:space="preserve"> $A403 = "begin group"</formula>
    </cfRule>
  </conditionalFormatting>
  <conditionalFormatting sqref="G404">
    <cfRule type="expression" dxfId="5758" priority="5774">
      <formula xml:space="preserve"> AND(#REF!="gg",$A404 = "end group")</formula>
    </cfRule>
    <cfRule type="expression" dxfId="5757" priority="5773">
      <formula xml:space="preserve"> $A404 = "begin group"</formula>
    </cfRule>
    <cfRule type="expression" dxfId="5756" priority="5771">
      <formula>AND(#REF!="section",$A404="begin group")</formula>
    </cfRule>
    <cfRule type="expression" dxfId="5755" priority="5772">
      <formula>AND(#REF! = "section",$A404 = "end group")</formula>
    </cfRule>
  </conditionalFormatting>
  <conditionalFormatting sqref="G405">
    <cfRule type="expression" dxfId="5754" priority="6206">
      <formula>AND(#REF! = "section",$A405 = "end group")</formula>
    </cfRule>
    <cfRule type="expression" dxfId="5753" priority="6205">
      <formula>AND(#REF!="section",$A405="begin group")</formula>
    </cfRule>
    <cfRule type="expression" dxfId="5752" priority="6207">
      <formula xml:space="preserve"> $A405 = "begin group"</formula>
    </cfRule>
    <cfRule type="expression" dxfId="5751" priority="6208">
      <formula xml:space="preserve"> AND(#REF!="gg",$A405 = "end group")</formula>
    </cfRule>
  </conditionalFormatting>
  <conditionalFormatting sqref="G406">
    <cfRule type="expression" dxfId="5750" priority="6177">
      <formula xml:space="preserve"> AND(#REF!="gg",$A406 = "end group")</formula>
    </cfRule>
    <cfRule type="expression" dxfId="5749" priority="6176">
      <formula xml:space="preserve"> $A406 = "begin group"</formula>
    </cfRule>
    <cfRule type="expression" dxfId="5748" priority="6175">
      <formula>AND(#REF! = "section",$A406 = "end group")</formula>
    </cfRule>
    <cfRule type="expression" dxfId="5747" priority="6174">
      <formula>AND(#REF!="section",$A406="begin group")</formula>
    </cfRule>
  </conditionalFormatting>
  <conditionalFormatting sqref="G407">
    <cfRule type="expression" dxfId="5746" priority="5902">
      <formula>AND(#REF! = "section",$A407 = "end group")</formula>
    </cfRule>
    <cfRule type="expression" dxfId="5745" priority="5901">
      <formula>AND(#REF!="section",$A407="begin group")</formula>
    </cfRule>
    <cfRule type="expression" dxfId="5744" priority="5903">
      <formula xml:space="preserve"> $A407 = "begin group"</formula>
    </cfRule>
    <cfRule type="expression" dxfId="5743" priority="5904">
      <formula xml:space="preserve"> AND(#REF!="gg",$A407 = "end group")</formula>
    </cfRule>
  </conditionalFormatting>
  <conditionalFormatting sqref="G408">
    <cfRule type="expression" dxfId="5742" priority="5803">
      <formula>AND(#REF! = "section",$A408 = "end group")</formula>
    </cfRule>
    <cfRule type="expression" dxfId="5741" priority="5805">
      <formula xml:space="preserve"> AND(#REF!="gg",$A408 = "end group")</formula>
    </cfRule>
    <cfRule type="expression" dxfId="5740" priority="5804">
      <formula xml:space="preserve"> $A408 = "begin group"</formula>
    </cfRule>
    <cfRule type="expression" dxfId="5739" priority="5802">
      <formula>AND(#REF!="section",$A408="begin group")</formula>
    </cfRule>
  </conditionalFormatting>
  <conditionalFormatting sqref="G409">
    <cfRule type="expression" dxfId="5738" priority="5873">
      <formula xml:space="preserve"> AND(#REF!="gg",$A409 = "end group")</formula>
    </cfRule>
    <cfRule type="expression" dxfId="5737" priority="5872">
      <formula xml:space="preserve"> $A409 = "begin group"</formula>
    </cfRule>
    <cfRule type="expression" dxfId="5736" priority="5871">
      <formula>AND(#REF! = "section",$A409 = "end group")</formula>
    </cfRule>
    <cfRule type="expression" dxfId="5735" priority="5870">
      <formula>AND(#REF!="section",$A409="begin group")</formula>
    </cfRule>
  </conditionalFormatting>
  <conditionalFormatting sqref="G410">
    <cfRule type="expression" dxfId="5734" priority="6135">
      <formula>AND(#REF! = "section",$A410 = "end group")</formula>
    </cfRule>
    <cfRule type="expression" dxfId="5733" priority="6136">
      <formula xml:space="preserve"> $A410 = "begin group"</formula>
    </cfRule>
    <cfRule type="expression" dxfId="5732" priority="6137">
      <formula xml:space="preserve"> AND(#REF!="gg",$A410 = "end group")</formula>
    </cfRule>
    <cfRule type="expression" dxfId="5731" priority="6134">
      <formula>AND(#REF!="section",$A410="begin group")</formula>
    </cfRule>
  </conditionalFormatting>
  <conditionalFormatting sqref="G411">
    <cfRule type="expression" dxfId="5730" priority="6105">
      <formula xml:space="preserve"> $A411 = "begin group"</formula>
    </cfRule>
    <cfRule type="expression" dxfId="5729" priority="6103">
      <formula>AND(#REF!="section",$A411="begin group")</formula>
    </cfRule>
    <cfRule type="expression" dxfId="5728" priority="6104">
      <formula>AND(#REF! = "section",$A411 = "end group")</formula>
    </cfRule>
    <cfRule type="expression" dxfId="5727" priority="6106">
      <formula xml:space="preserve"> AND(#REF!="gg",$A411 = "end group")</formula>
    </cfRule>
  </conditionalFormatting>
  <conditionalFormatting sqref="G412">
    <cfRule type="expression" dxfId="5726" priority="5841">
      <formula xml:space="preserve"> $A412 = "begin group"</formula>
    </cfRule>
    <cfRule type="expression" dxfId="5725" priority="5842">
      <formula xml:space="preserve"> AND(#REF!="gg",$A412 = "end group")</formula>
    </cfRule>
    <cfRule type="expression" dxfId="5724" priority="5840">
      <formula>AND(#REF! = "section",$A412 = "end group")</formula>
    </cfRule>
    <cfRule type="expression" dxfId="5723" priority="5839">
      <formula>AND(#REF!="section",$A412="begin group")</formula>
    </cfRule>
  </conditionalFormatting>
  <conditionalFormatting sqref="G413">
    <cfRule type="expression" dxfId="5722" priority="5662">
      <formula>AND(#REF! = "section",$A413 = "end group")</formula>
    </cfRule>
    <cfRule type="expression" dxfId="5721" priority="5661">
      <formula>AND(#REF!="section",$A413="begin group")</formula>
    </cfRule>
    <cfRule type="expression" dxfId="5720" priority="5663">
      <formula xml:space="preserve"> $A413 = "begin group"</formula>
    </cfRule>
    <cfRule type="expression" dxfId="5719" priority="5664">
      <formula xml:space="preserve"> AND(#REF!="gg",$A413 = "end group")</formula>
    </cfRule>
  </conditionalFormatting>
  <conditionalFormatting sqref="G414">
    <cfRule type="expression" dxfId="5718" priority="6075">
      <formula xml:space="preserve"> AND(#REF!="gg",$A414 = "end group")</formula>
    </cfRule>
    <cfRule type="expression" dxfId="5717" priority="6072">
      <formula>AND(#REF!="section",$A414="begin group")</formula>
    </cfRule>
    <cfRule type="expression" dxfId="5716" priority="6073">
      <formula>AND(#REF! = "section",$A414 = "end group")</formula>
    </cfRule>
    <cfRule type="expression" dxfId="5715" priority="6074">
      <formula xml:space="preserve"> $A414 = "begin group"</formula>
    </cfRule>
  </conditionalFormatting>
  <conditionalFormatting sqref="G415">
    <cfRule type="expression" dxfId="5714" priority="6043">
      <formula xml:space="preserve"> $A415 = "begin group"</formula>
    </cfRule>
    <cfRule type="expression" dxfId="5713" priority="6041">
      <formula>AND(#REF!="section",$A415="begin group")</formula>
    </cfRule>
    <cfRule type="expression" dxfId="5712" priority="6044">
      <formula xml:space="preserve"> AND(#REF!="gg",$A415 = "end group")</formula>
    </cfRule>
    <cfRule type="expression" dxfId="5711" priority="6042">
      <formula>AND(#REF! = "section",$A415 = "end group")</formula>
    </cfRule>
  </conditionalFormatting>
  <conditionalFormatting sqref="G416">
    <cfRule type="expression" dxfId="5710" priority="3352">
      <formula>AND(#REF! = "section",$A416 = "end group")</formula>
    </cfRule>
    <cfRule type="expression" dxfId="5709" priority="3351">
      <formula>AND(#REF!="section",$A416="begin group")</formula>
    </cfRule>
    <cfRule type="expression" dxfId="5708" priority="3354">
      <formula xml:space="preserve"> AND(#REF!="gg",$A416 = "end group")</formula>
    </cfRule>
    <cfRule type="expression" dxfId="5707" priority="3353">
      <formula xml:space="preserve"> $A416 = "begin group"</formula>
    </cfRule>
  </conditionalFormatting>
  <conditionalFormatting sqref="G417">
    <cfRule type="expression" dxfId="5706" priority="3231">
      <formula>AND(#REF!="section",$A417="begin group")</formula>
    </cfRule>
    <cfRule type="expression" dxfId="5705" priority="3232">
      <formula>AND(#REF! = "section",$A417 = "end group")</formula>
    </cfRule>
    <cfRule type="expression" dxfId="5704" priority="3233">
      <formula xml:space="preserve"> $A417 = "begin group"</formula>
    </cfRule>
    <cfRule type="expression" dxfId="5703" priority="3234">
      <formula xml:space="preserve"> AND(#REF!="gg",$A417 = "end group")</formula>
    </cfRule>
  </conditionalFormatting>
  <conditionalFormatting sqref="G418">
    <cfRule type="expression" dxfId="5702" priority="3201">
      <formula>AND(#REF! = "section",$A418 = "end group")</formula>
    </cfRule>
    <cfRule type="expression" dxfId="5701" priority="3202">
      <formula xml:space="preserve"> $A418 = "begin group"</formula>
    </cfRule>
    <cfRule type="expression" dxfId="5700" priority="3203">
      <formula xml:space="preserve"> AND(#REF!="gg",$A418 = "end group")</formula>
    </cfRule>
    <cfRule type="expression" dxfId="5699" priority="3200">
      <formula>AND(#REF!="section",$A418="begin group")</formula>
    </cfRule>
  </conditionalFormatting>
  <conditionalFormatting sqref="G419">
    <cfRule type="expression" dxfId="5698" priority="3296">
      <formula xml:space="preserve"> AND(#REF!="gg",$A419 = "end group")</formula>
    </cfRule>
    <cfRule type="expression" dxfId="5697" priority="3295">
      <formula xml:space="preserve"> $A419 = "begin group"</formula>
    </cfRule>
    <cfRule type="expression" dxfId="5696" priority="3294">
      <formula>AND(#REF! = "section",$A419 = "end group")</formula>
    </cfRule>
    <cfRule type="expression" dxfId="5695" priority="3293">
      <formula>AND(#REF!="section",$A419="begin group")</formula>
    </cfRule>
  </conditionalFormatting>
  <conditionalFormatting sqref="G420">
    <cfRule type="expression" dxfId="5694" priority="3265">
      <formula xml:space="preserve"> AND(#REF!="gg",$A420 = "end group")</formula>
    </cfRule>
    <cfRule type="expression" dxfId="5693" priority="3263">
      <formula>AND(#REF! = "section",$A420 = "end group")</formula>
    </cfRule>
    <cfRule type="expression" dxfId="5692" priority="3262">
      <formula>AND(#REF!="section",$A420="begin group")</formula>
    </cfRule>
    <cfRule type="expression" dxfId="5691" priority="3264">
      <formula xml:space="preserve"> $A420 = "begin group"</formula>
    </cfRule>
  </conditionalFormatting>
  <conditionalFormatting sqref="G425 E425">
    <cfRule type="expression" dxfId="5690" priority="6731">
      <formula>AND($U$1="disabled",$U425="yes")</formula>
    </cfRule>
    <cfRule type="expression" dxfId="5689" priority="6733">
      <formula xml:space="preserve"> $A421 = "end repeat"</formula>
    </cfRule>
    <cfRule type="expression" dxfId="5688" priority="6732">
      <formula>$A425 = "begin repeat"</formula>
    </cfRule>
  </conditionalFormatting>
  <conditionalFormatting sqref="G426:G456">
    <cfRule type="expression" dxfId="5687" priority="6428">
      <formula>AND(#REF! = "section",$A426 = "end group")</formula>
    </cfRule>
    <cfRule type="expression" dxfId="5686" priority="6429">
      <formula xml:space="preserve"> $A426 = "begin group"</formula>
    </cfRule>
    <cfRule type="expression" dxfId="5685" priority="6430">
      <formula xml:space="preserve"> AND(#REF!="gg",$A426 = "end group")</formula>
    </cfRule>
    <cfRule type="expression" dxfId="5684" priority="6427">
      <formula>AND(#REF!="section",$A426="begin group")</formula>
    </cfRule>
  </conditionalFormatting>
  <conditionalFormatting sqref="G457">
    <cfRule type="expression" dxfId="5683" priority="6329">
      <formula>AND(#REF!="section",$A457="begin group")</formula>
    </cfRule>
    <cfRule type="expression" dxfId="5682" priority="6330">
      <formula>AND(#REF! = "section",$A457 = "end group")</formula>
    </cfRule>
    <cfRule type="expression" dxfId="5681" priority="6331">
      <formula xml:space="preserve"> $A457 = "begin group"</formula>
    </cfRule>
    <cfRule type="expression" dxfId="5680" priority="6332">
      <formula xml:space="preserve"> AND(#REF!="gg",$A457 = "end group")</formula>
    </cfRule>
  </conditionalFormatting>
  <conditionalFormatting sqref="G458">
    <cfRule type="expression" dxfId="5679" priority="5619">
      <formula>AND(#REF!="section",$A458="begin group")</formula>
    </cfRule>
    <cfRule type="expression" dxfId="5678" priority="5621">
      <formula xml:space="preserve"> $A458 = "begin group"</formula>
    </cfRule>
    <cfRule type="expression" dxfId="5677" priority="5622">
      <formula xml:space="preserve"> AND(#REF!="gg",$A458 = "end group")</formula>
    </cfRule>
    <cfRule type="expression" dxfId="5676" priority="5620">
      <formula>AND(#REF! = "section",$A458 = "end group")</formula>
    </cfRule>
  </conditionalFormatting>
  <conditionalFormatting sqref="G459">
    <cfRule type="expression" dxfId="5675" priority="5105">
      <formula xml:space="preserve"> AND(#REF!="gg",$A459 = "end group")</formula>
    </cfRule>
    <cfRule type="expression" dxfId="5674" priority="5104">
      <formula xml:space="preserve"> $A459 = "begin group"</formula>
    </cfRule>
    <cfRule type="expression" dxfId="5673" priority="5103">
      <formula>AND(#REF! = "section",$A459 = "end group")</formula>
    </cfRule>
    <cfRule type="expression" dxfId="5672" priority="5102">
      <formula>AND(#REF!="section",$A459="begin group")</formula>
    </cfRule>
  </conditionalFormatting>
  <conditionalFormatting sqref="G460">
    <cfRule type="expression" dxfId="5671" priority="5083">
      <formula xml:space="preserve"> $A460 = "begin group"</formula>
    </cfRule>
    <cfRule type="expression" dxfId="5670" priority="5082">
      <formula>AND(#REF! = "section",$A460 = "end group")</formula>
    </cfRule>
    <cfRule type="expression" dxfId="5669" priority="5081">
      <formula>AND(#REF!="section",$A460="begin group")</formula>
    </cfRule>
    <cfRule type="expression" dxfId="5668" priority="5084">
      <formula xml:space="preserve"> AND(#REF!="gg",$A460 = "end group")</formula>
    </cfRule>
  </conditionalFormatting>
  <conditionalFormatting sqref="G461">
    <cfRule type="expression" dxfId="5667" priority="5312">
      <formula>AND(#REF!="section",$A461="begin group")</formula>
    </cfRule>
    <cfRule type="expression" dxfId="5666" priority="5313">
      <formula>AND(#REF! = "section",$A461 = "end group")</formula>
    </cfRule>
    <cfRule type="expression" dxfId="5665" priority="5314">
      <formula xml:space="preserve"> $A461 = "begin group"</formula>
    </cfRule>
    <cfRule type="expression" dxfId="5664" priority="5315">
      <formula xml:space="preserve"> AND(#REF!="gg",$A461 = "end group")</formula>
    </cfRule>
  </conditionalFormatting>
  <conditionalFormatting sqref="G462">
    <cfRule type="expression" dxfId="5663" priority="5054">
      <formula>AND(#REF! = "section",$A462 = "end group")</formula>
    </cfRule>
    <cfRule type="expression" dxfId="5662" priority="5053">
      <formula>AND(#REF!="section",$A462="begin group")</formula>
    </cfRule>
    <cfRule type="expression" dxfId="5661" priority="5055">
      <formula xml:space="preserve"> $A462 = "begin group"</formula>
    </cfRule>
    <cfRule type="expression" dxfId="5660" priority="5056">
      <formula xml:space="preserve"> AND(#REF!="gg",$A462 = "end group")</formula>
    </cfRule>
  </conditionalFormatting>
  <conditionalFormatting sqref="G463">
    <cfRule type="expression" dxfId="5659" priority="5591">
      <formula>AND(#REF!="section",$A463="begin group")</formula>
    </cfRule>
    <cfRule type="expression" dxfId="5658" priority="5592">
      <formula>AND(#REF! = "section",$A463 = "end group")</formula>
    </cfRule>
    <cfRule type="expression" dxfId="5657" priority="5593">
      <formula xml:space="preserve"> $A463 = "begin group"</formula>
    </cfRule>
    <cfRule type="expression" dxfId="5656" priority="5594">
      <formula xml:space="preserve"> AND(#REF!="gg",$A463 = "end group")</formula>
    </cfRule>
  </conditionalFormatting>
  <conditionalFormatting sqref="G464">
    <cfRule type="expression" dxfId="5655" priority="5560">
      <formula>AND(#REF!="section",$A464="begin group")</formula>
    </cfRule>
    <cfRule type="expression" dxfId="5654" priority="5563">
      <formula xml:space="preserve"> AND(#REF!="gg",$A464 = "end group")</formula>
    </cfRule>
    <cfRule type="expression" dxfId="5653" priority="5561">
      <formula>AND(#REF! = "section",$A464 = "end group")</formula>
    </cfRule>
    <cfRule type="expression" dxfId="5652" priority="5562">
      <formula xml:space="preserve"> $A464 = "begin group"</formula>
    </cfRule>
  </conditionalFormatting>
  <conditionalFormatting sqref="G465">
    <cfRule type="expression" dxfId="5651" priority="5532">
      <formula xml:space="preserve"> AND(#REF!="gg",$A465 = "end group")</formula>
    </cfRule>
    <cfRule type="expression" dxfId="5650" priority="5531">
      <formula xml:space="preserve"> $A465 = "begin group"</formula>
    </cfRule>
    <cfRule type="expression" dxfId="5649" priority="5529">
      <formula>AND(#REF!="section",$A465="begin group")</formula>
    </cfRule>
    <cfRule type="expression" dxfId="5648" priority="5530">
      <formula>AND(#REF! = "section",$A465 = "end group")</formula>
    </cfRule>
  </conditionalFormatting>
  <conditionalFormatting sqref="G466">
    <cfRule type="expression" dxfId="5647" priority="3711">
      <formula xml:space="preserve"> AND(#REF!="gg",$A466 = "end group")</formula>
    </cfRule>
    <cfRule type="expression" dxfId="5646" priority="3708">
      <formula>AND(#REF!="section",$A466="begin group")</formula>
    </cfRule>
    <cfRule type="expression" dxfId="5645" priority="3709">
      <formula>AND(#REF! = "section",$A466 = "end group")</formula>
    </cfRule>
    <cfRule type="expression" dxfId="5644" priority="3710">
      <formula xml:space="preserve"> $A466 = "begin group"</formula>
    </cfRule>
  </conditionalFormatting>
  <conditionalFormatting sqref="G467">
    <cfRule type="expression" dxfId="5643" priority="3673">
      <formula xml:space="preserve"> AND(#REF!="gg",$A467 = "end group")</formula>
    </cfRule>
    <cfRule type="expression" dxfId="5642" priority="3670">
      <formula>AND(#REF!="section",$A467="begin group")</formula>
    </cfRule>
    <cfRule type="expression" dxfId="5641" priority="3671">
      <formula>AND(#REF! = "section",$A467 = "end group")</formula>
    </cfRule>
    <cfRule type="expression" dxfId="5640" priority="3672">
      <formula xml:space="preserve"> $A467 = "begin group"</formula>
    </cfRule>
  </conditionalFormatting>
  <conditionalFormatting sqref="G468">
    <cfRule type="expression" dxfId="5639" priority="5281">
      <formula>AND(#REF!="section",$A468="begin group")</formula>
    </cfRule>
    <cfRule type="expression" dxfId="5638" priority="5284">
      <formula xml:space="preserve"> AND(#REF!="gg",$A468 = "end group")</formula>
    </cfRule>
    <cfRule type="expression" dxfId="5637" priority="5282">
      <formula>AND(#REF! = "section",$A468 = "end group")</formula>
    </cfRule>
    <cfRule type="expression" dxfId="5636" priority="5283">
      <formula xml:space="preserve"> $A468 = "begin group"</formula>
    </cfRule>
  </conditionalFormatting>
  <conditionalFormatting sqref="G469">
    <cfRule type="expression" dxfId="5635" priority="5128">
      <formula xml:space="preserve"> $A469 = "begin group"</formula>
    </cfRule>
    <cfRule type="expression" dxfId="5634" priority="5127">
      <formula>AND(#REF! = "section",$A469 = "end group")</formula>
    </cfRule>
    <cfRule type="expression" dxfId="5633" priority="5126">
      <formula>AND(#REF!="section",$A469="begin group")</formula>
    </cfRule>
    <cfRule type="expression" dxfId="5632" priority="5129">
      <formula xml:space="preserve"> AND(#REF!="gg",$A469 = "end group")</formula>
    </cfRule>
  </conditionalFormatting>
  <conditionalFormatting sqref="G470">
    <cfRule type="expression" dxfId="5631" priority="5501">
      <formula xml:space="preserve"> AND(#REF!="gg",$A470 = "end group")</formula>
    </cfRule>
    <cfRule type="expression" dxfId="5630" priority="5500">
      <formula xml:space="preserve"> $A470 = "begin group"</formula>
    </cfRule>
    <cfRule type="expression" dxfId="5629" priority="5499">
      <formula>AND(#REF! = "section",$A470 = "end group")</formula>
    </cfRule>
    <cfRule type="expression" dxfId="5628" priority="5498">
      <formula>AND(#REF!="section",$A470="begin group")</formula>
    </cfRule>
  </conditionalFormatting>
  <conditionalFormatting sqref="G471">
    <cfRule type="expression" dxfId="5627" priority="5467">
      <formula>AND(#REF!="section",$A471="begin group")</formula>
    </cfRule>
    <cfRule type="expression" dxfId="5626" priority="5468">
      <formula>AND(#REF! = "section",$A471 = "end group")</formula>
    </cfRule>
    <cfRule type="expression" dxfId="5625" priority="5469">
      <formula xml:space="preserve"> $A471 = "begin group"</formula>
    </cfRule>
    <cfRule type="expression" dxfId="5624" priority="5470">
      <formula xml:space="preserve"> AND(#REF!="gg",$A471 = "end group")</formula>
    </cfRule>
  </conditionalFormatting>
  <conditionalFormatting sqref="G472">
    <cfRule type="expression" dxfId="5623" priority="5252">
      <formula xml:space="preserve"> $A472 = "begin group"</formula>
    </cfRule>
    <cfRule type="expression" dxfId="5622" priority="5250">
      <formula>AND(#REF!="section",$A472="begin group")</formula>
    </cfRule>
    <cfRule type="expression" dxfId="5621" priority="5253">
      <formula xml:space="preserve"> AND(#REF!="gg",$A472 = "end group")</formula>
    </cfRule>
    <cfRule type="expression" dxfId="5620" priority="5251">
      <formula>AND(#REF! = "section",$A472 = "end group")</formula>
    </cfRule>
  </conditionalFormatting>
  <conditionalFormatting sqref="G473">
    <cfRule type="expression" dxfId="5619" priority="5157">
      <formula>AND(#REF!="section",$A473="begin group")</formula>
    </cfRule>
    <cfRule type="expression" dxfId="5618" priority="5160">
      <formula xml:space="preserve"> AND(#REF!="gg",$A473 = "end group")</formula>
    </cfRule>
    <cfRule type="expression" dxfId="5617" priority="5159">
      <formula xml:space="preserve"> $A473 = "begin group"</formula>
    </cfRule>
    <cfRule type="expression" dxfId="5616" priority="5158">
      <formula>AND(#REF! = "section",$A473 = "end group")</formula>
    </cfRule>
  </conditionalFormatting>
  <conditionalFormatting sqref="G474">
    <cfRule type="expression" dxfId="5615" priority="5219">
      <formula>AND(#REF!="section",$A474="begin group")</formula>
    </cfRule>
    <cfRule type="expression" dxfId="5614" priority="5220">
      <formula>AND(#REF! = "section",$A474 = "end group")</formula>
    </cfRule>
    <cfRule type="expression" dxfId="5613" priority="5221">
      <formula xml:space="preserve"> $A474 = "begin group"</formula>
    </cfRule>
    <cfRule type="expression" dxfId="5612" priority="5222">
      <formula xml:space="preserve"> AND(#REF!="gg",$A474 = "end group")</formula>
    </cfRule>
  </conditionalFormatting>
  <conditionalFormatting sqref="G475">
    <cfRule type="expression" dxfId="5611" priority="5436">
      <formula>AND(#REF!="section",$A475="begin group")</formula>
    </cfRule>
    <cfRule type="expression" dxfId="5610" priority="5438">
      <formula xml:space="preserve"> $A475 = "begin group"</formula>
    </cfRule>
    <cfRule type="expression" dxfId="5609" priority="5439">
      <formula xml:space="preserve"> AND(#REF!="gg",$A475 = "end group")</formula>
    </cfRule>
    <cfRule type="expression" dxfId="5608" priority="5437">
      <formula>AND(#REF! = "section",$A475 = "end group")</formula>
    </cfRule>
  </conditionalFormatting>
  <conditionalFormatting sqref="G476">
    <cfRule type="expression" dxfId="5607" priority="5406">
      <formula>AND(#REF! = "section",$A476 = "end group")</formula>
    </cfRule>
    <cfRule type="expression" dxfId="5606" priority="5407">
      <formula xml:space="preserve"> $A476 = "begin group"</formula>
    </cfRule>
    <cfRule type="expression" dxfId="5605" priority="5405">
      <formula>AND(#REF!="section",$A476="begin group")</formula>
    </cfRule>
    <cfRule type="expression" dxfId="5604" priority="5408">
      <formula xml:space="preserve"> AND(#REF!="gg",$A476 = "end group")</formula>
    </cfRule>
  </conditionalFormatting>
  <conditionalFormatting sqref="G477 E412 G412 E477">
    <cfRule type="expression" dxfId="5603" priority="5653">
      <formula>$A412 = "begin repeat"</formula>
    </cfRule>
    <cfRule type="expression" dxfId="5602" priority="5654">
      <formula xml:space="preserve"> $A441 = "end repeat"</formula>
    </cfRule>
    <cfRule type="expression" dxfId="5601" priority="5652">
      <formula>AND($U$1="disabled",$U440="yes")</formula>
    </cfRule>
  </conditionalFormatting>
  <conditionalFormatting sqref="G477">
    <cfRule type="expression" dxfId="5600" priority="5191">
      <formula xml:space="preserve"> AND(#REF!="gg",$A477 = "end group")</formula>
    </cfRule>
    <cfRule type="expression" dxfId="5599" priority="5190">
      <formula xml:space="preserve"> $A477 = "begin group"</formula>
    </cfRule>
    <cfRule type="expression" dxfId="5598" priority="5189">
      <formula>AND(#REF! = "section",$A477 = "end group")</formula>
    </cfRule>
    <cfRule type="expression" dxfId="5597" priority="5188">
      <formula>AND(#REF!="section",$A477="begin group")</formula>
    </cfRule>
  </conditionalFormatting>
  <conditionalFormatting sqref="G478">
    <cfRule type="expression" dxfId="5596" priority="5024">
      <formula xml:space="preserve"> $A478 = "begin group"</formula>
    </cfRule>
    <cfRule type="expression" dxfId="5595" priority="5023">
      <formula>AND(#REF! = "section",$A478 = "end group")</formula>
    </cfRule>
    <cfRule type="expression" dxfId="5594" priority="5022">
      <formula>AND(#REF!="section",$A478="begin group")</formula>
    </cfRule>
    <cfRule type="expression" dxfId="5593" priority="5025">
      <formula xml:space="preserve"> AND(#REF!="gg",$A478 = "end group")</formula>
    </cfRule>
  </conditionalFormatting>
  <conditionalFormatting sqref="G479">
    <cfRule type="expression" dxfId="5592" priority="5374">
      <formula>AND(#REF!="section",$A479="begin group")</formula>
    </cfRule>
    <cfRule type="expression" dxfId="5591" priority="5375">
      <formula>AND(#REF! = "section",$A479 = "end group")</formula>
    </cfRule>
    <cfRule type="expression" dxfId="5590" priority="5377">
      <formula xml:space="preserve"> AND(#REF!="gg",$A479 = "end group")</formula>
    </cfRule>
    <cfRule type="expression" dxfId="5589" priority="5376">
      <formula xml:space="preserve"> $A479 = "begin group"</formula>
    </cfRule>
  </conditionalFormatting>
  <conditionalFormatting sqref="G480">
    <cfRule type="expression" dxfId="5588" priority="5346">
      <formula xml:space="preserve"> AND(#REF!="gg",$A480 = "end group")</formula>
    </cfRule>
    <cfRule type="expression" dxfId="5587" priority="5345">
      <formula xml:space="preserve"> $A480 = "begin group"</formula>
    </cfRule>
    <cfRule type="expression" dxfId="5586" priority="5344">
      <formula>AND(#REF! = "section",$A480 = "end group")</formula>
    </cfRule>
    <cfRule type="expression" dxfId="5585" priority="5343">
      <formula>AND(#REF!="section",$A480="begin group")</formula>
    </cfRule>
  </conditionalFormatting>
  <conditionalFormatting sqref="G481 G416 E481 E416 G463:G467 E463:E467 G398:G402 E398:E402">
    <cfRule type="expression" dxfId="5584" priority="3735">
      <formula xml:space="preserve"> $A432 = "end repeat"</formula>
    </cfRule>
    <cfRule type="expression" dxfId="5583" priority="3734">
      <formula>$A398 = "begin repeat"</formula>
    </cfRule>
    <cfRule type="expression" dxfId="5582" priority="3733">
      <formula>AND($U$1="disabled",$U431="yes")</formula>
    </cfRule>
  </conditionalFormatting>
  <conditionalFormatting sqref="G481">
    <cfRule type="expression" dxfId="5581" priority="3629">
      <formula xml:space="preserve"> AND(#REF!="gg",$A481 = "end group")</formula>
    </cfRule>
    <cfRule type="expression" dxfId="5580" priority="3627">
      <formula>AND(#REF! = "section",$A481 = "end group")</formula>
    </cfRule>
    <cfRule type="expression" dxfId="5579" priority="3628">
      <formula xml:space="preserve"> $A481 = "begin group"</formula>
    </cfRule>
    <cfRule type="expression" dxfId="5578" priority="3626">
      <formula>AND(#REF!="section",$A481="begin group")</formula>
    </cfRule>
  </conditionalFormatting>
  <conditionalFormatting sqref="G482">
    <cfRule type="expression" dxfId="5577" priority="3484">
      <formula>AND(#REF!="section",$A482="begin group")</formula>
    </cfRule>
    <cfRule type="expression" dxfId="5576" priority="3485">
      <formula>AND(#REF! = "section",$A482 = "end group")</formula>
    </cfRule>
    <cfRule type="expression" dxfId="5575" priority="3486">
      <formula xml:space="preserve"> $A482 = "begin group"</formula>
    </cfRule>
    <cfRule type="expression" dxfId="5574" priority="3487">
      <formula xml:space="preserve"> AND(#REF!="gg",$A482 = "end group")</formula>
    </cfRule>
  </conditionalFormatting>
  <conditionalFormatting sqref="G483">
    <cfRule type="expression" dxfId="5573" priority="3456">
      <formula xml:space="preserve"> AND(#REF!="gg",$A483 = "end group")</formula>
    </cfRule>
    <cfRule type="expression" dxfId="5572" priority="3455">
      <formula xml:space="preserve"> $A483 = "begin group"</formula>
    </cfRule>
    <cfRule type="expression" dxfId="5571" priority="3454">
      <formula>AND(#REF! = "section",$A483 = "end group")</formula>
    </cfRule>
    <cfRule type="expression" dxfId="5570" priority="3453">
      <formula>AND(#REF!="section",$A483="begin group")</formula>
    </cfRule>
  </conditionalFormatting>
  <conditionalFormatting sqref="G484">
    <cfRule type="expression" dxfId="5569" priority="3549">
      <formula xml:space="preserve"> AND(#REF!="gg",$A484 = "end group")</formula>
    </cfRule>
    <cfRule type="expression" dxfId="5568" priority="3548">
      <formula xml:space="preserve"> $A484 = "begin group"</formula>
    </cfRule>
    <cfRule type="expression" dxfId="5567" priority="3547">
      <formula>AND(#REF! = "section",$A484 = "end group")</formula>
    </cfRule>
    <cfRule type="expression" dxfId="5566" priority="3546">
      <formula>AND(#REF!="section",$A484="begin group")</formula>
    </cfRule>
  </conditionalFormatting>
  <conditionalFormatting sqref="G485">
    <cfRule type="expression" dxfId="5565" priority="3516">
      <formula>AND(#REF! = "section",$A485 = "end group")</formula>
    </cfRule>
    <cfRule type="expression" dxfId="5564" priority="3515">
      <formula>AND(#REF!="section",$A485="begin group")</formula>
    </cfRule>
    <cfRule type="expression" dxfId="5563" priority="3518">
      <formula xml:space="preserve"> AND(#REF!="gg",$A485 = "end group")</formula>
    </cfRule>
    <cfRule type="expression" dxfId="5562" priority="3517">
      <formula xml:space="preserve"> $A485 = "begin group"</formula>
    </cfRule>
  </conditionalFormatting>
  <conditionalFormatting sqref="G491:G521">
    <cfRule type="expression" dxfId="5561" priority="6420">
      <formula xml:space="preserve"> AND(#REF!="gg",$A491 = "end group")</formula>
    </cfRule>
    <cfRule type="expression" dxfId="5560" priority="6419">
      <formula xml:space="preserve"> $A491 = "begin group"</formula>
    </cfRule>
    <cfRule type="expression" dxfId="5559" priority="6418">
      <formula>AND(#REF! = "section",$A491 = "end group")</formula>
    </cfRule>
    <cfRule type="expression" dxfId="5558" priority="6417">
      <formula>AND(#REF!="section",$A491="begin group")</formula>
    </cfRule>
  </conditionalFormatting>
  <conditionalFormatting sqref="G513:G521 E513:E521">
    <cfRule type="expression" dxfId="5557" priority="3776">
      <formula>$A513 = "begin repeat"</formula>
    </cfRule>
    <cfRule type="expression" dxfId="5556" priority="3777">
      <formula xml:space="preserve"> $A558 = "end repeat"</formula>
    </cfRule>
    <cfRule type="expression" dxfId="5555" priority="3775">
      <formula>AND($U$1="disabled",$U557="yes")</formula>
    </cfRule>
  </conditionalFormatting>
  <conditionalFormatting sqref="G518 G514 E516 E518 E514 G516">
    <cfRule type="expression" dxfId="5554" priority="4173">
      <formula xml:space="preserve"> #REF! = "end repeat"</formula>
    </cfRule>
    <cfRule type="expression" dxfId="5553" priority="4172">
      <formula>$A514 = "begin repeat"</formula>
    </cfRule>
    <cfRule type="expression" dxfId="5552" priority="4171">
      <formula>AND($U$1="disabled",$U558="yes")</formula>
    </cfRule>
  </conditionalFormatting>
  <conditionalFormatting sqref="G522">
    <cfRule type="expression" dxfId="5551" priority="6006">
      <formula xml:space="preserve"> AND(#REF!="gg",$A522 = "end group")</formula>
    </cfRule>
    <cfRule type="expression" dxfId="5550" priority="6005">
      <formula xml:space="preserve"> $A522 = "begin group"</formula>
    </cfRule>
    <cfRule type="expression" dxfId="5549" priority="6004">
      <formula>AND(#REF! = "section",$A522 = "end group")</formula>
    </cfRule>
    <cfRule type="expression" dxfId="5548" priority="6003">
      <formula>AND(#REF!="section",$A522="begin group")</formula>
    </cfRule>
  </conditionalFormatting>
  <conditionalFormatting sqref="G523">
    <cfRule type="expression" dxfId="5547" priority="4639">
      <formula xml:space="preserve"> AND(#REF!="gg",$A523 = "end group")</formula>
    </cfRule>
    <cfRule type="expression" dxfId="5546" priority="4636">
      <formula>AND(#REF!="section",$A523="begin group")</formula>
    </cfRule>
    <cfRule type="expression" dxfId="5545" priority="4637">
      <formula>AND(#REF! = "section",$A523 = "end group")</formula>
    </cfRule>
    <cfRule type="expression" dxfId="5544" priority="4638">
      <formula xml:space="preserve"> $A523 = "begin group"</formula>
    </cfRule>
  </conditionalFormatting>
  <conditionalFormatting sqref="G523:G540">
    <cfRule type="expression" dxfId="5543" priority="6471">
      <formula>AND($U$1="disabled",#REF!="yes")</formula>
    </cfRule>
  </conditionalFormatting>
  <conditionalFormatting sqref="G524">
    <cfRule type="expression" dxfId="5542" priority="4998">
      <formula>AND(#REF!="section",$A524="begin group")</formula>
    </cfRule>
    <cfRule type="expression" dxfId="5541" priority="4999">
      <formula>AND(#REF! = "section",$A524 = "end group")</formula>
    </cfRule>
    <cfRule type="expression" dxfId="5540" priority="5000">
      <formula xml:space="preserve"> $A524 = "begin group"</formula>
    </cfRule>
    <cfRule type="expression" dxfId="5539" priority="5001">
      <formula xml:space="preserve"> AND(#REF!="gg",$A524 = "end group")</formula>
    </cfRule>
  </conditionalFormatting>
  <conditionalFormatting sqref="G525">
    <cfRule type="expression" dxfId="5538" priority="4720">
      <formula xml:space="preserve"> $A525 = "begin group"</formula>
    </cfRule>
    <cfRule type="expression" dxfId="5537" priority="4719">
      <formula>AND(#REF! = "section",$A525 = "end group")</formula>
    </cfRule>
    <cfRule type="expression" dxfId="5536" priority="4718">
      <formula>AND(#REF!="section",$A525="begin group")</formula>
    </cfRule>
    <cfRule type="expression" dxfId="5535" priority="4721">
      <formula xml:space="preserve"> AND(#REF!="gg",$A525 = "end group")</formula>
    </cfRule>
  </conditionalFormatting>
  <conditionalFormatting sqref="G526">
    <cfRule type="expression" dxfId="5534" priority="4668">
      <formula xml:space="preserve"> AND(#REF!="gg",$A526 = "end group")</formula>
    </cfRule>
    <cfRule type="expression" dxfId="5533" priority="4667">
      <formula xml:space="preserve"> $A526 = "begin group"</formula>
    </cfRule>
    <cfRule type="expression" dxfId="5532" priority="4666">
      <formula>AND(#REF! = "section",$A526 = "end group")</formula>
    </cfRule>
    <cfRule type="expression" dxfId="5531" priority="4665">
      <formula>AND(#REF!="section",$A526="begin group")</formula>
    </cfRule>
  </conditionalFormatting>
  <conditionalFormatting sqref="G527">
    <cfRule type="expression" dxfId="5530" priority="4612">
      <formula>AND(#REF!="section",$A527="begin group")</formula>
    </cfRule>
    <cfRule type="expression" dxfId="5529" priority="4613">
      <formula>AND(#REF! = "section",$A527 = "end group")</formula>
    </cfRule>
    <cfRule type="expression" dxfId="5528" priority="4614">
      <formula xml:space="preserve"> $A527 = "begin group"</formula>
    </cfRule>
    <cfRule type="expression" dxfId="5527" priority="4615">
      <formula xml:space="preserve"> AND(#REF!="gg",$A527 = "end group")</formula>
    </cfRule>
  </conditionalFormatting>
  <conditionalFormatting sqref="G529">
    <cfRule type="expression" dxfId="5526" priority="4974">
      <formula>AND(#REF!="section",$A529="begin group")</formula>
    </cfRule>
    <cfRule type="expression" dxfId="5525" priority="4975">
      <formula>AND(#REF! = "section",$A529 = "end group")</formula>
    </cfRule>
    <cfRule type="expression" dxfId="5524" priority="4977">
      <formula xml:space="preserve"> AND(#REF!="gg",$A529 = "end group")</formula>
    </cfRule>
    <cfRule type="expression" dxfId="5523" priority="4976">
      <formula xml:space="preserve"> $A529 = "begin group"</formula>
    </cfRule>
  </conditionalFormatting>
  <conditionalFormatting sqref="G530">
    <cfRule type="expression" dxfId="5522" priority="4947">
      <formula xml:space="preserve"> $A530 = "begin group"</formula>
    </cfRule>
    <cfRule type="expression" dxfId="5521" priority="4948">
      <formula xml:space="preserve"> AND(#REF!="gg",$A530 = "end group")</formula>
    </cfRule>
    <cfRule type="expression" dxfId="5520" priority="4945">
      <formula>AND(#REF!="section",$A530="begin group")</formula>
    </cfRule>
    <cfRule type="expression" dxfId="5519" priority="4946">
      <formula>AND(#REF! = "section",$A530 = "end group")</formula>
    </cfRule>
  </conditionalFormatting>
  <conditionalFormatting sqref="G531">
    <cfRule type="expression" dxfId="5518" priority="3813">
      <formula xml:space="preserve"> AND(#REF!="gg",$A531 = "end group")</formula>
    </cfRule>
    <cfRule type="expression" dxfId="5517" priority="3812">
      <formula xml:space="preserve"> $A531 = "begin group"</formula>
    </cfRule>
    <cfRule type="expression" dxfId="5516" priority="3811">
      <formula>AND(#REF! = "section",$A531 = "end group")</formula>
    </cfRule>
    <cfRule type="expression" dxfId="5515" priority="3810">
      <formula>AND(#REF!="section",$A531="begin group")</formula>
    </cfRule>
  </conditionalFormatting>
  <conditionalFormatting sqref="G532">
    <cfRule type="expression" dxfId="5514" priority="4586">
      <formula xml:space="preserve"> AND(#REF!="gg",$A532 = "end group")</formula>
    </cfRule>
    <cfRule type="expression" dxfId="5513" priority="4583">
      <formula>AND(#REF!="section",$A532="begin group")</formula>
    </cfRule>
    <cfRule type="expression" dxfId="5512" priority="4584">
      <formula>AND(#REF! = "section",$A532 = "end group")</formula>
    </cfRule>
    <cfRule type="expression" dxfId="5511" priority="4585">
      <formula xml:space="preserve"> $A532 = "begin group"</formula>
    </cfRule>
  </conditionalFormatting>
  <conditionalFormatting sqref="G533">
    <cfRule type="expression" dxfId="5510" priority="3750">
      <formula xml:space="preserve"> $A533 = "begin group"</formula>
    </cfRule>
    <cfRule type="expression" dxfId="5509" priority="3749">
      <formula>AND(#REF! = "section",$A533 = "end group")</formula>
    </cfRule>
    <cfRule type="expression" dxfId="5508" priority="3748">
      <formula>AND(#REF!="section",$A533="begin group")</formula>
    </cfRule>
    <cfRule type="expression" dxfId="5507" priority="3751">
      <formula xml:space="preserve"> AND(#REF!="gg",$A533 = "end group")</formula>
    </cfRule>
  </conditionalFormatting>
  <conditionalFormatting sqref="G534">
    <cfRule type="expression" dxfId="5506" priority="4800">
      <formula>AND(#REF!="section",$A534="begin group")</formula>
    </cfRule>
    <cfRule type="expression" dxfId="5505" priority="4801">
      <formula>AND(#REF! = "section",$A534 = "end group")</formula>
    </cfRule>
    <cfRule type="expression" dxfId="5504" priority="4802">
      <formula xml:space="preserve"> $A534 = "begin group"</formula>
    </cfRule>
    <cfRule type="expression" dxfId="5503" priority="4803">
      <formula xml:space="preserve"> AND(#REF!="gg",$A534 = "end group")</formula>
    </cfRule>
  </conditionalFormatting>
  <conditionalFormatting sqref="G535">
    <cfRule type="expression" dxfId="5502" priority="4744">
      <formula xml:space="preserve"> $A535 = "begin group"</formula>
    </cfRule>
    <cfRule type="expression" dxfId="5501" priority="4745">
      <formula xml:space="preserve"> AND(#REF!="gg",$A535 = "end group")</formula>
    </cfRule>
    <cfRule type="expression" dxfId="5500" priority="4743">
      <formula>AND(#REF! = "section",$A535 = "end group")</formula>
    </cfRule>
    <cfRule type="expression" dxfId="5499" priority="4742">
      <formula>AND(#REF!="section",$A535="begin group")</formula>
    </cfRule>
  </conditionalFormatting>
  <conditionalFormatting sqref="G536">
    <cfRule type="expression" dxfId="5498" priority="4916">
      <formula>AND(#REF!="section",$A536="begin group")</formula>
    </cfRule>
    <cfRule type="expression" dxfId="5497" priority="4917">
      <formula>AND(#REF! = "section",$A536 = "end group")</formula>
    </cfRule>
    <cfRule type="expression" dxfId="5496" priority="4918">
      <formula xml:space="preserve"> $A536 = "begin group"</formula>
    </cfRule>
    <cfRule type="expression" dxfId="5495" priority="4919">
      <formula xml:space="preserve"> AND(#REF!="gg",$A536 = "end group")</formula>
    </cfRule>
  </conditionalFormatting>
  <conditionalFormatting sqref="G537">
    <cfRule type="expression" dxfId="5494" priority="4557">
      <formula xml:space="preserve"> AND(#REF!="gg",$A537 = "end group")</formula>
    </cfRule>
    <cfRule type="expression" dxfId="5493" priority="4554">
      <formula>AND(#REF!="section",$A537="begin group")</formula>
    </cfRule>
    <cfRule type="expression" dxfId="5492" priority="4555">
      <formula>AND(#REF! = "section",$A537 = "end group")</formula>
    </cfRule>
    <cfRule type="expression" dxfId="5491" priority="4556">
      <formula xml:space="preserve"> $A537 = "begin group"</formula>
    </cfRule>
  </conditionalFormatting>
  <conditionalFormatting sqref="G538">
    <cfRule type="expression" dxfId="5490" priority="4525">
      <formula>AND(#REF!="section",$A538="begin group")</formula>
    </cfRule>
    <cfRule type="expression" dxfId="5489" priority="4526">
      <formula>AND(#REF! = "section",$A538 = "end group")</formula>
    </cfRule>
    <cfRule type="expression" dxfId="5488" priority="4527">
      <formula xml:space="preserve"> $A538 = "begin group"</formula>
    </cfRule>
    <cfRule type="expression" dxfId="5487" priority="4528">
      <formula xml:space="preserve"> AND(#REF!="gg",$A538 = "end group")</formula>
    </cfRule>
  </conditionalFormatting>
  <conditionalFormatting sqref="G539">
    <cfRule type="expression" dxfId="5486" priority="4498">
      <formula xml:space="preserve"> $A539 = "begin group"</formula>
    </cfRule>
    <cfRule type="expression" dxfId="5485" priority="4499">
      <formula xml:space="preserve"> AND(#REF!="gg",$A539 = "end group")</formula>
    </cfRule>
    <cfRule type="expression" dxfId="5484" priority="4497">
      <formula>AND(#REF! = "section",$A539 = "end group")</formula>
    </cfRule>
    <cfRule type="expression" dxfId="5483" priority="4496">
      <formula>AND(#REF!="section",$A539="begin group")</formula>
    </cfRule>
  </conditionalFormatting>
  <conditionalFormatting sqref="G540">
    <cfRule type="expression" dxfId="5482" priority="4890">
      <formula xml:space="preserve"> AND(#REF!="gg",$A540 = "end group")</formula>
    </cfRule>
    <cfRule type="expression" dxfId="5481" priority="4889">
      <formula xml:space="preserve"> $A540 = "begin group"</formula>
    </cfRule>
    <cfRule type="expression" dxfId="5480" priority="4888">
      <formula>AND(#REF! = "section",$A540 = "end group")</formula>
    </cfRule>
    <cfRule type="expression" dxfId="5479" priority="4887">
      <formula>AND(#REF!="section",$A540="begin group")</formula>
    </cfRule>
  </conditionalFormatting>
  <conditionalFormatting sqref="G541">
    <cfRule type="expression" dxfId="5478" priority="4861">
      <formula xml:space="preserve"> AND(#REF!="gg",$A541 = "end group")</formula>
    </cfRule>
    <cfRule type="expression" dxfId="5477" priority="4858">
      <formula>AND(#REF!="section",$A541="begin group")</formula>
    </cfRule>
    <cfRule type="expression" dxfId="5476" priority="4859">
      <formula>AND(#REF! = "section",$A541 = "end group")</formula>
    </cfRule>
    <cfRule type="expression" dxfId="5475" priority="4860">
      <formula xml:space="preserve"> $A541 = "begin group"</formula>
    </cfRule>
  </conditionalFormatting>
  <conditionalFormatting sqref="G542">
    <cfRule type="expression" dxfId="5474" priority="4381">
      <formula>AND(#REF! = "section",$A542 = "end group")</formula>
    </cfRule>
    <cfRule type="expression" dxfId="5473" priority="4383">
      <formula xml:space="preserve"> AND(#REF!="gg",$A542 = "end group")</formula>
    </cfRule>
    <cfRule type="expression" dxfId="5472" priority="4382">
      <formula xml:space="preserve"> $A542 = "begin group"</formula>
    </cfRule>
    <cfRule type="expression" dxfId="5471" priority="4380">
      <formula>AND(#REF!="section",$A542="begin group")</formula>
    </cfRule>
  </conditionalFormatting>
  <conditionalFormatting sqref="G542:G556 E542:E556 E523:E540 G523:G540">
    <cfRule type="expression" dxfId="5470" priority="6472">
      <formula>$A523 = "begin repeat"</formula>
    </cfRule>
    <cfRule type="expression" dxfId="5469" priority="6473">
      <formula xml:space="preserve"> #REF! = "end repeat"</formula>
    </cfRule>
  </conditionalFormatting>
  <conditionalFormatting sqref="G543">
    <cfRule type="expression" dxfId="5468" priority="4771">
      <formula>AND(#REF!="section",$A543="begin group")</formula>
    </cfRule>
    <cfRule type="expression" dxfId="5467" priority="4773">
      <formula xml:space="preserve"> $A543 = "begin group"</formula>
    </cfRule>
    <cfRule type="expression" dxfId="5466" priority="4774">
      <formula xml:space="preserve"> AND(#REF!="gg",$A543 = "end group")</formula>
    </cfRule>
    <cfRule type="expression" dxfId="5465" priority="4772">
      <formula>AND(#REF! = "section",$A543 = "end group")</formula>
    </cfRule>
  </conditionalFormatting>
  <conditionalFormatting sqref="G544">
    <cfRule type="expression" dxfId="5464" priority="4695">
      <formula>AND(#REF! = "section",$A544 = "end group")</formula>
    </cfRule>
    <cfRule type="expression" dxfId="5463" priority="4696">
      <formula xml:space="preserve"> $A544 = "begin group"</formula>
    </cfRule>
    <cfRule type="expression" dxfId="5462" priority="4697">
      <formula xml:space="preserve"> AND(#REF!="gg",$A544 = "end group")</formula>
    </cfRule>
    <cfRule type="expression" dxfId="5461" priority="4694">
      <formula>AND(#REF!="section",$A544="begin group")</formula>
    </cfRule>
  </conditionalFormatting>
  <conditionalFormatting sqref="G545">
    <cfRule type="expression" dxfId="5460" priority="4832">
      <formula xml:space="preserve"> AND(#REF!="gg",$A545 = "end group")</formula>
    </cfRule>
    <cfRule type="expression" dxfId="5459" priority="4830">
      <formula>AND(#REF! = "section",$A545 = "end group")</formula>
    </cfRule>
    <cfRule type="expression" dxfId="5458" priority="4829">
      <formula>AND(#REF!="section",$A545="begin group")</formula>
    </cfRule>
    <cfRule type="expression" dxfId="5457" priority="4831">
      <formula xml:space="preserve"> $A545 = "begin group"</formula>
    </cfRule>
  </conditionalFormatting>
  <conditionalFormatting sqref="G546">
    <cfRule type="expression" dxfId="5456" priority="4468">
      <formula>AND(#REF! = "section",$A546 = "end group")</formula>
    </cfRule>
    <cfRule type="expression" dxfId="5455" priority="4467">
      <formula>AND(#REF!="section",$A546="begin group")</formula>
    </cfRule>
    <cfRule type="expression" dxfId="5454" priority="4470">
      <formula xml:space="preserve"> AND(#REF!="gg",$A546 = "end group")</formula>
    </cfRule>
    <cfRule type="expression" dxfId="5453" priority="4469">
      <formula xml:space="preserve"> $A546 = "begin group"</formula>
    </cfRule>
  </conditionalFormatting>
  <conditionalFormatting sqref="G547">
    <cfRule type="expression" dxfId="5452" priority="4440">
      <formula xml:space="preserve"> $A547 = "begin group"</formula>
    </cfRule>
    <cfRule type="expression" dxfId="5451" priority="4441">
      <formula xml:space="preserve"> AND(#REF!="gg",$A547 = "end group")</formula>
    </cfRule>
    <cfRule type="expression" dxfId="5450" priority="4438">
      <formula>AND(#REF!="section",$A547="begin group")</formula>
    </cfRule>
    <cfRule type="expression" dxfId="5449" priority="4439">
      <formula>AND(#REF! = "section",$A547 = "end group")</formula>
    </cfRule>
  </conditionalFormatting>
  <conditionalFormatting sqref="G548">
    <cfRule type="expression" dxfId="5448" priority="4409">
      <formula>AND(#REF!="section",$A548="begin group")</formula>
    </cfRule>
    <cfRule type="expression" dxfId="5447" priority="4410">
      <formula>AND(#REF! = "section",$A548 = "end group")</formula>
    </cfRule>
    <cfRule type="expression" dxfId="5446" priority="4411">
      <formula xml:space="preserve"> $A548 = "begin group"</formula>
    </cfRule>
    <cfRule type="expression" dxfId="5445" priority="4412">
      <formula xml:space="preserve"> AND(#REF!="gg",$A548 = "end group")</formula>
    </cfRule>
  </conditionalFormatting>
  <conditionalFormatting sqref="G549">
    <cfRule type="expression" dxfId="5444" priority="4138">
      <formula>AND(#REF!="section",$A549="begin group")</formula>
    </cfRule>
    <cfRule type="expression" dxfId="5443" priority="4140">
      <formula xml:space="preserve"> $A549 = "begin group"</formula>
    </cfRule>
    <cfRule type="expression" dxfId="5442" priority="4139">
      <formula>AND(#REF! = "section",$A549 = "end group")</formula>
    </cfRule>
    <cfRule type="expression" dxfId="5441" priority="4141">
      <formula xml:space="preserve"> AND(#REF!="gg",$A549 = "end group")</formula>
    </cfRule>
  </conditionalFormatting>
  <conditionalFormatting sqref="G550">
    <cfRule type="expression" dxfId="5440" priority="4079">
      <formula>AND(#REF!="section",$A550="begin group")</formula>
    </cfRule>
    <cfRule type="expression" dxfId="5439" priority="4080">
      <formula>AND(#REF! = "section",$A550 = "end group")</formula>
    </cfRule>
    <cfRule type="expression" dxfId="5438" priority="4081">
      <formula xml:space="preserve"> $A550 = "begin group"</formula>
    </cfRule>
    <cfRule type="expression" dxfId="5437" priority="4082">
      <formula xml:space="preserve"> AND(#REF!="gg",$A550 = "end group")</formula>
    </cfRule>
  </conditionalFormatting>
  <conditionalFormatting sqref="G551">
    <cfRule type="expression" dxfId="5436" priority="3970">
      <formula>AND(#REF!="section",$A551="begin group")</formula>
    </cfRule>
    <cfRule type="expression" dxfId="5435" priority="3972">
      <formula xml:space="preserve"> $A551 = "begin group"</formula>
    </cfRule>
    <cfRule type="expression" dxfId="5434" priority="3971">
      <formula>AND(#REF! = "section",$A551 = "end group")</formula>
    </cfRule>
    <cfRule type="expression" dxfId="5433" priority="3973">
      <formula xml:space="preserve"> AND(#REF!="gg",$A551 = "end group")</formula>
    </cfRule>
  </conditionalFormatting>
  <conditionalFormatting sqref="G552">
    <cfRule type="expression" dxfId="5432" priority="3942">
      <formula>AND(#REF! = "section",$A552 = "end group")</formula>
    </cfRule>
    <cfRule type="expression" dxfId="5431" priority="3943">
      <formula xml:space="preserve"> $A552 = "begin group"</formula>
    </cfRule>
    <cfRule type="expression" dxfId="5430" priority="3944">
      <formula xml:space="preserve"> AND(#REF!="gg",$A552 = "end group")</formula>
    </cfRule>
    <cfRule type="expression" dxfId="5429" priority="3941">
      <formula>AND(#REF!="section",$A552="begin group")</formula>
    </cfRule>
  </conditionalFormatting>
  <conditionalFormatting sqref="G553">
    <cfRule type="expression" dxfId="5428" priority="4002">
      <formula xml:space="preserve"> AND(#REF!="gg",$A553 = "end group")</formula>
    </cfRule>
    <cfRule type="expression" dxfId="5427" priority="4001">
      <formula xml:space="preserve"> $A553 = "begin group"</formula>
    </cfRule>
    <cfRule type="expression" dxfId="5426" priority="3999">
      <formula>AND(#REF!="section",$A553="begin group")</formula>
    </cfRule>
    <cfRule type="expression" dxfId="5425" priority="4000">
      <formula>AND(#REF! = "section",$A553 = "end group")</formula>
    </cfRule>
  </conditionalFormatting>
  <conditionalFormatting sqref="G554">
    <cfRule type="expression" dxfId="5424" priority="3912">
      <formula>AND(#REF!="section",$A554="begin group")</formula>
    </cfRule>
    <cfRule type="expression" dxfId="5423" priority="3915">
      <formula xml:space="preserve"> AND(#REF!="gg",$A554 = "end group")</formula>
    </cfRule>
    <cfRule type="expression" dxfId="5422" priority="3914">
      <formula xml:space="preserve"> $A554 = "begin group"</formula>
    </cfRule>
    <cfRule type="expression" dxfId="5421" priority="3913">
      <formula>AND(#REF! = "section",$A554 = "end group")</formula>
    </cfRule>
  </conditionalFormatting>
  <conditionalFormatting sqref="G555">
    <cfRule type="expression" dxfId="5420" priority="3886">
      <formula xml:space="preserve"> AND(#REF!="gg",$A555 = "end group")</formula>
    </cfRule>
    <cfRule type="expression" dxfId="5419" priority="3883">
      <formula>AND(#REF!="section",$A555="begin group")</formula>
    </cfRule>
    <cfRule type="expression" dxfId="5418" priority="3885">
      <formula xml:space="preserve"> $A555 = "begin group"</formula>
    </cfRule>
    <cfRule type="expression" dxfId="5417" priority="3884">
      <formula>AND(#REF! = "section",$A555 = "end group")</formula>
    </cfRule>
  </conditionalFormatting>
  <conditionalFormatting sqref="G556">
    <cfRule type="expression" dxfId="5416" priority="3857">
      <formula xml:space="preserve"> AND(#REF!="gg",$A556 = "end group")</formula>
    </cfRule>
    <cfRule type="expression" dxfId="5415" priority="3854">
      <formula>AND(#REF!="section",$A556="begin group")</formula>
    </cfRule>
    <cfRule type="expression" dxfId="5414" priority="3855">
      <formula>AND(#REF! = "section",$A556 = "end group")</formula>
    </cfRule>
    <cfRule type="expression" dxfId="5413" priority="3856">
      <formula xml:space="preserve"> $A556 = "begin group"</formula>
    </cfRule>
  </conditionalFormatting>
  <conditionalFormatting sqref="G559:G561 E559:E561 H621:H623 F621:F623">
    <cfRule type="expression" dxfId="5412" priority="2669">
      <formula xml:space="preserve"> $A583 = "end repeat"</formula>
    </cfRule>
    <cfRule type="expression" dxfId="5411" priority="2668">
      <formula>$A559 = "begin repeat"</formula>
    </cfRule>
    <cfRule type="expression" dxfId="5410" priority="2667">
      <formula>AND($U$1="disabled",$U559="yes")</formula>
    </cfRule>
  </conditionalFormatting>
  <conditionalFormatting sqref="G561 E561 D567 D581 B569 J569 H636 F636 A723 I723 K723:W723 D723 J809 K831 C839 I561:I562 A559:A562 C559:D562 K559:W562 A564:B565 M564:W565 E559:I560 I564:J565 B576:B579 J576:J579 K647:K654 B704:B705 D803:D807 B808:B812 J811:J812 K827:K829 D831:D838 C727:C738 C563:C638">
    <cfRule type="expression" dxfId="5409" priority="2746">
      <formula>$A559 = "begin repeat"</formula>
    </cfRule>
    <cfRule type="expression" dxfId="5408" priority="2747">
      <formula xml:space="preserve"> $A571 = "end repeat"</formula>
    </cfRule>
    <cfRule type="expression" dxfId="5407" priority="2745">
      <formula>AND($U$1="disabled",$U559="yes")</formula>
    </cfRule>
  </conditionalFormatting>
  <conditionalFormatting sqref="G562:G571 E562:E571 G581:G588 E581:E588 G644:G671 E644:E671 G682:G685 E682:E685 G709:G714 E709:E714 G724:G727 E724:E727 G744:G787 E744:E787 G793:G812 E793:E812 E818:E838 G818:G838">
    <cfRule type="expression" dxfId="5406" priority="2651">
      <formula xml:space="preserve"> $A570 = "end repeat"</formula>
    </cfRule>
    <cfRule type="expression" dxfId="5405" priority="2650">
      <formula>$A562 = "begin repeat"</formula>
    </cfRule>
    <cfRule type="expression" dxfId="5404" priority="2649">
      <formula>AND($U$1="disabled",$U569="yes")</formula>
    </cfRule>
  </conditionalFormatting>
  <conditionalFormatting sqref="G563 G566 G569 G572 E563 E566 E569 E572 G582 G585 E582 E585 G644 G647 G650 G653 G656 G659 G662 G665 G668 G671 E644 E647 E650 E653 E656 E659 E662 E665 E668 E671 G709 G712 G715 E709 E712 E715 G725 G728 E725 E728 G745 G748 G751 G754 G757 G760 G763 G766 G769 G772 G775 G778 G781 E745 E748 E751 E754 E757 E760 E763 E766 E769 E772 E775 E778 E781 G794 G796 G798 G800 G802 G804 G806 G808 G810 E794 E796 E798 E800 E802 E804 E806 E808 E810 G818 G820 G822 G824 G826 E818 E820 E822 E824 E826 G684 E684 G784:G787 E784:E787 E828:E838 G828:G838 G588:G589 E588:E589">
    <cfRule type="expression" dxfId="5403" priority="2648">
      <formula xml:space="preserve"> #REF! = "end repeat"</formula>
    </cfRule>
    <cfRule type="expression" dxfId="5402" priority="2647">
      <formula>$A563 = "begin repeat"</formula>
    </cfRule>
    <cfRule type="expression" dxfId="5401" priority="2646">
      <formula>AND($U$1="disabled",$U570="yes")</formula>
    </cfRule>
  </conditionalFormatting>
  <conditionalFormatting sqref="G572 E572">
    <cfRule type="expression" dxfId="5400" priority="2645">
      <formula xml:space="preserve"> $A581 = "end repeat"</formula>
    </cfRule>
    <cfRule type="expression" dxfId="5399" priority="2644">
      <formula>$A572 = "begin repeat"</formula>
    </cfRule>
    <cfRule type="expression" dxfId="5398" priority="2643">
      <formula>AND($U$1="disabled",$U579="yes")</formula>
    </cfRule>
  </conditionalFormatting>
  <conditionalFormatting sqref="G578 E575 E578 G575 E680 G680">
    <cfRule type="expression" dxfId="5397" priority="2700">
      <formula>AND($U$1="disabled",$U583="yes")</formula>
    </cfRule>
    <cfRule type="expression" dxfId="5396" priority="2701">
      <formula>$A575 = "begin repeat"</formula>
    </cfRule>
    <cfRule type="expression" dxfId="5395" priority="2702">
      <formula xml:space="preserve"> #REF! = "end repeat"</formula>
    </cfRule>
  </conditionalFormatting>
  <conditionalFormatting sqref="G590 E590">
    <cfRule type="expression" dxfId="5394" priority="2060">
      <formula xml:space="preserve"> $A597 = "end repeat"</formula>
    </cfRule>
    <cfRule type="expression" dxfId="5393" priority="2059">
      <formula>$A590 = "begin repeat"</formula>
    </cfRule>
  </conditionalFormatting>
  <conditionalFormatting sqref="G591 E591 G609 E609 E612 G612 G617 E617 G625 E625 G723 E723">
    <cfRule type="expression" dxfId="5392" priority="2055">
      <formula>AND($U$1="disabled",$U597="yes")</formula>
    </cfRule>
    <cfRule type="expression" dxfId="5391" priority="2057">
      <formula xml:space="preserve"> #REF! = "end repeat"</formula>
    </cfRule>
    <cfRule type="expression" dxfId="5390" priority="2056">
      <formula>$A591 = "begin repeat"</formula>
    </cfRule>
  </conditionalFormatting>
  <conditionalFormatting sqref="G591 E591">
    <cfRule type="expression" dxfId="5389" priority="2052">
      <formula>AND($U$1="disabled",$U597="yes")</formula>
    </cfRule>
    <cfRule type="expression" dxfId="5388" priority="2053">
      <formula>$A591 = "begin repeat"</formula>
    </cfRule>
    <cfRule type="expression" dxfId="5387" priority="2054">
      <formula xml:space="preserve"> $A580 = "end repeat"</formula>
    </cfRule>
  </conditionalFormatting>
  <conditionalFormatting sqref="G593:G596 E593:E596">
    <cfRule type="expression" dxfId="5386" priority="1985">
      <formula xml:space="preserve"> $A640 = "end repeat"</formula>
    </cfRule>
    <cfRule type="expression" dxfId="5385" priority="1984">
      <formula>$A593 = "begin repeat"</formula>
    </cfRule>
    <cfRule type="expression" dxfId="5384" priority="1983">
      <formula>AND($U$1="disabled",$U639="yes")</formula>
    </cfRule>
  </conditionalFormatting>
  <conditionalFormatting sqref="G594 E594">
    <cfRule type="expression" dxfId="5383" priority="1861">
      <formula>AND($U$1="disabled",$U640="yes")</formula>
    </cfRule>
    <cfRule type="expression" dxfId="5382" priority="1863">
      <formula xml:space="preserve"> #REF! = "end repeat"</formula>
    </cfRule>
    <cfRule type="expression" dxfId="5381" priority="1862">
      <formula>$A594 = "begin repeat"</formula>
    </cfRule>
  </conditionalFormatting>
  <conditionalFormatting sqref="G598 E598">
    <cfRule type="expression" dxfId="5380" priority="1937">
      <formula xml:space="preserve"> $A647 = "end repeat"</formula>
    </cfRule>
    <cfRule type="expression" dxfId="5379" priority="1935">
      <formula>AND($U$1="disabled",$U646="yes")</formula>
    </cfRule>
    <cfRule type="expression" dxfId="5378" priority="1936">
      <formula>$A598 = "begin repeat"</formula>
    </cfRule>
  </conditionalFormatting>
  <conditionalFormatting sqref="G604:G605">
    <cfRule type="expression" dxfId="5377" priority="2123">
      <formula>AND(#REF!="section",$A604="begin group")</formula>
    </cfRule>
    <cfRule type="expression" dxfId="5376" priority="2124">
      <formula>AND(#REF! = "section",$A604 = "end group")</formula>
    </cfRule>
    <cfRule type="expression" dxfId="5375" priority="2125">
      <formula xml:space="preserve"> $A604 = "begin group"</formula>
    </cfRule>
    <cfRule type="expression" dxfId="5374" priority="2126">
      <formula xml:space="preserve"> AND(#REF!="gg",$A604 = "end group")</formula>
    </cfRule>
  </conditionalFormatting>
  <conditionalFormatting sqref="G604:G607 E604:E607">
    <cfRule type="expression" dxfId="5373" priority="1884">
      <formula>AND($U$1="disabled",$U649="yes")</formula>
    </cfRule>
    <cfRule type="expression" dxfId="5372" priority="1886">
      <formula xml:space="preserve"> $A650 = "end repeat"</formula>
    </cfRule>
    <cfRule type="expression" dxfId="5371" priority="1885">
      <formula>$A604 = "begin repeat"</formula>
    </cfRule>
  </conditionalFormatting>
  <conditionalFormatting sqref="G606:G607">
    <cfRule type="expression" dxfId="5370" priority="2232">
      <formula>AND(#REF!="section",$A606="begin group")</formula>
    </cfRule>
    <cfRule type="expression" dxfId="5369" priority="2235">
      <formula xml:space="preserve"> AND(#REF!="gg",$A606 = "end group")</formula>
    </cfRule>
    <cfRule type="expression" dxfId="5368" priority="2234">
      <formula xml:space="preserve"> $A606 = "begin group"</formula>
    </cfRule>
    <cfRule type="expression" dxfId="5367" priority="2233">
      <formula>AND(#REF! = "section",$A606 = "end group")</formula>
    </cfRule>
  </conditionalFormatting>
  <conditionalFormatting sqref="G613 E613">
    <cfRule type="expression" dxfId="5366" priority="1931">
      <formula xml:space="preserve"> $A635 = "end repeat"</formula>
    </cfRule>
    <cfRule type="expression" dxfId="5365" priority="1930">
      <formula>$A613 = "begin repeat"</formula>
    </cfRule>
    <cfRule type="expression" dxfId="5364" priority="1929">
      <formula>AND($U$1="disabled",$U620="yes")</formula>
    </cfRule>
  </conditionalFormatting>
  <conditionalFormatting sqref="G614 E614 E622 G622">
    <cfRule type="expression" dxfId="5363" priority="1939">
      <formula>$A614 = "begin repeat"</formula>
    </cfRule>
    <cfRule type="expression" dxfId="5362" priority="1940">
      <formula xml:space="preserve"> #REF! = "end repeat"</formula>
    </cfRule>
    <cfRule type="expression" dxfId="5361" priority="1938">
      <formula>AND($U$1="disabled",$U635="yes")</formula>
    </cfRule>
  </conditionalFormatting>
  <conditionalFormatting sqref="G614 E614">
    <cfRule type="expression" dxfId="5360" priority="1934">
      <formula xml:space="preserve"> $A621 = "end repeat"</formula>
    </cfRule>
    <cfRule type="expression" dxfId="5359" priority="1933">
      <formula>$A614 = "begin repeat"</formula>
    </cfRule>
    <cfRule type="expression" dxfId="5358" priority="1932">
      <formula>AND($U$1="disabled",$U635="yes")</formula>
    </cfRule>
  </conditionalFormatting>
  <conditionalFormatting sqref="G617 E617">
    <cfRule type="expression" dxfId="5357" priority="1904">
      <formula>AND($U$1="disabled",$U623="yes")</formula>
    </cfRule>
    <cfRule type="expression" dxfId="5356" priority="1905">
      <formula>$A617 = "begin repeat"</formula>
    </cfRule>
    <cfRule type="expression" dxfId="5355" priority="1906">
      <formula xml:space="preserve"> $A636 = "end repeat"</formula>
    </cfRule>
  </conditionalFormatting>
  <conditionalFormatting sqref="G618 E618">
    <cfRule type="expression" dxfId="5354" priority="1841">
      <formula>$A618 = "begin repeat"</formula>
    </cfRule>
    <cfRule type="expression" dxfId="5353" priority="1840">
      <formula>AND($U$1="disabled",$U636="yes")</formula>
    </cfRule>
    <cfRule type="expression" dxfId="5352" priority="1842">
      <formula xml:space="preserve"> $A639 = "end repeat"</formula>
    </cfRule>
  </conditionalFormatting>
  <conditionalFormatting sqref="G619:G620 E619:E620">
    <cfRule type="expression" dxfId="5351" priority="2641">
      <formula>$A619 = "begin repeat"</formula>
    </cfRule>
    <cfRule type="expression" dxfId="5350" priority="2642">
      <formula xml:space="preserve"> $A640 = "end repeat"</formula>
    </cfRule>
    <cfRule type="expression" dxfId="5349" priority="2640">
      <formula>AND($U$1="disabled",$U639="yes")</formula>
    </cfRule>
  </conditionalFormatting>
  <conditionalFormatting sqref="G621:G623 E621:E623">
    <cfRule type="expression" dxfId="5348" priority="2064">
      <formula>AND($U$1="disabled",$U642="yes")</formula>
    </cfRule>
    <cfRule type="expression" dxfId="5347" priority="2065">
      <formula>$A621 = "begin repeat"</formula>
    </cfRule>
    <cfRule type="expression" dxfId="5346" priority="2066">
      <formula xml:space="preserve"> $A643 = "end repeat"</formula>
    </cfRule>
  </conditionalFormatting>
  <conditionalFormatting sqref="G625 E625 E635 G635 G723 E723 G608:G612 E608:E612 G615:G616 E615:E616">
    <cfRule type="expression" dxfId="5345" priority="1963">
      <formula xml:space="preserve"> $A615 = "end repeat"</formula>
    </cfRule>
    <cfRule type="expression" dxfId="5344" priority="1962">
      <formula>$A608 = "begin repeat"</formula>
    </cfRule>
    <cfRule type="expression" dxfId="5343" priority="1961">
      <formula>AND($U$1="disabled",$U614="yes")</formula>
    </cfRule>
  </conditionalFormatting>
  <conditionalFormatting sqref="G633 E633">
    <cfRule type="expression" dxfId="5342" priority="1953">
      <formula>$A633 = "begin repeat"</formula>
    </cfRule>
    <cfRule type="expression" dxfId="5341" priority="1954">
      <formula xml:space="preserve"> $A620 = "end repeat"</formula>
    </cfRule>
    <cfRule type="expression" dxfId="5340" priority="1952">
      <formula>AND($U$1="disabled",$U619="yes")</formula>
    </cfRule>
  </conditionalFormatting>
  <conditionalFormatting sqref="G641:G643">
    <cfRule type="expression" dxfId="5339" priority="2589">
      <formula>AND($J641 = "section",$A641 = "end group")</formula>
    </cfRule>
    <cfRule type="expression" dxfId="5338" priority="2590">
      <formula xml:space="preserve"> $A641 = "begin group"</formula>
    </cfRule>
    <cfRule type="expression" dxfId="5337" priority="2591">
      <formula xml:space="preserve"> AND($J641="gg",$A641 = "end group")</formula>
    </cfRule>
    <cfRule type="expression" dxfId="5336" priority="2588">
      <formula>AND($J641="section",$A641="begin group")</formula>
    </cfRule>
  </conditionalFormatting>
  <conditionalFormatting sqref="G644:G679">
    <cfRule type="expression" dxfId="5335" priority="2222">
      <formula>AND(#REF!="section",$A644="begin group")</formula>
    </cfRule>
    <cfRule type="expression" dxfId="5334" priority="2225">
      <formula xml:space="preserve"> AND(#REF!="gg",$A644 = "end group")</formula>
    </cfRule>
    <cfRule type="expression" dxfId="5333" priority="2224">
      <formula xml:space="preserve"> $A644 = "begin group"</formula>
    </cfRule>
    <cfRule type="expression" dxfId="5332" priority="2223">
      <formula>AND(#REF! = "section",$A644 = "end group")</formula>
    </cfRule>
  </conditionalFormatting>
  <conditionalFormatting sqref="G673:G679 E673:E679">
    <cfRule type="expression" dxfId="5331" priority="1323">
      <formula xml:space="preserve"> $A705 = "end repeat"</formula>
    </cfRule>
    <cfRule type="expression" dxfId="5330" priority="1322">
      <formula>$A673 = "begin repeat"</formula>
    </cfRule>
    <cfRule type="expression" dxfId="5329" priority="1321">
      <formula>AND($U$1="disabled",$U704="yes")</formula>
    </cfRule>
  </conditionalFormatting>
  <conditionalFormatting sqref="G680 E680 G573:G579 E573:E579">
    <cfRule type="expression" dxfId="5328" priority="2705">
      <formula xml:space="preserve"> $A582 = "end repeat"</formula>
    </cfRule>
    <cfRule type="expression" dxfId="5327" priority="2703">
      <formula>AND($U$1="disabled",$U581="yes")</formula>
    </cfRule>
    <cfRule type="expression" dxfId="5326" priority="2704">
      <formula>$A573 = "begin repeat"</formula>
    </cfRule>
  </conditionalFormatting>
  <conditionalFormatting sqref="G680 G682:G693">
    <cfRule type="expression" dxfId="5325" priority="1806">
      <formula xml:space="preserve"> $A680 = "begin group"</formula>
    </cfRule>
    <cfRule type="expression" dxfId="5324" priority="1807">
      <formula xml:space="preserve"> AND(#REF!="gg",$A680 = "end group")</formula>
    </cfRule>
    <cfRule type="expression" dxfId="5323" priority="1804">
      <formula>AND(#REF!="section",$A680="begin group")</formula>
    </cfRule>
    <cfRule type="expression" dxfId="5322" priority="1805">
      <formula>AND(#REF! = "section",$A680 = "end group")</formula>
    </cfRule>
  </conditionalFormatting>
  <conditionalFormatting sqref="G681 E681 G700 E700 G703 E703 E628:E632 G628:G632 E637:E638 G637:G638 E694:E698 G694:G698">
    <cfRule type="expression" dxfId="5321" priority="2293">
      <formula>AND($U$1="disabled",#REF!="yes")</formula>
    </cfRule>
  </conditionalFormatting>
  <conditionalFormatting sqref="G681">
    <cfRule type="expression" dxfId="5320" priority="1741">
      <formula xml:space="preserve"> $A681 = "begin group"</formula>
    </cfRule>
    <cfRule type="expression" dxfId="5319" priority="1742">
      <formula xml:space="preserve"> AND(#REF!="gg",$A681 = "end group")</formula>
    </cfRule>
    <cfRule type="expression" dxfId="5318" priority="1740">
      <formula>AND(#REF! = "section",$A681 = "end group")</formula>
    </cfRule>
    <cfRule type="expression" dxfId="5317" priority="1739">
      <formula>AND(#REF!="section",$A681="begin group")</formula>
    </cfRule>
  </conditionalFormatting>
  <conditionalFormatting sqref="G686 E686">
    <cfRule type="expression" dxfId="5316" priority="1705">
      <formula>AND($U$1="disabled",$U693="yes")</formula>
    </cfRule>
    <cfRule type="expression" dxfId="5315" priority="1706">
      <formula>$A686 = "begin repeat"</formula>
    </cfRule>
    <cfRule type="expression" dxfId="5314" priority="1707">
      <formula xml:space="preserve"> $A704 = "end repeat"</formula>
    </cfRule>
  </conditionalFormatting>
  <conditionalFormatting sqref="G687:G693 E687:E693 E701:E702 G701:G702">
    <cfRule type="expression" dxfId="5313" priority="1603">
      <formula>$A687 = "begin repeat"</formula>
    </cfRule>
    <cfRule type="expression" dxfId="5312" priority="1602">
      <formula>AND($U$1="disabled",$U704="yes")</formula>
    </cfRule>
    <cfRule type="expression" dxfId="5311" priority="1604">
      <formula xml:space="preserve"> $A705 = "end repeat"</formula>
    </cfRule>
  </conditionalFormatting>
  <conditionalFormatting sqref="G690 E687 E690 E693 G687 E701 G693 G701">
    <cfRule type="expression" dxfId="5310" priority="1704">
      <formula xml:space="preserve"> #REF! = "end repeat"</formula>
    </cfRule>
    <cfRule type="expression" dxfId="5309" priority="1703">
      <formula>$A687 = "begin repeat"</formula>
    </cfRule>
    <cfRule type="expression" dxfId="5308" priority="1702">
      <formula>AND($U$1="disabled",$U704="yes")</formula>
    </cfRule>
  </conditionalFormatting>
  <conditionalFormatting sqref="G699 E699 E627 G627">
    <cfRule type="expression" dxfId="5307" priority="2162">
      <formula>$A627 = "begin repeat"</formula>
    </cfRule>
    <cfRule type="expression" dxfId="5306" priority="2161">
      <formula>AND($U$1="disabled",$U638="yes")</formula>
    </cfRule>
    <cfRule type="expression" dxfId="5305" priority="2163">
      <formula xml:space="preserve"> #REF! = "end repeat"</formula>
    </cfRule>
  </conditionalFormatting>
  <conditionalFormatting sqref="G699">
    <cfRule type="expression" dxfId="5304" priority="1676">
      <formula>AND(#REF!="section",$A699="begin group")</formula>
    </cfRule>
    <cfRule type="expression" dxfId="5303" priority="1677">
      <formula>AND(#REF! = "section",$A699 = "end group")</formula>
    </cfRule>
    <cfRule type="expression" dxfId="5302" priority="1678">
      <formula xml:space="preserve"> $A699 = "begin group"</formula>
    </cfRule>
    <cfRule type="expression" dxfId="5301" priority="1679">
      <formula xml:space="preserve"> AND(#REF!="gg",$A699 = "end group")</formula>
    </cfRule>
  </conditionalFormatting>
  <conditionalFormatting sqref="G700">
    <cfRule type="expression" dxfId="5300" priority="1647">
      <formula xml:space="preserve"> $A700 = "begin group"</formula>
    </cfRule>
    <cfRule type="expression" dxfId="5299" priority="1646">
      <formula>AND(#REF! = "section",$A700 = "end group")</formula>
    </cfRule>
    <cfRule type="expression" dxfId="5298" priority="1645">
      <formula>AND(#REF!="section",$A700="begin group")</formula>
    </cfRule>
    <cfRule type="expression" dxfId="5297" priority="1648">
      <formula xml:space="preserve"> AND(#REF!="gg",$A700 = "end group")</formula>
    </cfRule>
  </conditionalFormatting>
  <conditionalFormatting sqref="G701">
    <cfRule type="expression" dxfId="5296" priority="1613">
      <formula xml:space="preserve"> $A701 = "begin group"</formula>
    </cfRule>
    <cfRule type="expression" dxfId="5295" priority="1614">
      <formula xml:space="preserve"> AND(#REF!="gg",$A701 = "end group")</formula>
    </cfRule>
    <cfRule type="expression" dxfId="5294" priority="1612">
      <formula>AND(#REF! = "section",$A701 = "end group")</formula>
    </cfRule>
    <cfRule type="expression" dxfId="5293" priority="1611">
      <formula>AND(#REF!="section",$A701="begin group")</formula>
    </cfRule>
  </conditionalFormatting>
  <conditionalFormatting sqref="G702">
    <cfRule type="expression" dxfId="5292" priority="1575">
      <formula xml:space="preserve"> AND(#REF!="gg",$A702 = "end group")</formula>
    </cfRule>
    <cfRule type="expression" dxfId="5291" priority="1574">
      <formula xml:space="preserve"> $A702 = "begin group"</formula>
    </cfRule>
    <cfRule type="expression" dxfId="5290" priority="1573">
      <formula>AND(#REF! = "section",$A702 = "end group")</formula>
    </cfRule>
    <cfRule type="expression" dxfId="5289" priority="1572">
      <formula>AND(#REF!="section",$A702="begin group")</formula>
    </cfRule>
  </conditionalFormatting>
  <conditionalFormatting sqref="G703 E703 G628:G632 E628:E632 G694:G698 E694:E698 G637:G638 E637:E638 G681 E681 G700 E700">
    <cfRule type="expression" dxfId="5288" priority="2295">
      <formula xml:space="preserve"> #REF! = "end repeat"</formula>
    </cfRule>
    <cfRule type="expression" dxfId="5287" priority="2294">
      <formula>$A628 = "begin repeat"</formula>
    </cfRule>
  </conditionalFormatting>
  <conditionalFormatting sqref="G703">
    <cfRule type="expression" dxfId="5286" priority="1558">
      <formula xml:space="preserve"> $A703 = "begin group"</formula>
    </cfRule>
    <cfRule type="expression" dxfId="5285" priority="1556">
      <formula>AND(#REF!="section",$A703="begin group")</formula>
    </cfRule>
    <cfRule type="expression" dxfId="5284" priority="1557">
      <formula>AND(#REF! = "section",$A703 = "end group")</formula>
    </cfRule>
    <cfRule type="expression" dxfId="5283" priority="1559">
      <formula xml:space="preserve"> AND(#REF!="gg",$A703 = "end group")</formula>
    </cfRule>
  </conditionalFormatting>
  <conditionalFormatting sqref="G704 E704">
    <cfRule type="expression" dxfId="5282" priority="2634">
      <formula>AND($U$1="disabled",$U708="yes")</formula>
    </cfRule>
    <cfRule type="expression" dxfId="5281" priority="2635">
      <formula>$A704 = "begin repeat"</formula>
    </cfRule>
    <cfRule type="expression" dxfId="5280" priority="2636">
      <formula xml:space="preserve"> $A709 = "end repeat"</formula>
    </cfRule>
  </conditionalFormatting>
  <conditionalFormatting sqref="G704">
    <cfRule type="expression" dxfId="5279" priority="2299">
      <formula>AND(#REF!="section",$A704="begin group")</formula>
    </cfRule>
    <cfRule type="expression" dxfId="5278" priority="2300">
      <formula>AND(#REF! = "section",$A704 = "end group")</formula>
    </cfRule>
    <cfRule type="expression" dxfId="5277" priority="2301">
      <formula xml:space="preserve"> $A704 = "begin group"</formula>
    </cfRule>
    <cfRule type="expression" dxfId="5276" priority="2302">
      <formula xml:space="preserve"> AND(#REF!="gg",$A704 = "end group")</formula>
    </cfRule>
  </conditionalFormatting>
  <conditionalFormatting sqref="G706:G708">
    <cfRule type="expression" dxfId="5275" priority="2585">
      <formula>AND($J706 = "section",$A706 = "end group")</formula>
    </cfRule>
    <cfRule type="expression" dxfId="5274" priority="2586">
      <formula xml:space="preserve"> $A706 = "begin group"</formula>
    </cfRule>
    <cfRule type="expression" dxfId="5273" priority="2587">
      <formula xml:space="preserve"> AND($J706="gg",$A706 = "end group")</formula>
    </cfRule>
    <cfRule type="expression" dxfId="5272" priority="2584">
      <formula>AND($J706="section",$A706="begin group")</formula>
    </cfRule>
  </conditionalFormatting>
  <conditionalFormatting sqref="G709:G722">
    <cfRule type="expression" dxfId="5271" priority="2215">
      <formula xml:space="preserve"> AND(#REF!="gg",$A709 = "end group")</formula>
    </cfRule>
    <cfRule type="expression" dxfId="5270" priority="2214">
      <formula xml:space="preserve"> $A709 = "begin group"</formula>
    </cfRule>
    <cfRule type="expression" dxfId="5269" priority="2213">
      <formula>AND(#REF! = "section",$A709 = "end group")</formula>
    </cfRule>
    <cfRule type="expression" dxfId="5268" priority="2212">
      <formula>AND(#REF!="section",$A709="begin group")</formula>
    </cfRule>
  </conditionalFormatting>
  <conditionalFormatting sqref="G716:G722 E716:E722">
    <cfRule type="expression" dxfId="5267" priority="1317">
      <formula xml:space="preserve"> $A740 = "end repeat"</formula>
    </cfRule>
    <cfRule type="expression" dxfId="5266" priority="1315">
      <formula>AND($U$1="disabled",$U739="yes")</formula>
    </cfRule>
    <cfRule type="expression" dxfId="5265" priority="1316">
      <formula>$A716 = "begin repeat"</formula>
    </cfRule>
  </conditionalFormatting>
  <conditionalFormatting sqref="G729:G738 E729:E738">
    <cfRule type="expression" dxfId="5264" priority="1319">
      <formula>$A729 = "begin repeat"</formula>
    </cfRule>
    <cfRule type="expression" dxfId="5263" priority="1320">
      <formula xml:space="preserve"> $A754 = "end repeat"</formula>
    </cfRule>
    <cfRule type="expression" dxfId="5262" priority="1318">
      <formula>AND($U$1="disabled",$U753="yes")</formula>
    </cfRule>
  </conditionalFormatting>
  <conditionalFormatting sqref="G736:G737">
    <cfRule type="expression" dxfId="5261" priority="1437">
      <formula>AND(#REF! = "section",$A736 = "end group")</formula>
    </cfRule>
    <cfRule type="expression" dxfId="5260" priority="1439">
      <formula xml:space="preserve"> AND(#REF!="gg",$A736 = "end group")</formula>
    </cfRule>
    <cfRule type="expression" dxfId="5259" priority="1438">
      <formula xml:space="preserve"> $A736 = "begin group"</formula>
    </cfRule>
    <cfRule type="expression" dxfId="5258" priority="1436">
      <formula>AND(#REF!="section",$A736="begin group")</formula>
    </cfRule>
  </conditionalFormatting>
  <conditionalFormatting sqref="G744:G787">
    <cfRule type="expression" dxfId="5257" priority="2205">
      <formula xml:space="preserve"> AND(#REF!="gg",$A744 = "end group")</formula>
    </cfRule>
    <cfRule type="expression" dxfId="5256" priority="2204">
      <formula xml:space="preserve"> $A744 = "begin group"</formula>
    </cfRule>
    <cfRule type="expression" dxfId="5255" priority="2203">
      <formula>AND(#REF! = "section",$A744 = "end group")</formula>
    </cfRule>
    <cfRule type="expression" dxfId="5254" priority="2202">
      <formula>AND(#REF!="section",$A744="begin group")</formula>
    </cfRule>
  </conditionalFormatting>
  <conditionalFormatting sqref="G790:G792">
    <cfRule type="expression" dxfId="5253" priority="2580">
      <formula>AND($J790="section",$A790="begin group")</formula>
    </cfRule>
    <cfRule type="expression" dxfId="5252" priority="2581">
      <formula>AND($J790 = "section",$A790 = "end group")</formula>
    </cfRule>
    <cfRule type="expression" dxfId="5251" priority="2582">
      <formula xml:space="preserve"> $A790 = "begin group"</formula>
    </cfRule>
    <cfRule type="expression" dxfId="5250" priority="2583">
      <formula xml:space="preserve"> AND($J790="gg",$A790 = "end group")</formula>
    </cfRule>
  </conditionalFormatting>
  <conditionalFormatting sqref="G793:G812">
    <cfRule type="expression" dxfId="5249" priority="2193">
      <formula>AND(#REF! = "section",$A793 = "end group")</formula>
    </cfRule>
    <cfRule type="expression" dxfId="5248" priority="2194">
      <formula xml:space="preserve"> $A793 = "begin group"</formula>
    </cfRule>
    <cfRule type="expression" dxfId="5247" priority="2192">
      <formula>AND(#REF!="section",$A793="begin group")</formula>
    </cfRule>
    <cfRule type="expression" dxfId="5246" priority="2195">
      <formula xml:space="preserve"> AND(#REF!="gg",$A793 = "end group")</formula>
    </cfRule>
  </conditionalFormatting>
  <conditionalFormatting sqref="G818:G831">
    <cfRule type="expression" dxfId="5245" priority="2185">
      <formula xml:space="preserve"> AND(#REF!="gg",$A818 = "end group")</formula>
    </cfRule>
    <cfRule type="expression" dxfId="5244" priority="2184">
      <formula xml:space="preserve"> $A818 = "begin group"</formula>
    </cfRule>
    <cfRule type="expression" dxfId="5243" priority="2183">
      <formula>AND(#REF! = "section",$A818 = "end group")</formula>
    </cfRule>
    <cfRule type="expression" dxfId="5242" priority="2182">
      <formula>AND(#REF!="section",$A818="begin group")</formula>
    </cfRule>
  </conditionalFormatting>
  <conditionalFormatting sqref="G832:G838">
    <cfRule type="expression" dxfId="5241" priority="2174">
      <formula xml:space="preserve"> $A832 = "begin group"</formula>
    </cfRule>
    <cfRule type="expression" dxfId="5240" priority="2172">
      <formula>AND(#REF!="section",$A832="begin group")</formula>
    </cfRule>
    <cfRule type="expression" dxfId="5239" priority="2173">
      <formula>AND(#REF! = "section",$A832 = "end group")</formula>
    </cfRule>
    <cfRule type="expression" dxfId="5238" priority="2175">
      <formula xml:space="preserve"> AND(#REF!="gg",$A832 = "end group")</formula>
    </cfRule>
  </conditionalFormatting>
  <conditionalFormatting sqref="G839:G840 E839:E840">
    <cfRule type="expression" dxfId="5237" priority="2625">
      <formula>AND($U$1="disabled",$U839="yes")</formula>
    </cfRule>
    <cfRule type="expression" dxfId="5236" priority="2626">
      <formula>$A839 = "begin repeat"</formula>
    </cfRule>
    <cfRule type="expression" dxfId="5235" priority="2627">
      <formula xml:space="preserve"> $A835 = "end repeat"</formula>
    </cfRule>
  </conditionalFormatting>
  <conditionalFormatting sqref="G841:G843 J841:J851 A853:A908 I853:I908 L853:W908 J853:J929 G969:I971 J969:J985 A969:B999 J996:J1016 G1002 B1002:B1016 M968:W999 M841:W849 H986:J995 K839:K845 C841:D850 A841:A851 I843:I849 L845:L849 D851 K851 C851:C954 K853:K854 D853:D954 K856 A955:D956 B957:D957 G957 J957 R957 A958:D962 I958:K965 M958:W965 G961 A963:A966 C963:D966 H966:K966 R966 A968:D968 H968:K968 D978:D999 C978:C1016 K994:K999 H996:I999 A1001:B1001 M1001:Q1001 S1001:W1001 D1001:D1016 A1003:A1016 H1003:I1016 M1003:W1018 K1011 K1015:K1016 A1017:D1018 G1017:K1018 C969:D977 H972:I985 K980:K985 K969:K971 R1001:R1002 M955:W956 G955:K956 K919:K924 J930:K942 K929 H841:I842 K1001">
    <cfRule type="expression" dxfId="5234" priority="1126">
      <formula>AND($J839 = "section",$A839 = "end group")</formula>
    </cfRule>
  </conditionalFormatting>
  <conditionalFormatting sqref="G844:G851 G853:G954">
    <cfRule type="expression" dxfId="5233" priority="555">
      <formula>AND(#REF! = "section",$A844 = "end group")</formula>
    </cfRule>
    <cfRule type="expression" dxfId="5232" priority="556">
      <formula xml:space="preserve"> $A844 = "begin group"</formula>
    </cfRule>
    <cfRule type="expression" dxfId="5231" priority="557">
      <formula xml:space="preserve"> AND(#REF!="gg",$A844 = "end group")</formula>
    </cfRule>
    <cfRule type="expression" dxfId="5230" priority="554">
      <formula>AND(#REF!="section",$A844="begin group")</formula>
    </cfRule>
  </conditionalFormatting>
  <conditionalFormatting sqref="G852">
    <cfRule type="expression" dxfId="5229" priority="9">
      <formula xml:space="preserve"> AND(#REF!="gg",$A852 = "end group")</formula>
    </cfRule>
    <cfRule type="expression" dxfId="5228" priority="8">
      <formula xml:space="preserve"> $A852 = "begin group"</formula>
    </cfRule>
    <cfRule type="expression" dxfId="5227" priority="7">
      <formula>AND(#REF! = "section",$A852 = "end group")</formula>
    </cfRule>
    <cfRule type="expression" dxfId="5226" priority="6">
      <formula>AND(#REF!="section",$A852="begin group")</formula>
    </cfRule>
  </conditionalFormatting>
  <conditionalFormatting sqref="G962:G966">
    <cfRule type="expression" dxfId="5225" priority="500">
      <formula>AND(#REF!="section",$A962="begin group")</formula>
    </cfRule>
    <cfRule type="expression" dxfId="5224" priority="501">
      <formula>AND(#REF! = "section",$A962 = "end group")</formula>
    </cfRule>
    <cfRule type="expression" dxfId="5223" priority="502">
      <formula xml:space="preserve"> $A962 = "begin group"</formula>
    </cfRule>
    <cfRule type="expression" dxfId="5222" priority="503">
      <formula xml:space="preserve"> AND(#REF!="gg",$A962 = "end group")</formula>
    </cfRule>
    <cfRule type="expression" dxfId="5221" priority="504">
      <formula>AND(#REF!="section",$A962="begin group")</formula>
    </cfRule>
    <cfRule type="expression" dxfId="5220" priority="505">
      <formula>AND(#REF! = "section",$A962 = "end group")</formula>
    </cfRule>
    <cfRule type="expression" dxfId="5219" priority="506">
      <formula xml:space="preserve"> $A962 = "begin group"</formula>
    </cfRule>
    <cfRule type="expression" dxfId="5218" priority="507">
      <formula xml:space="preserve"> AND(#REF!="gg",$A962 = "end group")</formula>
    </cfRule>
    <cfRule type="expression" dxfId="5217" priority="508">
      <formula>AND(#REF!="section",$A962="begin group")</formula>
    </cfRule>
    <cfRule type="expression" dxfId="5216" priority="509">
      <formula>AND(#REF! = "section",$A962 = "end group")</formula>
    </cfRule>
    <cfRule type="expression" dxfId="5215" priority="510">
      <formula xml:space="preserve"> $A962 = "begin group"</formula>
    </cfRule>
    <cfRule type="expression" dxfId="5214" priority="511">
      <formula xml:space="preserve"> AND(#REF!="gg",$A962 = "end group")</formula>
    </cfRule>
    <cfRule type="expression" dxfId="5213" priority="495">
      <formula xml:space="preserve"> AND(#REF!="gg",$A962 = "end group")</formula>
    </cfRule>
    <cfRule type="expression" dxfId="5212" priority="432">
      <formula>AND(#REF!="section",$A962="begin group")</formula>
    </cfRule>
    <cfRule type="expression" dxfId="5211" priority="433">
      <formula>AND(#REF! = "section",$A962 = "end group")</formula>
    </cfRule>
    <cfRule type="expression" dxfId="5210" priority="434">
      <formula xml:space="preserve"> $A962 = "begin group"</formula>
    </cfRule>
    <cfRule type="expression" dxfId="5209" priority="435">
      <formula xml:space="preserve"> AND(#REF!="gg",$A962 = "end group")</formula>
    </cfRule>
    <cfRule type="expression" dxfId="5208" priority="436">
      <formula>AND(#REF!="section",$A962="begin group")</formula>
    </cfRule>
    <cfRule type="expression" dxfId="5207" priority="437">
      <formula>AND(#REF! = "section",$A962 = "end group")</formula>
    </cfRule>
    <cfRule type="expression" dxfId="5206" priority="438">
      <formula xml:space="preserve"> $A962 = "begin group"</formula>
    </cfRule>
    <cfRule type="expression" dxfId="5205" priority="439">
      <formula xml:space="preserve"> AND(#REF!="gg",$A962 = "end group")</formula>
    </cfRule>
    <cfRule type="expression" dxfId="5204" priority="440">
      <formula>AND(#REF!="section",$A962="begin group")</formula>
    </cfRule>
    <cfRule type="expression" dxfId="5203" priority="441">
      <formula>AND(#REF! = "section",$A962 = "end group")</formula>
    </cfRule>
    <cfRule type="expression" dxfId="5202" priority="442">
      <formula xml:space="preserve"> $A962 = "begin group"</formula>
    </cfRule>
    <cfRule type="expression" dxfId="5201" priority="443">
      <formula xml:space="preserve"> AND(#REF!="gg",$A962 = "end group")</formula>
    </cfRule>
    <cfRule type="expression" dxfId="5200" priority="444">
      <formula>AND(#REF!="section",$A962="begin group")</formula>
    </cfRule>
    <cfRule type="expression" dxfId="5199" priority="445">
      <formula>AND(#REF! = "section",$A962 = "end group")</formula>
    </cfRule>
    <cfRule type="expression" dxfId="5198" priority="446">
      <formula xml:space="preserve"> $A962 = "begin group"</formula>
    </cfRule>
    <cfRule type="expression" dxfId="5197" priority="447">
      <formula xml:space="preserve"> AND(#REF!="gg",$A962 = "end group")</formula>
    </cfRule>
    <cfRule type="expression" dxfId="5196" priority="448">
      <formula>AND(#REF!="section",$A962="begin group")</formula>
    </cfRule>
    <cfRule type="expression" dxfId="5195" priority="449">
      <formula>AND(#REF! = "section",$A962 = "end group")</formula>
    </cfRule>
    <cfRule type="expression" dxfId="5194" priority="450">
      <formula xml:space="preserve"> $A962 = "begin group"</formula>
    </cfRule>
    <cfRule type="expression" dxfId="5193" priority="451">
      <formula xml:space="preserve"> AND(#REF!="gg",$A962 = "end group")</formula>
    </cfRule>
    <cfRule type="expression" dxfId="5192" priority="452">
      <formula>AND(#REF!="section",$A962="begin group")</formula>
    </cfRule>
    <cfRule type="expression" dxfId="5191" priority="453">
      <formula>AND(#REF! = "section",$A962 = "end group")</formula>
    </cfRule>
    <cfRule type="expression" dxfId="5190" priority="454">
      <formula xml:space="preserve"> $A962 = "begin group"</formula>
    </cfRule>
    <cfRule type="expression" dxfId="5189" priority="455">
      <formula xml:space="preserve"> AND(#REF!="gg",$A962 = "end group")</formula>
    </cfRule>
    <cfRule type="expression" dxfId="5188" priority="456">
      <formula>AND(#REF!="section",$A962="begin group")</formula>
    </cfRule>
    <cfRule type="expression" dxfId="5187" priority="457">
      <formula>AND(#REF! = "section",$A962 = "end group")</formula>
    </cfRule>
    <cfRule type="expression" dxfId="5186" priority="458">
      <formula xml:space="preserve"> $A962 = "begin group"</formula>
    </cfRule>
    <cfRule type="expression" dxfId="5185" priority="459">
      <formula xml:space="preserve"> AND(#REF!="gg",$A962 = "end group")</formula>
    </cfRule>
    <cfRule type="expression" dxfId="5184" priority="460">
      <formula>AND(#REF!="section",$A962="begin group")</formula>
    </cfRule>
    <cfRule type="expression" dxfId="5183" priority="461">
      <formula>AND(#REF! = "section",$A962 = "end group")</formula>
    </cfRule>
    <cfRule type="expression" dxfId="5182" priority="462">
      <formula xml:space="preserve"> $A962 = "begin group"</formula>
    </cfRule>
    <cfRule type="expression" dxfId="5181" priority="463">
      <formula xml:space="preserve"> AND(#REF!="gg",$A962 = "end group")</formula>
    </cfRule>
    <cfRule type="expression" dxfId="5180" priority="464">
      <formula>AND(#REF!="section",$A962="begin group")</formula>
    </cfRule>
    <cfRule type="expression" dxfId="5179" priority="465">
      <formula>AND(#REF! = "section",$A962 = "end group")</formula>
    </cfRule>
    <cfRule type="expression" dxfId="5178" priority="466">
      <formula xml:space="preserve"> $A962 = "begin group"</formula>
    </cfRule>
    <cfRule type="expression" dxfId="5177" priority="467">
      <formula xml:space="preserve"> AND(#REF!="gg",$A962 = "end group")</formula>
    </cfRule>
    <cfRule type="expression" dxfId="5176" priority="468">
      <formula>AND(#REF!="section",$A962="begin group")</formula>
    </cfRule>
    <cfRule type="expression" dxfId="5175" priority="469">
      <formula>AND(#REF! = "section",$A962 = "end group")</formula>
    </cfRule>
    <cfRule type="expression" dxfId="5174" priority="470">
      <formula xml:space="preserve"> $A962 = "begin group"</formula>
    </cfRule>
    <cfRule type="expression" dxfId="5173" priority="471">
      <formula xml:space="preserve"> AND(#REF!="gg",$A962 = "end group")</formula>
    </cfRule>
    <cfRule type="expression" dxfId="5172" priority="472">
      <formula>AND(#REF!="section",$A962="begin group")</formula>
    </cfRule>
    <cfRule type="expression" dxfId="5171" priority="473">
      <formula>AND(#REF! = "section",$A962 = "end group")</formula>
    </cfRule>
    <cfRule type="expression" dxfId="5170" priority="474">
      <formula xml:space="preserve"> $A962 = "begin group"</formula>
    </cfRule>
    <cfRule type="expression" dxfId="5169" priority="475">
      <formula xml:space="preserve"> AND(#REF!="gg",$A962 = "end group")</formula>
    </cfRule>
    <cfRule type="expression" dxfId="5168" priority="476">
      <formula>AND(#REF!="section",$A962="begin group")</formula>
    </cfRule>
    <cfRule type="expression" dxfId="5167" priority="477">
      <formula>AND(#REF! = "section",$A962 = "end group")</formula>
    </cfRule>
    <cfRule type="expression" dxfId="5166" priority="478">
      <formula xml:space="preserve"> $A962 = "begin group"</formula>
    </cfRule>
    <cfRule type="expression" dxfId="5165" priority="479">
      <formula xml:space="preserve"> AND(#REF!="gg",$A962 = "end group")</formula>
    </cfRule>
    <cfRule type="expression" dxfId="5164" priority="480">
      <formula>AND(#REF!="section",$A962="begin group")</formula>
    </cfRule>
    <cfRule type="expression" dxfId="5163" priority="481">
      <formula>AND(#REF! = "section",$A962 = "end group")</formula>
    </cfRule>
    <cfRule type="expression" dxfId="5162" priority="482">
      <formula xml:space="preserve"> $A962 = "begin group"</formula>
    </cfRule>
    <cfRule type="expression" dxfId="5161" priority="483">
      <formula xml:space="preserve"> AND(#REF!="gg",$A962 = "end group")</formula>
    </cfRule>
    <cfRule type="expression" dxfId="5160" priority="484">
      <formula>AND(#REF!="section",$A962="begin group")</formula>
    </cfRule>
    <cfRule type="expression" dxfId="5159" priority="485">
      <formula>AND(#REF! = "section",$A962 = "end group")</formula>
    </cfRule>
    <cfRule type="expression" dxfId="5158" priority="486">
      <formula xml:space="preserve"> $A962 = "begin group"</formula>
    </cfRule>
    <cfRule type="expression" dxfId="5157" priority="487">
      <formula xml:space="preserve"> AND(#REF!="gg",$A962 = "end group")</formula>
    </cfRule>
    <cfRule type="expression" dxfId="5156" priority="488">
      <formula>AND(#REF!="section",$A962="begin group")</formula>
    </cfRule>
    <cfRule type="expression" dxfId="5155" priority="489">
      <formula>AND(#REF! = "section",$A962 = "end group")</formula>
    </cfRule>
    <cfRule type="expression" dxfId="5154" priority="490">
      <formula xml:space="preserve"> $A962 = "begin group"</formula>
    </cfRule>
    <cfRule type="expression" dxfId="5153" priority="491">
      <formula xml:space="preserve"> AND(#REF!="gg",$A962 = "end group")</formula>
    </cfRule>
    <cfRule type="expression" dxfId="5152" priority="492">
      <formula>AND(#REF!="section",$A962="begin group")</formula>
    </cfRule>
    <cfRule type="expression" dxfId="5151" priority="493">
      <formula>AND(#REF! = "section",$A962 = "end group")</formula>
    </cfRule>
    <cfRule type="expression" dxfId="5150" priority="494">
      <formula xml:space="preserve"> $A962 = "begin group"</formula>
    </cfRule>
    <cfRule type="expression" dxfId="5149" priority="496">
      <formula>AND(#REF!="section",$A962="begin group")</formula>
    </cfRule>
    <cfRule type="expression" dxfId="5148" priority="497">
      <formula>AND(#REF! = "section",$A962 = "end group")</formula>
    </cfRule>
    <cfRule type="expression" dxfId="5147" priority="498">
      <formula xml:space="preserve"> $A962 = "begin group"</formula>
    </cfRule>
    <cfRule type="expression" dxfId="5146" priority="499">
      <formula xml:space="preserve"> AND(#REF!="gg",$A962 = "end group")</formula>
    </cfRule>
  </conditionalFormatting>
  <conditionalFormatting sqref="G968 E968 G958:G960 E950:E951 G950:G951">
    <cfRule type="expression" dxfId="5145" priority="710">
      <formula xml:space="preserve"> #REF! = "end repeat"</formula>
    </cfRule>
    <cfRule type="expression" dxfId="5144" priority="709">
      <formula>$A950 = "begin repeat"</formula>
    </cfRule>
  </conditionalFormatting>
  <conditionalFormatting sqref="G968 G958:G960">
    <cfRule type="expression" dxfId="5143" priority="766">
      <formula xml:space="preserve"> AND(#REF!="gg",$A958 = "end group")</formula>
    </cfRule>
    <cfRule type="expression" dxfId="5142" priority="765">
      <formula xml:space="preserve"> $A958 = "begin group"</formula>
    </cfRule>
    <cfRule type="expression" dxfId="5141" priority="764">
      <formula>AND(#REF! = "section",$A958 = "end group")</formula>
    </cfRule>
    <cfRule type="expression" dxfId="5140" priority="763">
      <formula>AND(#REF!="section",$A958="begin group")</formula>
    </cfRule>
  </conditionalFormatting>
  <conditionalFormatting sqref="G969 G971 G1002 E971 E969 E957 E1002 G841 B841 E841 A873:A897 L873:W897 I873:I897 J841 J853:J920 B969:B973 J969:J973 B1002:B1004 B996:B999 J996:J1004 F853:F946 F958:F965 H958:H965 H853:H946">
    <cfRule type="expression" dxfId="5139" priority="1100">
      <formula xml:space="preserve"> $A851 = "end repeat"</formula>
    </cfRule>
    <cfRule type="expression" dxfId="5138" priority="1099">
      <formula>$A841 = "begin repeat"</formula>
    </cfRule>
    <cfRule type="expression" dxfId="5137" priority="1098">
      <formula>AND($U$1="disabled",$U841="yes")</formula>
    </cfRule>
  </conditionalFormatting>
  <conditionalFormatting sqref="G969 G971 R848:R849 J955:J956">
    <cfRule type="expression" dxfId="5136" priority="1045">
      <formula>$A848 = "begin repeat"</formula>
    </cfRule>
    <cfRule type="expression" dxfId="5135" priority="1044">
      <formula>AND($U$1="disabled",$U848="yes")</formula>
    </cfRule>
    <cfRule type="expression" dxfId="5134" priority="1046">
      <formula xml:space="preserve"> $A870 = "end repeat"</formula>
    </cfRule>
  </conditionalFormatting>
  <conditionalFormatting sqref="G972:G999">
    <cfRule type="expression" dxfId="5133" priority="305">
      <formula>AND(#REF!="section",$A972="begin group")</formula>
    </cfRule>
    <cfRule type="expression" dxfId="5132" priority="270">
      <formula>AND(#REF! = "section",$A972 = "end group")</formula>
    </cfRule>
    <cfRule type="expression" dxfId="5131" priority="306">
      <formula>AND(#REF! = "section",$A972 = "end group")</formula>
    </cfRule>
    <cfRule type="expression" dxfId="5130" priority="271">
      <formula xml:space="preserve"> $A972 = "begin group"</formula>
    </cfRule>
    <cfRule type="expression" dxfId="5129" priority="272">
      <formula xml:space="preserve"> AND(#REF!="gg",$A972 = "end group")</formula>
    </cfRule>
    <cfRule type="expression" dxfId="5128" priority="294">
      <formula>AND(#REF! = "section",$A972 = "end group")</formula>
    </cfRule>
    <cfRule type="expression" dxfId="5127" priority="337">
      <formula>AND(#REF!="section",$A972="begin group")</formula>
    </cfRule>
    <cfRule type="expression" dxfId="5126" priority="307">
      <formula xml:space="preserve"> $A972 = "begin group"</formula>
    </cfRule>
    <cfRule type="expression" dxfId="5125" priority="308">
      <formula xml:space="preserve"> AND(#REF!="gg",$A972 = "end group")</formula>
    </cfRule>
    <cfRule type="expression" dxfId="5124" priority="309">
      <formula>AND(#REF!="section",$A972="begin group")</formula>
    </cfRule>
    <cfRule type="expression" dxfId="5123" priority="291">
      <formula xml:space="preserve"> $A972 = "begin group"</formula>
    </cfRule>
    <cfRule type="expression" dxfId="5122" priority="311">
      <formula xml:space="preserve"> $A972 = "begin group"</formula>
    </cfRule>
    <cfRule type="expression" dxfId="5121" priority="290">
      <formula>AND(#REF! = "section",$A972 = "end group")</formula>
    </cfRule>
    <cfRule type="expression" dxfId="5120" priority="338">
      <formula>AND(#REF! = "section",$A972 = "end group")</formula>
    </cfRule>
    <cfRule type="expression" dxfId="5119" priority="273">
      <formula>AND(#REF!="section",$A972="begin group")</formula>
    </cfRule>
    <cfRule type="expression" dxfId="5118" priority="312">
      <formula xml:space="preserve"> AND(#REF!="gg",$A972 = "end group")</formula>
    </cfRule>
    <cfRule type="expression" dxfId="5117" priority="313">
      <formula>AND(#REF!="section",$A972="begin group")</formula>
    </cfRule>
    <cfRule type="expression" dxfId="5116" priority="314">
      <formula>AND(#REF! = "section",$A972 = "end group")</formula>
    </cfRule>
    <cfRule type="expression" dxfId="5115" priority="339">
      <formula xml:space="preserve"> $A972 = "begin group"</formula>
    </cfRule>
    <cfRule type="expression" dxfId="5114" priority="293">
      <formula>AND(#REF!="section",$A972="begin group")</formula>
    </cfRule>
    <cfRule type="expression" dxfId="5113" priority="340">
      <formula xml:space="preserve"> AND(#REF!="gg",$A972 = "end group")</formula>
    </cfRule>
    <cfRule type="expression" dxfId="5112" priority="292">
      <formula xml:space="preserve"> AND(#REF!="gg",$A972 = "end group")</formula>
    </cfRule>
    <cfRule type="expression" dxfId="5111" priority="274">
      <formula>AND(#REF! = "section",$A972 = "end group")</formula>
    </cfRule>
    <cfRule type="expression" dxfId="5110" priority="315">
      <formula xml:space="preserve"> $A972 = "begin group"</formula>
    </cfRule>
    <cfRule type="expression" dxfId="5109" priority="275">
      <formula xml:space="preserve"> $A972 = "begin group"</formula>
    </cfRule>
    <cfRule type="expression" dxfId="5108" priority="316">
      <formula xml:space="preserve"> AND(#REF!="gg",$A972 = "end group")</formula>
    </cfRule>
    <cfRule type="expression" dxfId="5107" priority="276">
      <formula xml:space="preserve"> AND(#REF!="gg",$A972 = "end group")</formula>
    </cfRule>
    <cfRule type="expression" dxfId="5106" priority="277">
      <formula>AND(#REF!="section",$A972="begin group")</formula>
    </cfRule>
    <cfRule type="expression" dxfId="5105" priority="278">
      <formula>AND(#REF! = "section",$A972 = "end group")</formula>
    </cfRule>
    <cfRule type="expression" dxfId="5104" priority="317">
      <formula>AND(#REF!="section",$A972="begin group")</formula>
    </cfRule>
    <cfRule type="expression" dxfId="5103" priority="279">
      <formula xml:space="preserve"> $A972 = "begin group"</formula>
    </cfRule>
    <cfRule type="expression" dxfId="5102" priority="280">
      <formula xml:space="preserve"> AND(#REF!="gg",$A972 = "end group")</formula>
    </cfRule>
    <cfRule type="expression" dxfId="5101" priority="318">
      <formula>AND(#REF! = "section",$A972 = "end group")</formula>
    </cfRule>
    <cfRule type="expression" dxfId="5100" priority="319">
      <formula xml:space="preserve"> $A972 = "begin group"</formula>
    </cfRule>
    <cfRule type="expression" dxfId="5099" priority="320">
      <formula xml:space="preserve"> AND(#REF!="gg",$A972 = "end group")</formula>
    </cfRule>
    <cfRule type="expression" dxfId="5098" priority="288">
      <formula xml:space="preserve"> AND(#REF!="gg",$A972 = "end group")</formula>
    </cfRule>
    <cfRule type="expression" dxfId="5097" priority="265">
      <formula>AND(#REF!="section",$A972="begin group")</formula>
    </cfRule>
    <cfRule type="expression" dxfId="5096" priority="266">
      <formula>AND(#REF! = "section",$A972 = "end group")</formula>
    </cfRule>
    <cfRule type="expression" dxfId="5095" priority="321">
      <formula>AND(#REF!="section",$A972="begin group")</formula>
    </cfRule>
    <cfRule type="expression" dxfId="5094" priority="322">
      <formula>AND(#REF! = "section",$A972 = "end group")</formula>
    </cfRule>
    <cfRule type="expression" dxfId="5093" priority="341">
      <formula>AND(#REF!="section",$A972="begin group")</formula>
    </cfRule>
    <cfRule type="expression" dxfId="5092" priority="323">
      <formula xml:space="preserve"> $A972 = "begin group"</formula>
    </cfRule>
    <cfRule type="expression" dxfId="5091" priority="267">
      <formula xml:space="preserve"> $A972 = "begin group"</formula>
    </cfRule>
    <cfRule type="expression" dxfId="5090" priority="342">
      <formula>AND(#REF! = "section",$A972 = "end group")</formula>
    </cfRule>
    <cfRule type="expression" dxfId="5089" priority="324">
      <formula xml:space="preserve"> AND(#REF!="gg",$A972 = "end group")</formula>
    </cfRule>
    <cfRule type="expression" dxfId="5088" priority="325">
      <formula>AND(#REF!="section",$A972="begin group")</formula>
    </cfRule>
    <cfRule type="expression" dxfId="5087" priority="326">
      <formula>AND(#REF! = "section",$A972 = "end group")</formula>
    </cfRule>
    <cfRule type="expression" dxfId="5086" priority="327">
      <formula xml:space="preserve"> $A972 = "begin group"</formula>
    </cfRule>
    <cfRule type="expression" dxfId="5085" priority="328">
      <formula xml:space="preserve"> AND(#REF!="gg",$A972 = "end group")</formula>
    </cfRule>
    <cfRule type="expression" dxfId="5084" priority="343">
      <formula xml:space="preserve"> $A972 = "begin group"</formula>
    </cfRule>
    <cfRule type="expression" dxfId="5083" priority="344">
      <formula xml:space="preserve"> AND(#REF!="gg",$A972 = "end group")</formula>
    </cfRule>
    <cfRule type="expression" dxfId="5082" priority="329">
      <formula>AND(#REF!="section",$A972="begin group")</formula>
    </cfRule>
    <cfRule type="expression" dxfId="5081" priority="302">
      <formula>AND(#REF! = "section",$A972 = "end group")</formula>
    </cfRule>
    <cfRule type="expression" dxfId="5080" priority="268">
      <formula xml:space="preserve"> AND(#REF!="gg",$A972 = "end group")</formula>
    </cfRule>
    <cfRule type="expression" dxfId="5079" priority="289">
      <formula>AND(#REF!="section",$A972="begin group")</formula>
    </cfRule>
    <cfRule type="expression" dxfId="5078" priority="281">
      <formula>AND(#REF!="section",$A972="begin group")</formula>
    </cfRule>
    <cfRule type="expression" dxfId="5077" priority="282">
      <formula>AND(#REF! = "section",$A972 = "end group")</formula>
    </cfRule>
    <cfRule type="expression" dxfId="5076" priority="303">
      <formula xml:space="preserve"> $A972 = "begin group"</formula>
    </cfRule>
    <cfRule type="expression" dxfId="5075" priority="310">
      <formula>AND(#REF! = "section",$A972 = "end group")</formula>
    </cfRule>
    <cfRule type="expression" dxfId="5074" priority="295">
      <formula xml:space="preserve"> $A972 = "begin group"</formula>
    </cfRule>
    <cfRule type="expression" dxfId="5073" priority="304">
      <formula xml:space="preserve"> AND(#REF!="gg",$A972 = "end group")</formula>
    </cfRule>
    <cfRule type="expression" dxfId="5072" priority="330">
      <formula>AND(#REF! = "section",$A972 = "end group")</formula>
    </cfRule>
    <cfRule type="expression" dxfId="5071" priority="331">
      <formula xml:space="preserve"> $A972 = "begin group"</formula>
    </cfRule>
    <cfRule type="expression" dxfId="5070" priority="269">
      <formula>AND(#REF!="section",$A972="begin group")</formula>
    </cfRule>
    <cfRule type="expression" dxfId="5069" priority="332">
      <formula xml:space="preserve"> AND(#REF!="gg",$A972 = "end group")</formula>
    </cfRule>
    <cfRule type="expression" dxfId="5068" priority="283">
      <formula xml:space="preserve"> $A972 = "begin group"</formula>
    </cfRule>
    <cfRule type="expression" dxfId="5067" priority="333">
      <formula>AND(#REF!="section",$A972="begin group")</formula>
    </cfRule>
    <cfRule type="expression" dxfId="5066" priority="284">
      <formula xml:space="preserve"> AND(#REF!="gg",$A972 = "end group")</formula>
    </cfRule>
    <cfRule type="expression" dxfId="5065" priority="334">
      <formula>AND(#REF! = "section",$A972 = "end group")</formula>
    </cfRule>
    <cfRule type="expression" dxfId="5064" priority="285">
      <formula>AND(#REF!="section",$A972="begin group")</formula>
    </cfRule>
    <cfRule type="expression" dxfId="5063" priority="286">
      <formula>AND(#REF! = "section",$A972 = "end group")</formula>
    </cfRule>
    <cfRule type="expression" dxfId="5062" priority="287">
      <formula xml:space="preserve"> $A972 = "begin group"</formula>
    </cfRule>
    <cfRule type="expression" dxfId="5061" priority="335">
      <formula xml:space="preserve"> $A972 = "begin group"</formula>
    </cfRule>
    <cfRule type="expression" dxfId="5060" priority="336">
      <formula xml:space="preserve"> AND(#REF!="gg",$A972 = "end group")</formula>
    </cfRule>
    <cfRule type="expression" dxfId="5059" priority="296">
      <formula xml:space="preserve"> AND(#REF!="gg",$A972 = "end group")</formula>
    </cfRule>
    <cfRule type="expression" dxfId="5058" priority="301">
      <formula>AND(#REF!="section",$A972="begin group")</formula>
    </cfRule>
    <cfRule type="expression" dxfId="5057" priority="300">
      <formula xml:space="preserve"> AND(#REF!="gg",$A972 = "end group")</formula>
    </cfRule>
    <cfRule type="expression" dxfId="5056" priority="299">
      <formula xml:space="preserve"> $A972 = "begin group"</formula>
    </cfRule>
    <cfRule type="expression" dxfId="5055" priority="298">
      <formula>AND(#REF! = "section",$A972 = "end group")</formula>
    </cfRule>
    <cfRule type="expression" dxfId="5054" priority="297">
      <formula>AND(#REF!="section",$A972="begin group")</formula>
    </cfRule>
  </conditionalFormatting>
  <conditionalFormatting sqref="G1003:G1016">
    <cfRule type="expression" dxfId="5053" priority="141">
      <formula>AND(#REF! = "section",$A1003 = "end group")</formula>
    </cfRule>
    <cfRule type="expression" dxfId="5052" priority="142">
      <formula xml:space="preserve"> $A1003 = "begin group"</formula>
    </cfRule>
    <cfRule type="expression" dxfId="5051" priority="143">
      <formula xml:space="preserve"> AND(#REF!="gg",$A1003 = "end group")</formula>
    </cfRule>
    <cfRule type="expression" dxfId="5050" priority="144">
      <formula>AND(#REF!="section",$A1003="begin group")</formula>
    </cfRule>
    <cfRule type="expression" dxfId="5049" priority="145">
      <formula>AND(#REF! = "section",$A1003 = "end group")</formula>
    </cfRule>
    <cfRule type="expression" dxfId="5048" priority="146">
      <formula xml:space="preserve"> $A1003 = "begin group"</formula>
    </cfRule>
    <cfRule type="expression" dxfId="5047" priority="147">
      <formula xml:space="preserve"> AND(#REF!="gg",$A1003 = "end group")</formula>
    </cfRule>
    <cfRule type="expression" dxfId="5046" priority="148">
      <formula>AND(#REF!="section",$A1003="begin group")</formula>
    </cfRule>
    <cfRule type="expression" dxfId="5045" priority="149">
      <formula>AND(#REF! = "section",$A1003 = "end group")</formula>
    </cfRule>
    <cfRule type="expression" dxfId="5044" priority="150">
      <formula xml:space="preserve"> $A1003 = "begin group"</formula>
    </cfRule>
    <cfRule type="expression" dxfId="5043" priority="151">
      <formula xml:space="preserve"> AND(#REF!="gg",$A1003 = "end group")</formula>
    </cfRule>
    <cfRule type="expression" dxfId="5042" priority="152">
      <formula>AND(#REF!="section",$A1003="begin group")</formula>
    </cfRule>
    <cfRule type="expression" dxfId="5041" priority="153">
      <formula>AND(#REF! = "section",$A1003 = "end group")</formula>
    </cfRule>
    <cfRule type="expression" dxfId="5040" priority="154">
      <formula xml:space="preserve"> $A1003 = "begin group"</formula>
    </cfRule>
    <cfRule type="expression" dxfId="5039" priority="155">
      <formula xml:space="preserve"> AND(#REF!="gg",$A1003 = "end group")</formula>
    </cfRule>
    <cfRule type="expression" dxfId="5038" priority="156">
      <formula>AND(#REF!="section",$A1003="begin group")</formula>
    </cfRule>
    <cfRule type="expression" dxfId="5037" priority="157">
      <formula>AND(#REF! = "section",$A1003 = "end group")</formula>
    </cfRule>
    <cfRule type="expression" dxfId="5036" priority="158">
      <formula xml:space="preserve"> $A1003 = "begin group"</formula>
    </cfRule>
    <cfRule type="expression" dxfId="5035" priority="159">
      <formula xml:space="preserve"> AND(#REF!="gg",$A1003 = "end group")</formula>
    </cfRule>
    <cfRule type="expression" dxfId="5034" priority="160">
      <formula>AND(#REF!="section",$A1003="begin group")</formula>
    </cfRule>
    <cfRule type="expression" dxfId="5033" priority="161">
      <formula>AND(#REF! = "section",$A1003 = "end group")</formula>
    </cfRule>
    <cfRule type="expression" dxfId="5032" priority="162">
      <formula xml:space="preserve"> $A1003 = "begin group"</formula>
    </cfRule>
    <cfRule type="expression" dxfId="5031" priority="163">
      <formula xml:space="preserve"> AND(#REF!="gg",$A1003 = "end group")</formula>
    </cfRule>
    <cfRule type="expression" dxfId="5030" priority="164">
      <formula>AND(#REF!="section",$A1003="begin group")</formula>
    </cfRule>
    <cfRule type="expression" dxfId="5029" priority="165">
      <formula>AND(#REF! = "section",$A1003 = "end group")</formula>
    </cfRule>
    <cfRule type="expression" dxfId="5028" priority="166">
      <formula xml:space="preserve"> $A1003 = "begin group"</formula>
    </cfRule>
    <cfRule type="expression" dxfId="5027" priority="167">
      <formula xml:space="preserve"> AND(#REF!="gg",$A1003 = "end group")</formula>
    </cfRule>
    <cfRule type="expression" dxfId="5026" priority="168">
      <formula>AND(#REF!="section",$A1003="begin group")</formula>
    </cfRule>
    <cfRule type="expression" dxfId="5025" priority="169">
      <formula>AND(#REF! = "section",$A1003 = "end group")</formula>
    </cfRule>
    <cfRule type="expression" dxfId="5024" priority="170">
      <formula xml:space="preserve"> $A1003 = "begin group"</formula>
    </cfRule>
    <cfRule type="expression" dxfId="5023" priority="171">
      <formula xml:space="preserve"> AND(#REF!="gg",$A1003 = "end group")</formula>
    </cfRule>
    <cfRule type="expression" dxfId="5022" priority="172">
      <formula>AND(#REF!="section",$A1003="begin group")</formula>
    </cfRule>
    <cfRule type="expression" dxfId="5021" priority="173">
      <formula>AND(#REF! = "section",$A1003 = "end group")</formula>
    </cfRule>
    <cfRule type="expression" dxfId="5020" priority="174">
      <formula xml:space="preserve"> $A1003 = "begin group"</formula>
    </cfRule>
    <cfRule type="expression" dxfId="5019" priority="175">
      <formula xml:space="preserve"> AND(#REF!="gg",$A1003 = "end group")</formula>
    </cfRule>
    <cfRule type="expression" dxfId="5018" priority="565">
      <formula xml:space="preserve"> AND(#REF!="gg",$A1003 = "end group")</formula>
    </cfRule>
    <cfRule type="expression" dxfId="5017" priority="564">
      <formula xml:space="preserve"> $A1003 = "begin group"</formula>
    </cfRule>
    <cfRule type="expression" dxfId="5016" priority="563">
      <formula>AND(#REF! = "section",$A1003 = "end group")</formula>
    </cfRule>
    <cfRule type="expression" dxfId="5015" priority="562">
      <formula>AND(#REF!="section",$A1003="begin group")</formula>
    </cfRule>
    <cfRule type="expression" dxfId="5014" priority="123">
      <formula xml:space="preserve"> AND(#REF!="gg",$A1003 = "end group")</formula>
    </cfRule>
    <cfRule type="expression" dxfId="5013" priority="135">
      <formula xml:space="preserve"> AND(#REF!="gg",$A1003 = "end group")</formula>
    </cfRule>
    <cfRule type="expression" dxfId="5012" priority="136">
      <formula>AND(#REF!="section",$A1003="begin group")</formula>
    </cfRule>
    <cfRule type="expression" dxfId="5011" priority="137">
      <formula>AND(#REF! = "section",$A1003 = "end group")</formula>
    </cfRule>
    <cfRule type="expression" dxfId="5010" priority="138">
      <formula xml:space="preserve"> $A1003 = "begin group"</formula>
    </cfRule>
    <cfRule type="expression" dxfId="5009" priority="139">
      <formula xml:space="preserve"> AND(#REF!="gg",$A1003 = "end group")</formula>
    </cfRule>
    <cfRule type="expression" dxfId="5008" priority="140">
      <formula>AND(#REF!="section",$A1003="begin group")</formula>
    </cfRule>
    <cfRule type="expression" dxfId="5007" priority="134">
      <formula xml:space="preserve"> $A1003 = "begin group"</formula>
    </cfRule>
    <cfRule type="expression" dxfId="5006" priority="133">
      <formula>AND(#REF! = "section",$A1003 = "end group")</formula>
    </cfRule>
    <cfRule type="expression" dxfId="5005" priority="132">
      <formula>AND(#REF!="section",$A1003="begin group")</formula>
    </cfRule>
    <cfRule type="expression" dxfId="5004" priority="131">
      <formula xml:space="preserve"> AND(#REF!="gg",$A1003 = "end group")</formula>
    </cfRule>
    <cfRule type="expression" dxfId="5003" priority="130">
      <formula xml:space="preserve"> $A1003 = "begin group"</formula>
    </cfRule>
    <cfRule type="expression" dxfId="5002" priority="129">
      <formula>AND(#REF! = "section",$A1003 = "end group")</formula>
    </cfRule>
    <cfRule type="expression" dxfId="5001" priority="128">
      <formula>AND(#REF!="section",$A1003="begin group")</formula>
    </cfRule>
    <cfRule type="expression" dxfId="5000" priority="127">
      <formula xml:space="preserve"> AND(#REF!="gg",$A1003 = "end group")</formula>
    </cfRule>
    <cfRule type="expression" dxfId="4999" priority="126">
      <formula xml:space="preserve"> $A1003 = "begin group"</formula>
    </cfRule>
    <cfRule type="expression" dxfId="4998" priority="125">
      <formula>AND(#REF! = "section",$A1003 = "end group")</formula>
    </cfRule>
    <cfRule type="expression" dxfId="4997" priority="124">
      <formula>AND(#REF!="section",$A1003="begin group")</formula>
    </cfRule>
    <cfRule type="expression" dxfId="4996" priority="122">
      <formula xml:space="preserve"> $A1003 = "begin group"</formula>
    </cfRule>
    <cfRule type="expression" dxfId="4995" priority="121">
      <formula>AND(#REF! = "section",$A1003 = "end group")</formula>
    </cfRule>
    <cfRule type="expression" dxfId="4994" priority="120">
      <formula>AND(#REF!="section",$A1003="begin group")</formula>
    </cfRule>
    <cfRule type="expression" dxfId="4993" priority="119">
      <formula xml:space="preserve"> AND(#REF!="gg",$A1003 = "end group")</formula>
    </cfRule>
    <cfRule type="expression" dxfId="4992" priority="118">
      <formula xml:space="preserve"> $A1003 = "begin group"</formula>
    </cfRule>
    <cfRule type="expression" dxfId="4991" priority="117">
      <formula>AND(#REF! = "section",$A1003 = "end group")</formula>
    </cfRule>
    <cfRule type="expression" dxfId="4990" priority="116">
      <formula>AND(#REF!="section",$A1003="begin group")</formula>
    </cfRule>
    <cfRule type="expression" dxfId="4989" priority="115">
      <formula xml:space="preserve"> AND(#REF!="gg",$A1003 = "end group")</formula>
    </cfRule>
    <cfRule type="expression" dxfId="4988" priority="114">
      <formula xml:space="preserve"> $A1003 = "begin group"</formula>
    </cfRule>
    <cfRule type="expression" dxfId="4987" priority="113">
      <formula>AND(#REF! = "section",$A1003 = "end group")</formula>
    </cfRule>
    <cfRule type="expression" dxfId="4986" priority="112">
      <formula>AND(#REF!="section",$A1003="begin group")</formula>
    </cfRule>
    <cfRule type="expression" dxfId="4985" priority="111">
      <formula xml:space="preserve"> AND(#REF!="gg",$A1003 = "end group")</formula>
    </cfRule>
    <cfRule type="expression" dxfId="4984" priority="110">
      <formula xml:space="preserve"> $A1003 = "begin group"</formula>
    </cfRule>
    <cfRule type="expression" dxfId="4983" priority="109">
      <formula>AND(#REF! = "section",$A1003 = "end group")</formula>
    </cfRule>
    <cfRule type="expression" dxfId="4982" priority="108">
      <formula>AND(#REF!="section",$A1003="begin group")</formula>
    </cfRule>
    <cfRule type="expression" dxfId="4981" priority="107">
      <formula xml:space="preserve"> AND(#REF!="gg",$A1003 = "end group")</formula>
    </cfRule>
    <cfRule type="expression" dxfId="4980" priority="106">
      <formula xml:space="preserve"> $A1003 = "begin group"</formula>
    </cfRule>
    <cfRule type="expression" dxfId="4979" priority="105">
      <formula>AND(#REF! = "section",$A1003 = "end group")</formula>
    </cfRule>
    <cfRule type="expression" dxfId="4978" priority="104">
      <formula>AND(#REF!="section",$A1003="begin group")</formula>
    </cfRule>
    <cfRule type="expression" dxfId="4977" priority="103">
      <formula xml:space="preserve"> AND(#REF!="gg",$A1003 = "end group")</formula>
    </cfRule>
    <cfRule type="expression" dxfId="4976" priority="102">
      <formula xml:space="preserve"> $A1003 = "begin group"</formula>
    </cfRule>
    <cfRule type="expression" dxfId="4975" priority="101">
      <formula>AND(#REF! = "section",$A1003 = "end group")</formula>
    </cfRule>
    <cfRule type="expression" dxfId="4974" priority="100">
      <formula>AND(#REF!="section",$A1003="begin group")</formula>
    </cfRule>
  </conditionalFormatting>
  <conditionalFormatting sqref="G9:I9 K9 X18:Y19 AD18:AD19 D18:D20 H18:H20 D22:D23 H22:H23">
    <cfRule type="expression" dxfId="4973" priority="743034">
      <formula>$A9 = "begin repeat"</formula>
    </cfRule>
    <cfRule type="expression" dxfId="4972" priority="743035">
      <formula xml:space="preserve"> #REF! = "end repeat"</formula>
    </cfRule>
  </conditionalFormatting>
  <conditionalFormatting sqref="G9:I9 K9 X18:Y19 AD18:AD19 D18:D20 H18:H20 H22:H23">
    <cfRule type="expression" dxfId="4971" priority="743033">
      <formula>AND($T$1="disabled",$T9="yes")</formula>
    </cfRule>
  </conditionalFormatting>
  <conditionalFormatting sqref="G9:I9 K9">
    <cfRule type="expression" dxfId="4970" priority="743001">
      <formula>AND($P9="section",$A9="begin group")</formula>
    </cfRule>
    <cfRule type="expression" dxfId="4969" priority="743003">
      <formula xml:space="preserve"> $A9 = "begin group"</formula>
    </cfRule>
    <cfRule type="expression" dxfId="4968" priority="743004">
      <formula xml:space="preserve"> AND($P9="gg",$A9 = "end group")</formula>
    </cfRule>
  </conditionalFormatting>
  <conditionalFormatting sqref="G36:I37 A36:D38 K36:W38 J36:J106 G38 I38 B39:B106 G127:I130 J127:J193 C129:D131 I131 K131:W131 G206:I206 J206:K210 J110:J122 B117:C119 J195:J204 K114:K115 A123:D128 M123:W130 G124:I124 J124:K126 K127:K130 M206:W210 B110:B113 G114:I115 A114:D116 M114:W117 A129:A130 I184:I191 M184:W191 A200:D201 G200:I201 K200:K201 M200:W201 A206:A210 C206:D210 G209:I210 G123:K123 A205:D205 G205:K205 G131 A195:A199 I116:I117 D117 C120:C122 A190:A191 I125:I126 I207:I208">
    <cfRule type="expression" dxfId="4967" priority="8700">
      <formula>AND($J36="section",$A36="begin group")</formula>
    </cfRule>
    <cfRule type="expression" dxfId="4966" priority="8701">
      <formula>AND($J36 = "section",$A36 = "end group")</formula>
    </cfRule>
  </conditionalFormatting>
  <conditionalFormatting sqref="H38">
    <cfRule type="expression" dxfId="4965" priority="8321">
      <formula xml:space="preserve"> $A38 = "begin group"</formula>
    </cfRule>
  </conditionalFormatting>
  <conditionalFormatting sqref="H39:H106 H110:H113">
    <cfRule type="expression" dxfId="4964" priority="8030">
      <formula>$A39="calculate"</formula>
    </cfRule>
  </conditionalFormatting>
  <conditionalFormatting sqref="H107:H108">
    <cfRule type="expression" dxfId="4963" priority="7908">
      <formula>$A107="calculate"</formula>
    </cfRule>
  </conditionalFormatting>
  <conditionalFormatting sqref="H109">
    <cfRule type="expression" dxfId="4962" priority="7878">
      <formula>$A109="calculate"</formula>
    </cfRule>
  </conditionalFormatting>
  <conditionalFormatting sqref="H116:H122">
    <cfRule type="expression" dxfId="4961" priority="8028">
      <formula>$A116="calculate"</formula>
    </cfRule>
  </conditionalFormatting>
  <conditionalFormatting sqref="H125:H126">
    <cfRule type="expression" dxfId="4960" priority="8026">
      <formula>$A125="calculate"</formula>
    </cfRule>
  </conditionalFormatting>
  <conditionalFormatting sqref="H131">
    <cfRule type="expression" dxfId="4959" priority="8304">
      <formula xml:space="preserve"> $A131 = "begin group"</formula>
    </cfRule>
  </conditionalFormatting>
  <conditionalFormatting sqref="H132:H191 H195:H199">
    <cfRule type="expression" dxfId="4958" priority="8016">
      <formula>$A132="calculate"</formula>
    </cfRule>
  </conditionalFormatting>
  <conditionalFormatting sqref="H192:H193">
    <cfRule type="expression" dxfId="4957" priority="7833">
      <formula>$A192="calculate"</formula>
    </cfRule>
  </conditionalFormatting>
  <conditionalFormatting sqref="H194">
    <cfRule type="expression" dxfId="4956" priority="7806">
      <formula>$A194="calculate"</formula>
    </cfRule>
  </conditionalFormatting>
  <conditionalFormatting sqref="H207:H208">
    <cfRule type="expression" dxfId="4955" priority="8014">
      <formula>$A207="calculate"</formula>
    </cfRule>
  </conditionalFormatting>
  <conditionalFormatting sqref="H213">
    <cfRule type="expression" dxfId="4954" priority="7478">
      <formula xml:space="preserve"> $A213 = "begin group"</formula>
    </cfRule>
  </conditionalFormatting>
  <conditionalFormatting sqref="H214:H240">
    <cfRule type="expression" dxfId="4953" priority="7306">
      <formula>$A214="calculate"</formula>
    </cfRule>
  </conditionalFormatting>
  <conditionalFormatting sqref="H245">
    <cfRule type="expression" dxfId="4952" priority="7477">
      <formula xml:space="preserve"> $A245 = "begin group"</formula>
    </cfRule>
  </conditionalFormatting>
  <conditionalFormatting sqref="H246:H272">
    <cfRule type="expression" dxfId="4951" priority="7296">
      <formula>$A246="calculate"</formula>
    </cfRule>
  </conditionalFormatting>
  <conditionalFormatting sqref="H277">
    <cfRule type="expression" dxfId="4950" priority="7476">
      <formula xml:space="preserve"> $A277 = "begin group"</formula>
    </cfRule>
  </conditionalFormatting>
  <conditionalFormatting sqref="H278:H305">
    <cfRule type="expression" dxfId="4949" priority="7286">
      <formula>$A278="calculate"</formula>
    </cfRule>
  </conditionalFormatting>
  <conditionalFormatting sqref="H306:H311">
    <cfRule type="expression" dxfId="4948" priority="7215">
      <formula>$A306="calculate"</formula>
    </cfRule>
  </conditionalFormatting>
  <conditionalFormatting sqref="H325 F325 K325">
    <cfRule type="expression" dxfId="4947" priority="6988">
      <formula>$A325="calculate"</formula>
    </cfRule>
  </conditionalFormatting>
  <conditionalFormatting sqref="H348:H351">
    <cfRule type="expression" dxfId="4946" priority="7284">
      <formula>$A348="calculate"</formula>
    </cfRule>
  </conditionalFormatting>
  <conditionalFormatting sqref="H352">
    <cfRule type="expression" dxfId="4945" priority="7018">
      <formula>$A352="calculate"</formula>
    </cfRule>
  </conditionalFormatting>
  <conditionalFormatting sqref="H360">
    <cfRule type="expression" dxfId="4944" priority="6718">
      <formula xml:space="preserve"> $A360 = "begin group"</formula>
    </cfRule>
  </conditionalFormatting>
  <conditionalFormatting sqref="H361:H391">
    <cfRule type="expression" dxfId="4943" priority="6431">
      <formula>$A361="calculate"</formula>
    </cfRule>
  </conditionalFormatting>
  <conditionalFormatting sqref="H392">
    <cfRule type="expression" dxfId="4942" priority="6348">
      <formula>$A392="calculate"</formula>
    </cfRule>
  </conditionalFormatting>
  <conditionalFormatting sqref="H396">
    <cfRule type="expression" dxfId="4941" priority="5960">
      <formula>$A396="calculate"</formula>
    </cfRule>
  </conditionalFormatting>
  <conditionalFormatting sqref="H397">
    <cfRule type="expression" dxfId="4940" priority="5689">
      <formula>$A397="calculate"</formula>
    </cfRule>
  </conditionalFormatting>
  <conditionalFormatting sqref="H398">
    <cfRule type="expression" dxfId="4939" priority="6292">
      <formula>$A398="calculate"</formula>
    </cfRule>
  </conditionalFormatting>
  <conditionalFormatting sqref="H399">
    <cfRule type="expression" dxfId="4938" priority="6261">
      <formula>$A399="calculate"</formula>
    </cfRule>
  </conditionalFormatting>
  <conditionalFormatting sqref="H400">
    <cfRule type="expression" dxfId="4937" priority="6230">
      <formula>$A400="calculate"</formula>
    </cfRule>
  </conditionalFormatting>
  <conditionalFormatting sqref="H401">
    <cfRule type="expression" dxfId="4936" priority="3416">
      <formula>$A401="calculate"</formula>
    </cfRule>
  </conditionalFormatting>
  <conditionalFormatting sqref="H402">
    <cfRule type="expression" dxfId="4935" priority="3382">
      <formula>$A402="calculate"</formula>
    </cfRule>
  </conditionalFormatting>
  <conditionalFormatting sqref="H403">
    <cfRule type="expression" dxfId="4934" priority="5926">
      <formula>$A403="calculate"</formula>
    </cfRule>
  </conditionalFormatting>
  <conditionalFormatting sqref="H404">
    <cfRule type="expression" dxfId="4933" priority="5765">
      <formula>$A404="calculate"</formula>
    </cfRule>
  </conditionalFormatting>
  <conditionalFormatting sqref="H404:H407 F404:F407 H469:H472 F469:F472 J537:J539 J554:J556 H483:H485 F483:F485 H418:H420 F418:F420">
    <cfRule type="expression" dxfId="4932" priority="6674">
      <formula xml:space="preserve"> $A433 = "end repeat"</formula>
    </cfRule>
    <cfRule type="expression" dxfId="4931" priority="6673">
      <formula>$A404 = "begin repeat"</formula>
    </cfRule>
    <cfRule type="expression" dxfId="4930" priority="6672">
      <formula>AND($U$1="disabled",$U404="yes")</formula>
    </cfRule>
  </conditionalFormatting>
  <conditionalFormatting sqref="H405">
    <cfRule type="expression" dxfId="4929" priority="6199">
      <formula>$A405="calculate"</formula>
    </cfRule>
  </conditionalFormatting>
  <conditionalFormatting sqref="H406">
    <cfRule type="expression" dxfId="4928" priority="6168">
      <formula>$A406="calculate"</formula>
    </cfRule>
  </conditionalFormatting>
  <conditionalFormatting sqref="H407">
    <cfRule type="expression" dxfId="4927" priority="5895">
      <formula>$A407="calculate"</formula>
    </cfRule>
  </conditionalFormatting>
  <conditionalFormatting sqref="H408">
    <cfRule type="expression" dxfId="4926" priority="5796">
      <formula>$A408="calculate"</formula>
    </cfRule>
  </conditionalFormatting>
  <conditionalFormatting sqref="H409">
    <cfRule type="expression" dxfId="4925" priority="5864">
      <formula>$A409="calculate"</formula>
    </cfRule>
  </conditionalFormatting>
  <conditionalFormatting sqref="H410">
    <cfRule type="expression" dxfId="4924" priority="6128">
      <formula>$A410="calculate"</formula>
    </cfRule>
  </conditionalFormatting>
  <conditionalFormatting sqref="H410:H411 F410:F411 H475:H476 F475:F476 A468:A474 K523:K527 A482:A485 L532:L533">
    <cfRule type="expression" dxfId="4923" priority="6700">
      <formula>$A410 = "begin repeat"</formula>
    </cfRule>
    <cfRule type="expression" dxfId="4922" priority="6701">
      <formula xml:space="preserve"> $A445 = "end repeat"</formula>
    </cfRule>
    <cfRule type="expression" dxfId="4921" priority="6699">
      <formula>AND($U$1="disabled",$U410="yes")</formula>
    </cfRule>
  </conditionalFormatting>
  <conditionalFormatting sqref="H411">
    <cfRule type="expression" dxfId="4920" priority="6097">
      <formula>$A411="calculate"</formula>
    </cfRule>
  </conditionalFormatting>
  <conditionalFormatting sqref="H412">
    <cfRule type="expression" dxfId="4919" priority="5833">
      <formula>$A412="calculate"</formula>
    </cfRule>
  </conditionalFormatting>
  <conditionalFormatting sqref="H413">
    <cfRule type="expression" dxfId="4918" priority="5655">
      <formula>$A413="calculate"</formula>
    </cfRule>
  </conditionalFormatting>
  <conditionalFormatting sqref="H414">
    <cfRule type="expression" dxfId="4917" priority="6066">
      <formula>$A414="calculate"</formula>
    </cfRule>
  </conditionalFormatting>
  <conditionalFormatting sqref="H415">
    <cfRule type="expression" dxfId="4916" priority="6035">
      <formula>$A415="calculate"</formula>
    </cfRule>
  </conditionalFormatting>
  <conditionalFormatting sqref="H416">
    <cfRule type="expression" dxfId="4915" priority="3345">
      <formula>$A416="calculate"</formula>
    </cfRule>
  </conditionalFormatting>
  <conditionalFormatting sqref="H417">
    <cfRule type="expression" dxfId="4914" priority="3225">
      <formula>$A417="calculate"</formula>
    </cfRule>
  </conditionalFormatting>
  <conditionalFormatting sqref="H418">
    <cfRule type="expression" dxfId="4913" priority="3194">
      <formula>$A418="calculate"</formula>
    </cfRule>
  </conditionalFormatting>
  <conditionalFormatting sqref="H419">
    <cfRule type="expression" dxfId="4912" priority="3287">
      <formula>$A419="calculate"</formula>
    </cfRule>
  </conditionalFormatting>
  <conditionalFormatting sqref="H420">
    <cfRule type="expression" dxfId="4911" priority="3256">
      <formula>$A420="calculate"</formula>
    </cfRule>
  </conditionalFormatting>
  <conditionalFormatting sqref="H425">
    <cfRule type="expression" dxfId="4910" priority="6717">
      <formula xml:space="preserve"> $A425 = "begin group"</formula>
    </cfRule>
  </conditionalFormatting>
  <conditionalFormatting sqref="H426:H456">
    <cfRule type="expression" dxfId="4909" priority="6421">
      <formula>$A426="calculate"</formula>
    </cfRule>
  </conditionalFormatting>
  <conditionalFormatting sqref="H457">
    <cfRule type="expression" dxfId="4908" priority="6323">
      <formula>$A457="calculate"</formula>
    </cfRule>
  </conditionalFormatting>
  <conditionalFormatting sqref="H461">
    <cfRule type="expression" dxfId="4907" priority="5306">
      <formula>$A461="calculate"</formula>
    </cfRule>
  </conditionalFormatting>
  <conditionalFormatting sqref="H462">
    <cfRule type="expression" dxfId="4906" priority="5047">
      <formula>$A462="calculate"</formula>
    </cfRule>
  </conditionalFormatting>
  <conditionalFormatting sqref="H463">
    <cfRule type="expression" dxfId="4905" priority="5585">
      <formula>$A463="calculate"</formula>
    </cfRule>
  </conditionalFormatting>
  <conditionalFormatting sqref="H464">
    <cfRule type="expression" dxfId="4904" priority="5554">
      <formula>$A464="calculate"</formula>
    </cfRule>
  </conditionalFormatting>
  <conditionalFormatting sqref="H465">
    <cfRule type="expression" dxfId="4903" priority="5523">
      <formula>$A465="calculate"</formula>
    </cfRule>
  </conditionalFormatting>
  <conditionalFormatting sqref="H466">
    <cfRule type="expression" dxfId="4902" priority="3702">
      <formula>$A466="calculate"</formula>
    </cfRule>
  </conditionalFormatting>
  <conditionalFormatting sqref="H467">
    <cfRule type="expression" dxfId="4901" priority="3664">
      <formula>$A467="calculate"</formula>
    </cfRule>
  </conditionalFormatting>
  <conditionalFormatting sqref="H468">
    <cfRule type="expression" dxfId="4900" priority="5275">
      <formula>$A468="calculate"</formula>
    </cfRule>
  </conditionalFormatting>
  <conditionalFormatting sqref="H469">
    <cfRule type="expression" dxfId="4899" priority="5120">
      <formula>$A469="calculate"</formula>
    </cfRule>
  </conditionalFormatting>
  <conditionalFormatting sqref="H470">
    <cfRule type="expression" dxfId="4898" priority="5492">
      <formula>$A470="calculate"</formula>
    </cfRule>
  </conditionalFormatting>
  <conditionalFormatting sqref="H471">
    <cfRule type="expression" dxfId="4897" priority="5461">
      <formula>$A471="calculate"</formula>
    </cfRule>
  </conditionalFormatting>
  <conditionalFormatting sqref="H472">
    <cfRule type="expression" dxfId="4896" priority="5244">
      <formula>$A472="calculate"</formula>
    </cfRule>
  </conditionalFormatting>
  <conditionalFormatting sqref="H473">
    <cfRule type="expression" dxfId="4895" priority="5151">
      <formula>$A473="calculate"</formula>
    </cfRule>
  </conditionalFormatting>
  <conditionalFormatting sqref="H474">
    <cfRule type="expression" dxfId="4894" priority="5213">
      <formula>$A474="calculate"</formula>
    </cfRule>
  </conditionalFormatting>
  <conditionalFormatting sqref="H475">
    <cfRule type="expression" dxfId="4893" priority="5430">
      <formula>$A475="calculate"</formula>
    </cfRule>
  </conditionalFormatting>
  <conditionalFormatting sqref="H476">
    <cfRule type="expression" dxfId="4892" priority="5399">
      <formula>$A476="calculate"</formula>
    </cfRule>
  </conditionalFormatting>
  <conditionalFormatting sqref="H477">
    <cfRule type="expression" dxfId="4891" priority="5182">
      <formula>$A477="calculate"</formula>
    </cfRule>
  </conditionalFormatting>
  <conditionalFormatting sqref="H478">
    <cfRule type="expression" dxfId="4890" priority="5016">
      <formula>$A478="calculate"</formula>
    </cfRule>
  </conditionalFormatting>
  <conditionalFormatting sqref="H479">
    <cfRule type="expression" dxfId="4889" priority="5368">
      <formula>$A479="calculate"</formula>
    </cfRule>
  </conditionalFormatting>
  <conditionalFormatting sqref="H480">
    <cfRule type="expression" dxfId="4888" priority="5337">
      <formula>$A480="calculate"</formula>
    </cfRule>
  </conditionalFormatting>
  <conditionalFormatting sqref="H481">
    <cfRule type="expression" dxfId="4887" priority="3620">
      <formula>$A481="calculate"</formula>
    </cfRule>
  </conditionalFormatting>
  <conditionalFormatting sqref="H482">
    <cfRule type="expression" dxfId="4886" priority="3478">
      <formula>$A482="calculate"</formula>
    </cfRule>
  </conditionalFormatting>
  <conditionalFormatting sqref="H483">
    <cfRule type="expression" dxfId="4885" priority="3447">
      <formula>$A483="calculate"</formula>
    </cfRule>
  </conditionalFormatting>
  <conditionalFormatting sqref="H484">
    <cfRule type="expression" dxfId="4884" priority="3540">
      <formula>$A484="calculate"</formula>
    </cfRule>
  </conditionalFormatting>
  <conditionalFormatting sqref="H485">
    <cfRule type="expression" dxfId="4883" priority="3509">
      <formula>$A485="calculate"</formula>
    </cfRule>
  </conditionalFormatting>
  <conditionalFormatting sqref="H490">
    <cfRule type="expression" dxfId="4882" priority="6716">
      <formula xml:space="preserve"> $A490 = "begin group"</formula>
    </cfRule>
  </conditionalFormatting>
  <conditionalFormatting sqref="H491:H521">
    <cfRule type="expression" dxfId="4881" priority="6411">
      <formula>$A491="calculate"</formula>
    </cfRule>
  </conditionalFormatting>
  <conditionalFormatting sqref="H522">
    <cfRule type="expression" dxfId="4880" priority="5997">
      <formula>$A522="calculate"</formula>
    </cfRule>
  </conditionalFormatting>
  <conditionalFormatting sqref="H526">
    <cfRule type="expression" dxfId="4879" priority="4659">
      <formula>$A526="calculate"</formula>
    </cfRule>
  </conditionalFormatting>
  <conditionalFormatting sqref="H527">
    <cfRule type="expression" dxfId="4878" priority="4606">
      <formula>$A527="calculate"</formula>
    </cfRule>
  </conditionalFormatting>
  <conditionalFormatting sqref="H529">
    <cfRule type="expression" dxfId="4877" priority="4968">
      <formula>$A529="calculate"</formula>
    </cfRule>
  </conditionalFormatting>
  <conditionalFormatting sqref="H530">
    <cfRule type="expression" dxfId="4876" priority="4939">
      <formula>$A530="calculate"</formula>
    </cfRule>
  </conditionalFormatting>
  <conditionalFormatting sqref="H531">
    <cfRule type="expression" dxfId="4875" priority="3804">
      <formula>$A531="calculate"</formula>
    </cfRule>
  </conditionalFormatting>
  <conditionalFormatting sqref="H532">
    <cfRule type="expression" dxfId="4874" priority="4577">
      <formula>$A532="calculate"</formula>
    </cfRule>
  </conditionalFormatting>
  <conditionalFormatting sqref="H533">
    <cfRule type="expression" dxfId="4873" priority="3742">
      <formula>$A533="calculate"</formula>
    </cfRule>
  </conditionalFormatting>
  <conditionalFormatting sqref="H534">
    <cfRule type="expression" dxfId="4872" priority="4794">
      <formula>$A534="calculate"</formula>
    </cfRule>
  </conditionalFormatting>
  <conditionalFormatting sqref="H535">
    <cfRule type="expression" dxfId="4871" priority="4736">
      <formula>$A535="calculate"</formula>
    </cfRule>
  </conditionalFormatting>
  <conditionalFormatting sqref="H536">
    <cfRule type="expression" dxfId="4870" priority="4910">
      <formula>$A536="calculate"</formula>
    </cfRule>
  </conditionalFormatting>
  <conditionalFormatting sqref="H537">
    <cfRule type="expression" dxfId="4869" priority="4548">
      <formula>$A537="calculate"</formula>
    </cfRule>
  </conditionalFormatting>
  <conditionalFormatting sqref="H538">
    <cfRule type="expression" dxfId="4868" priority="4519">
      <formula>$A538="calculate"</formula>
    </cfRule>
  </conditionalFormatting>
  <conditionalFormatting sqref="H539">
    <cfRule type="expression" dxfId="4867" priority="4490">
      <formula>$A539="calculate"</formula>
    </cfRule>
  </conditionalFormatting>
  <conditionalFormatting sqref="H540">
    <cfRule type="expression" dxfId="4866" priority="4881">
      <formula>$A540="calculate"</formula>
    </cfRule>
  </conditionalFormatting>
  <conditionalFormatting sqref="H540:H541 F540:F541">
    <cfRule type="expression" dxfId="4865" priority="6781">
      <formula xml:space="preserve"> $A558 = "end repeat"</formula>
    </cfRule>
    <cfRule type="expression" dxfId="4864" priority="6780">
      <formula>$A540 = "begin repeat"</formula>
    </cfRule>
    <cfRule type="expression" dxfId="4863" priority="6779">
      <formula>AND($U$1="disabled",$U540="yes")</formula>
    </cfRule>
  </conditionalFormatting>
  <conditionalFormatting sqref="H541">
    <cfRule type="expression" dxfId="4862" priority="4852">
      <formula>$A541="calculate"</formula>
    </cfRule>
  </conditionalFormatting>
  <conditionalFormatting sqref="H542">
    <cfRule type="expression" dxfId="4861" priority="4374">
      <formula>$A542="calculate"</formula>
    </cfRule>
  </conditionalFormatting>
  <conditionalFormatting sqref="H543">
    <cfRule type="expression" dxfId="4860" priority="4765">
      <formula>$A543="calculate"</formula>
    </cfRule>
  </conditionalFormatting>
  <conditionalFormatting sqref="H544">
    <cfRule type="expression" dxfId="4859" priority="4688">
      <formula>$A544="calculate"</formula>
    </cfRule>
  </conditionalFormatting>
  <conditionalFormatting sqref="H545">
    <cfRule type="expression" dxfId="4858" priority="4823">
      <formula>$A545="calculate"</formula>
    </cfRule>
  </conditionalFormatting>
  <conditionalFormatting sqref="H546">
    <cfRule type="expression" dxfId="4857" priority="4461">
      <formula>$A546="calculate"</formula>
    </cfRule>
  </conditionalFormatting>
  <conditionalFormatting sqref="H547">
    <cfRule type="expression" dxfId="4856" priority="4432">
      <formula>$A547="calculate"</formula>
    </cfRule>
  </conditionalFormatting>
  <conditionalFormatting sqref="H548">
    <cfRule type="expression" dxfId="4855" priority="4403">
      <formula>$A548="calculate"</formula>
    </cfRule>
  </conditionalFormatting>
  <conditionalFormatting sqref="H549">
    <cfRule type="expression" dxfId="4854" priority="4132">
      <formula>$A549="calculate"</formula>
    </cfRule>
  </conditionalFormatting>
  <conditionalFormatting sqref="H550">
    <cfRule type="expression" dxfId="4853" priority="4073">
      <formula>$A550="calculate"</formula>
    </cfRule>
  </conditionalFormatting>
  <conditionalFormatting sqref="H551">
    <cfRule type="expression" dxfId="4852" priority="3964">
      <formula>$A551="calculate"</formula>
    </cfRule>
  </conditionalFormatting>
  <conditionalFormatting sqref="H552">
    <cfRule type="expression" dxfId="4851" priority="3935">
      <formula>$A552="calculate"</formula>
    </cfRule>
  </conditionalFormatting>
  <conditionalFormatting sqref="H553">
    <cfRule type="expression" dxfId="4850" priority="3993">
      <formula>$A553="calculate"</formula>
    </cfRule>
  </conditionalFormatting>
  <conditionalFormatting sqref="H554">
    <cfRule type="expression" dxfId="4849" priority="3906">
      <formula>$A554="calculate"</formula>
    </cfRule>
  </conditionalFormatting>
  <conditionalFormatting sqref="H555">
    <cfRule type="expression" dxfId="4848" priority="3877">
      <formula>$A555="calculate"</formula>
    </cfRule>
  </conditionalFormatting>
  <conditionalFormatting sqref="H556">
    <cfRule type="expression" dxfId="4847" priority="3848">
      <formula>$A556="calculate"</formula>
    </cfRule>
  </conditionalFormatting>
  <conditionalFormatting sqref="H561">
    <cfRule type="expression" dxfId="4846" priority="2615">
      <formula xml:space="preserve"> $A561 = "begin group"</formula>
    </cfRule>
  </conditionalFormatting>
  <conditionalFormatting sqref="H597 F597 F599:F603 H599:H603 A754:A755 I754:I757 N754:W755 K754:K755 N835:W836 K835:K836">
    <cfRule type="expression" dxfId="4845" priority="2093">
      <formula xml:space="preserve"> $A647 = "end repeat"</formula>
    </cfRule>
    <cfRule type="expression" dxfId="4844" priority="2092">
      <formula>$A597 = "begin repeat"</formula>
    </cfRule>
    <cfRule type="expression" dxfId="4843" priority="2091">
      <formula>AND($U$1="disabled",$U597="yes")</formula>
    </cfRule>
  </conditionalFormatting>
  <conditionalFormatting sqref="H598 F598 K666 I762">
    <cfRule type="expression" dxfId="4842" priority="2660">
      <formula xml:space="preserve"> $A649 = "end repeat"</formula>
    </cfRule>
    <cfRule type="expression" dxfId="4841" priority="2659">
      <formula>$A598 = "begin repeat"</formula>
    </cfRule>
    <cfRule type="expression" dxfId="4840" priority="2658">
      <formula>AND($U$1="disabled",$U598="yes")</formula>
    </cfRule>
  </conditionalFormatting>
  <conditionalFormatting sqref="H604:H605">
    <cfRule type="expression" dxfId="4839" priority="2117">
      <formula>$A604="calculate"</formula>
    </cfRule>
  </conditionalFormatting>
  <conditionalFormatting sqref="H606:H607">
    <cfRule type="expression" dxfId="4838" priority="2226">
      <formula>$A606="calculate"</formula>
    </cfRule>
  </conditionalFormatting>
  <conditionalFormatting sqref="H643">
    <cfRule type="expression" dxfId="4837" priority="2614">
      <formula xml:space="preserve"> $A643 = "begin group"</formula>
    </cfRule>
  </conditionalFormatting>
  <conditionalFormatting sqref="H644:H679">
    <cfRule type="expression" dxfId="4836" priority="2216">
      <formula>$A644="calculate"</formula>
    </cfRule>
  </conditionalFormatting>
  <conditionalFormatting sqref="H680 H682:H693">
    <cfRule type="expression" dxfId="4835" priority="1798">
      <formula>$A680="calculate"</formula>
    </cfRule>
  </conditionalFormatting>
  <conditionalFormatting sqref="H681">
    <cfRule type="expression" dxfId="4834" priority="1733">
      <formula>$A681="calculate"</formula>
    </cfRule>
  </conditionalFormatting>
  <conditionalFormatting sqref="H699">
    <cfRule type="expression" dxfId="4833" priority="1670">
      <formula>$A699="calculate"</formula>
    </cfRule>
  </conditionalFormatting>
  <conditionalFormatting sqref="H700">
    <cfRule type="expression" dxfId="4832" priority="1639">
      <formula>$A700="calculate"</formula>
    </cfRule>
  </conditionalFormatting>
  <conditionalFormatting sqref="H701">
    <cfRule type="expression" dxfId="4831" priority="1605">
      <formula>$A701="calculate"</formula>
    </cfRule>
  </conditionalFormatting>
  <conditionalFormatting sqref="H702">
    <cfRule type="expression" dxfId="4830" priority="1566">
      <formula>$A702="calculate"</formula>
    </cfRule>
  </conditionalFormatting>
  <conditionalFormatting sqref="H708">
    <cfRule type="expression" dxfId="4829" priority="2613">
      <formula xml:space="preserve"> $A708 = "begin group"</formula>
    </cfRule>
  </conditionalFormatting>
  <conditionalFormatting sqref="H709:H722">
    <cfRule type="expression" dxfId="4828" priority="2206">
      <formula>$A709="calculate"</formula>
    </cfRule>
  </conditionalFormatting>
  <conditionalFormatting sqref="H743">
    <cfRule type="expression" dxfId="4827" priority="2612">
      <formula xml:space="preserve"> $A743 = "begin group"</formula>
    </cfRule>
  </conditionalFormatting>
  <conditionalFormatting sqref="H744:H784">
    <cfRule type="expression" dxfId="4826" priority="2196">
      <formula>$A744="calculate"</formula>
    </cfRule>
  </conditionalFormatting>
  <conditionalFormatting sqref="H792">
    <cfRule type="expression" dxfId="4825" priority="2611">
      <formula xml:space="preserve"> $A792 = "begin group"</formula>
    </cfRule>
  </conditionalFormatting>
  <conditionalFormatting sqref="H793:H811">
    <cfRule type="expression" dxfId="4824" priority="2186">
      <formula>$A793="calculate"</formula>
    </cfRule>
  </conditionalFormatting>
  <conditionalFormatting sqref="H817">
    <cfRule type="expression" dxfId="4823" priority="2610">
      <formula xml:space="preserve"> $A817 = "begin group"</formula>
    </cfRule>
  </conditionalFormatting>
  <conditionalFormatting sqref="H818:H828">
    <cfRule type="expression" dxfId="4822" priority="2176">
      <formula>$A818="calculate"</formula>
    </cfRule>
  </conditionalFormatting>
  <conditionalFormatting sqref="H832:H838">
    <cfRule type="expression" dxfId="4821" priority="2170">
      <formula>$A832="calculate"</formula>
    </cfRule>
  </conditionalFormatting>
  <conditionalFormatting sqref="H843">
    <cfRule type="expression" dxfId="4820" priority="893">
      <formula xml:space="preserve"> $A843 = "begin group"</formula>
    </cfRule>
  </conditionalFormatting>
  <conditionalFormatting sqref="H844:H851 H853:H954">
    <cfRule type="expression" dxfId="4819" priority="552">
      <formula>$A844="calculate"</formula>
    </cfRule>
  </conditionalFormatting>
  <conditionalFormatting sqref="H852">
    <cfRule type="expression" dxfId="4818" priority="4">
      <formula>$A852="calculate"</formula>
    </cfRule>
  </conditionalFormatting>
  <conditionalFormatting sqref="H872">
    <cfRule type="expression" dxfId="4817" priority="54">
      <formula>$A872="calculate"</formula>
    </cfRule>
  </conditionalFormatting>
  <conditionalFormatting sqref="H958:H965">
    <cfRule type="expression" dxfId="4816" priority="430">
      <formula>$A958="calculate"</formula>
    </cfRule>
  </conditionalFormatting>
  <conditionalFormatting sqref="H1:I8 K1:K8 H10:I17 K10:K15 K33:K35">
    <cfRule type="expression" dxfId="4815" priority="48160">
      <formula>$A1="calculate"</formula>
    </cfRule>
  </conditionalFormatting>
  <conditionalFormatting sqref="H9:I9">
    <cfRule type="expression" dxfId="4814" priority="30244">
      <formula>$A9="calculate"</formula>
    </cfRule>
  </conditionalFormatting>
  <conditionalFormatting sqref="H28:I31">
    <cfRule type="expression" dxfId="4813" priority="31895">
      <formula>$B28="calculate"</formula>
    </cfRule>
  </conditionalFormatting>
  <conditionalFormatting sqref="H202:I202">
    <cfRule type="expression" dxfId="4812" priority="8158">
      <formula>$A202="calculate"</formula>
    </cfRule>
  </conditionalFormatting>
  <conditionalFormatting sqref="H203:I204">
    <cfRule type="expression" dxfId="4811" priority="8137">
      <formula>$A203="calculate"</formula>
    </cfRule>
  </conditionalFormatting>
  <conditionalFormatting sqref="H706:I706 D707 F706 A706 I724 K706:W706 C706:D706 K627:K628 K621:K622 K624:K625 K617:K619 K678:K679 A678:A679 M678:W679 I678:I679 F670:F679 H670:H679">
    <cfRule type="expression" dxfId="4810" priority="2624">
      <formula xml:space="preserve"> $A651 = "end repeat"</formula>
    </cfRule>
    <cfRule type="expression" dxfId="4809" priority="2623">
      <formula>$A617 = "begin repeat"</formula>
    </cfRule>
    <cfRule type="expression" dxfId="4808" priority="2622">
      <formula>AND($U$1="disabled",$U617="yes")</formula>
    </cfRule>
  </conditionalFormatting>
  <conditionalFormatting sqref="H966:I966 K966">
    <cfRule type="expression" dxfId="4807" priority="733">
      <formula>$A966="calculate"</formula>
    </cfRule>
  </conditionalFormatting>
  <conditionalFormatting sqref="I27 L27 N27">
    <cfRule type="expression" dxfId="4806" priority="743041">
      <formula xml:space="preserve"> $A27 = "begin group"</formula>
    </cfRule>
    <cfRule type="expression" dxfId="4805" priority="743042">
      <formula xml:space="preserve"> AND($T27="gg",$A27 = "end group")</formula>
    </cfRule>
    <cfRule type="expression" dxfId="4804" priority="743051">
      <formula>AND($AA$1="disabled",$AA27="yes")</formula>
    </cfRule>
    <cfRule type="expression" dxfId="4803" priority="743039">
      <formula>AND($T27="section",$A27="begin group")</formula>
    </cfRule>
    <cfRule type="expression" dxfId="4802" priority="743040">
      <formula>AND($T27 = "section",$A27 = "end group")</formula>
    </cfRule>
    <cfRule type="expression" dxfId="4801" priority="743053">
      <formula xml:space="preserve"> #REF! = "end repeat"</formula>
    </cfRule>
    <cfRule type="expression" dxfId="4800" priority="743052">
      <formula>$A27 = "begin repeat"</formula>
    </cfRule>
  </conditionalFormatting>
  <conditionalFormatting sqref="I54 L54:W54 A87:A88 L87:W88 B195:B199">
    <cfRule type="expression" dxfId="4799" priority="8527">
      <formula>AND($U$1="disabled",$U54="yes")</formula>
    </cfRule>
    <cfRule type="expression" dxfId="4798" priority="8528">
      <formula>$A54 = "begin repeat"</formula>
    </cfRule>
    <cfRule type="expression" dxfId="4797" priority="8529">
      <formula xml:space="preserve"> $A72 = "end repeat"</formula>
    </cfRule>
  </conditionalFormatting>
  <conditionalFormatting sqref="I58:I59 A82:A86 L82:W86 J114 D97 B97 K200:W200 A200:I200 J183 L183:W183 F183:F191 H183:H191 B183">
    <cfRule type="expression" dxfId="4796" priority="8547">
      <formula xml:space="preserve"> $A75 = "end repeat"</formula>
    </cfRule>
    <cfRule type="expression" dxfId="4795" priority="8546">
      <formula>$A58 = "begin repeat"</formula>
    </cfRule>
    <cfRule type="expression" dxfId="4794" priority="8545">
      <formula>AND($U$1="disabled",$U58="yes")</formula>
    </cfRule>
  </conditionalFormatting>
  <conditionalFormatting sqref="I59 L59:W59">
    <cfRule type="expression" dxfId="4793" priority="8250">
      <formula>AND($U$1="disabled",$U59="yes")</formula>
    </cfRule>
    <cfRule type="expression" dxfId="4792" priority="8252">
      <formula xml:space="preserve"> $A125 = "end repeat"</formula>
    </cfRule>
    <cfRule type="expression" dxfId="4791" priority="8251">
      <formula>$A59 = "begin repeat"</formula>
    </cfRule>
  </conditionalFormatting>
  <conditionalFormatting sqref="I60 B195:B199 J195:J199 M181:W181">
    <cfRule type="expression" dxfId="4790" priority="8540">
      <formula>$A60 = "begin repeat"</formula>
    </cfRule>
    <cfRule type="expression" dxfId="4789" priority="8539">
      <formula>AND($U$1="disabled",$U60="yes")</formula>
    </cfRule>
    <cfRule type="expression" dxfId="4788" priority="8541">
      <formula xml:space="preserve"> $A79 = "end repeat"</formula>
    </cfRule>
  </conditionalFormatting>
  <conditionalFormatting sqref="I61 A90 L57:W57 L90:W90 I56:I57 I52:I53 I89:I90 L52:W53 B98 J98 F98:F109 H98:H109 B184 F192:F194 H192:H194">
    <cfRule type="expression" dxfId="4787" priority="8536">
      <formula>AND($U$1="disabled",$U52="yes")</formula>
    </cfRule>
    <cfRule type="expression" dxfId="4786" priority="8537">
      <formula>$A52 = "begin repeat"</formula>
    </cfRule>
    <cfRule type="expression" dxfId="4785" priority="8538">
      <formula xml:space="preserve"> $A68 = "end repeat"</formula>
    </cfRule>
  </conditionalFormatting>
  <conditionalFormatting sqref="I62:I63">
    <cfRule type="expression" dxfId="4784" priority="8871">
      <formula>$A62="calculate"</formula>
    </cfRule>
  </conditionalFormatting>
  <conditionalFormatting sqref="I64:I65">
    <cfRule type="expression" dxfId="4783" priority="8876">
      <formula>$A64="calculate"</formula>
    </cfRule>
  </conditionalFormatting>
  <conditionalFormatting sqref="I66:I67">
    <cfRule type="expression" dxfId="4782" priority="8881">
      <formula>$A66="calculate"</formula>
    </cfRule>
  </conditionalFormatting>
  <conditionalFormatting sqref="I70 L70:W70 L39:W39 I38:I39 M172:W172 I172 A131 I131 K131:W131 C131 G38 E38 A52:A72 D52:D96 K36:W38 A36:D39 B40:B96 J36:J96 F39:F96 H39:H96 V144:W145 T144:T145 V156:W157 T156:T157 G129:G130 E129:E130 F116:F122 H116:H122 F125:F126 H125:H126 C40:C113 E36:I37 E115 E124 G206 B129:B181 J127:J181 F132:F181 H132:H181 B206:B210 J206:J210 F207:F208 H207:H208 E201 E206">
    <cfRule type="expression" dxfId="4781" priority="8571">
      <formula xml:space="preserve"> $A46 = "end repeat"</formula>
    </cfRule>
    <cfRule type="expression" dxfId="4780" priority="8569">
      <formula>AND($U$1="disabled",$U36="yes")</formula>
    </cfRule>
    <cfRule type="expression" dxfId="4779" priority="8570">
      <formula>$A36 = "begin repeat"</formula>
    </cfRule>
  </conditionalFormatting>
  <conditionalFormatting sqref="I71 L71:W71 A75:A79 I75:I79 L75:W79 M182:W182 M186:W186 L195:W199">
    <cfRule type="expression" dxfId="4778" priority="8478">
      <formula xml:space="preserve"> $A95 = "end repeat"</formula>
    </cfRule>
    <cfRule type="expression" dxfId="4777" priority="8476">
      <formula>AND($U$1="disabled",$U71="yes")</formula>
    </cfRule>
    <cfRule type="expression" dxfId="4776" priority="8477">
      <formula>$A71 = "begin repeat"</formula>
    </cfRule>
  </conditionalFormatting>
  <conditionalFormatting sqref="I72 L72:W72 K130:W130 A130 L119:W119 I119 A119 G131 D119 C130:I130 D131:E131 A45:B49 D45:D49 L45:W49 I45:I49">
    <cfRule type="expression" dxfId="4775" priority="8550">
      <formula xml:space="preserve"> $A52 = "end repeat"</formula>
    </cfRule>
    <cfRule type="expression" dxfId="4774" priority="8549">
      <formula>$A45 = "begin repeat"</formula>
    </cfRule>
    <cfRule type="expression" dxfId="4773" priority="8548">
      <formula>AND($U$1="disabled",$U45="yes")</formula>
    </cfRule>
  </conditionalFormatting>
  <conditionalFormatting sqref="I74">
    <cfRule type="expression" dxfId="4772" priority="8279">
      <formula xml:space="preserve"> $A134 = "end repeat"</formula>
    </cfRule>
    <cfRule type="expression" dxfId="4771" priority="8278">
      <formula>$A74 = "begin repeat"</formula>
    </cfRule>
    <cfRule type="expression" dxfId="4770" priority="8277">
      <formula>AND($U$1="disabled",$U74="yes")</formula>
    </cfRule>
  </conditionalFormatting>
  <conditionalFormatting sqref="I75">
    <cfRule type="expression" dxfId="4769" priority="8919">
      <formula>$A75="calculate"</formula>
    </cfRule>
  </conditionalFormatting>
  <conditionalFormatting sqref="I76">
    <cfRule type="expression" dxfId="4768" priority="8916">
      <formula>$A76="calculate"</formula>
    </cfRule>
  </conditionalFormatting>
  <conditionalFormatting sqref="I77">
    <cfRule type="expression" dxfId="4767" priority="8918">
      <formula>$A77="calculate"</formula>
    </cfRule>
  </conditionalFormatting>
  <conditionalFormatting sqref="I78">
    <cfRule type="expression" dxfId="4766" priority="8915">
      <formula>$A78="calculate"</formula>
    </cfRule>
  </conditionalFormatting>
  <conditionalFormatting sqref="I79">
    <cfRule type="expression" dxfId="4765" priority="8914">
      <formula>$A79="calculate"</formula>
    </cfRule>
  </conditionalFormatting>
  <conditionalFormatting sqref="I80">
    <cfRule type="expression" dxfId="4764" priority="8917">
      <formula>$A80="calculate"</formula>
    </cfRule>
  </conditionalFormatting>
  <conditionalFormatting sqref="I81">
    <cfRule type="expression" dxfId="4763" priority="8739">
      <formula>$A81="calculate"</formula>
    </cfRule>
  </conditionalFormatting>
  <conditionalFormatting sqref="I82">
    <cfRule type="expression" dxfId="4762" priority="8743">
      <formula>$A82="calculate"</formula>
    </cfRule>
  </conditionalFormatting>
  <conditionalFormatting sqref="I83">
    <cfRule type="expression" dxfId="4761" priority="8738">
      <formula>$A83="calculate"</formula>
    </cfRule>
  </conditionalFormatting>
  <conditionalFormatting sqref="I84">
    <cfRule type="expression" dxfId="4760" priority="8742">
      <formula>$A84="calculate"</formula>
    </cfRule>
  </conditionalFormatting>
  <conditionalFormatting sqref="I85">
    <cfRule type="expression" dxfId="4759" priority="8741">
      <formula>$A85="calculate"</formula>
    </cfRule>
  </conditionalFormatting>
  <conditionalFormatting sqref="I86">
    <cfRule type="expression" dxfId="4758" priority="8737">
      <formula>$A86="calculate"</formula>
    </cfRule>
  </conditionalFormatting>
  <conditionalFormatting sqref="I87">
    <cfRule type="expression" dxfId="4757" priority="8736">
      <formula>$A87="calculate"</formula>
    </cfRule>
  </conditionalFormatting>
  <conditionalFormatting sqref="I88">
    <cfRule type="expression" dxfId="4756" priority="8740">
      <formula>$A88="calculate"</formula>
    </cfRule>
  </conditionalFormatting>
  <conditionalFormatting sqref="I89">
    <cfRule type="expression" dxfId="4755" priority="8735">
      <formula>$A89="calculate"</formula>
    </cfRule>
  </conditionalFormatting>
  <conditionalFormatting sqref="I90">
    <cfRule type="expression" dxfId="4754" priority="8727">
      <formula>$A90="calculate"</formula>
    </cfRule>
  </conditionalFormatting>
  <conditionalFormatting sqref="I91">
    <cfRule type="expression" dxfId="4753" priority="8730">
      <formula>$A91="calculate"</formula>
    </cfRule>
  </conditionalFormatting>
  <conditionalFormatting sqref="I92">
    <cfRule type="expression" dxfId="4752" priority="8726">
      <formula>$A92="calculate"</formula>
    </cfRule>
  </conditionalFormatting>
  <conditionalFormatting sqref="I93">
    <cfRule type="expression" dxfId="4751" priority="8729">
      <formula>$A93="calculate"</formula>
    </cfRule>
  </conditionalFormatting>
  <conditionalFormatting sqref="I94">
    <cfRule type="expression" dxfId="4750" priority="8728">
      <formula>$A94="calculate"</formula>
    </cfRule>
  </conditionalFormatting>
  <conditionalFormatting sqref="I95">
    <cfRule type="expression" dxfId="4749" priority="8909">
      <formula>$A95="calculate"</formula>
    </cfRule>
  </conditionalFormatting>
  <conditionalFormatting sqref="I95:I99 L106:W106 A106 A95 L95:W95 A109 L108:W109 A194 L193:W194">
    <cfRule type="expression" dxfId="4748" priority="8282">
      <formula xml:space="preserve"> $A124 = "end repeat"</formula>
    </cfRule>
    <cfRule type="expression" dxfId="4747" priority="8280">
      <formula>AND($U$1="disabled",$U95="yes")</formula>
    </cfRule>
    <cfRule type="expression" dxfId="4746" priority="8281">
      <formula>$A95 = "begin repeat"</formula>
    </cfRule>
  </conditionalFormatting>
  <conditionalFormatting sqref="I96">
    <cfRule type="expression" dxfId="4745" priority="8913">
      <formula>$A96="calculate"</formula>
    </cfRule>
  </conditionalFormatting>
  <conditionalFormatting sqref="I97">
    <cfRule type="expression" dxfId="4744" priority="8908">
      <formula>$A97="calculate"</formula>
    </cfRule>
  </conditionalFormatting>
  <conditionalFormatting sqref="I98">
    <cfRule type="expression" dxfId="4743" priority="8912">
      <formula>$A98="calculate"</formula>
    </cfRule>
  </conditionalFormatting>
  <conditionalFormatting sqref="I99">
    <cfRule type="expression" dxfId="4742" priority="8911">
      <formula>$A99="calculate"</formula>
    </cfRule>
  </conditionalFormatting>
  <conditionalFormatting sqref="I100">
    <cfRule type="expression" dxfId="4741" priority="8907">
      <formula>$A100="calculate"</formula>
    </cfRule>
  </conditionalFormatting>
  <conditionalFormatting sqref="I101">
    <cfRule type="expression" dxfId="4740" priority="8906">
      <formula>$A101="calculate"</formula>
    </cfRule>
  </conditionalFormatting>
  <conditionalFormatting sqref="I101:I102">
    <cfRule type="expression" dxfId="4739" priority="8487">
      <formula xml:space="preserve"> $A129 = "end repeat"</formula>
    </cfRule>
    <cfRule type="expression" dxfId="4738" priority="8485">
      <formula>AND($U$1="disabled",$U101="yes")</formula>
    </cfRule>
    <cfRule type="expression" dxfId="4737" priority="8486">
      <formula>$A101 = "begin repeat"</formula>
    </cfRule>
  </conditionalFormatting>
  <conditionalFormatting sqref="I102">
    <cfRule type="expression" dxfId="4736" priority="8910">
      <formula>$A102="calculate"</formula>
    </cfRule>
  </conditionalFormatting>
  <conditionalFormatting sqref="I103">
    <cfRule type="expression" dxfId="4735" priority="8905">
      <formula>$A103="calculate"</formula>
    </cfRule>
  </conditionalFormatting>
  <conditionalFormatting sqref="I104">
    <cfRule type="expression" dxfId="4734" priority="8865">
      <formula>$A104="calculate"</formula>
    </cfRule>
  </conditionalFormatting>
  <conditionalFormatting sqref="I105">
    <cfRule type="expression" dxfId="4733" priority="8866">
      <formula>$A105="calculate"</formula>
    </cfRule>
  </conditionalFormatting>
  <conditionalFormatting sqref="I106 I110:I113">
    <cfRule type="expression" dxfId="4732" priority="8864">
      <formula>$A106="calculate"</formula>
    </cfRule>
  </conditionalFormatting>
  <conditionalFormatting sqref="I107">
    <cfRule type="expression" dxfId="4731" priority="7930">
      <formula>$A107="calculate"</formula>
    </cfRule>
  </conditionalFormatting>
  <conditionalFormatting sqref="I108">
    <cfRule type="expression" dxfId="4730" priority="7929">
      <formula>$A108="calculate"</formula>
    </cfRule>
  </conditionalFormatting>
  <conditionalFormatting sqref="I109">
    <cfRule type="expression" dxfId="4729" priority="7899">
      <formula>$A109="calculate"</formula>
    </cfRule>
  </conditionalFormatting>
  <conditionalFormatting sqref="I120">
    <cfRule type="expression" dxfId="4728" priority="8212">
      <formula>$A120="calculate"</formula>
    </cfRule>
  </conditionalFormatting>
  <conditionalFormatting sqref="I121:I122">
    <cfRule type="expression" dxfId="4727" priority="8195">
      <formula>$A121="calculate"</formula>
    </cfRule>
  </conditionalFormatting>
  <conditionalFormatting sqref="I132">
    <cfRule type="expression" dxfId="4726" priority="8835">
      <formula>$A132="calculate"</formula>
    </cfRule>
  </conditionalFormatting>
  <conditionalFormatting sqref="I140">
    <cfRule type="expression" dxfId="4725" priority="8404">
      <formula>AND($U$1="disabled",$U160="yes")</formula>
    </cfRule>
    <cfRule type="expression" dxfId="4724" priority="8405">
      <formula>$A140 = "begin repeat"</formula>
    </cfRule>
    <cfRule type="expression" dxfId="4723" priority="8406">
      <formula xml:space="preserve"> $A165 = "end repeat"</formula>
    </cfRule>
  </conditionalFormatting>
  <conditionalFormatting sqref="I142:I143">
    <cfRule type="expression" dxfId="4722" priority="8392">
      <formula>AND($U$1="disabled",$U162="yes")</formula>
    </cfRule>
    <cfRule type="expression" dxfId="4721" priority="8393">
      <formula>$A142 = "begin repeat"</formula>
    </cfRule>
    <cfRule type="expression" dxfId="4720" priority="8394">
      <formula xml:space="preserve"> $A165 = "end repeat"</formula>
    </cfRule>
  </conditionalFormatting>
  <conditionalFormatting sqref="I144:I148">
    <cfRule type="expression" dxfId="4719" priority="8821">
      <formula>$A144="calculate"</formula>
    </cfRule>
  </conditionalFormatting>
  <conditionalFormatting sqref="I145">
    <cfRule type="expression" dxfId="4718" priority="8422">
      <formula>AND($U$1="disabled",$U153="yes")</formula>
    </cfRule>
    <cfRule type="expression" dxfId="4717" priority="8423">
      <formula>$A145 = "begin repeat"</formula>
    </cfRule>
    <cfRule type="expression" dxfId="4716" priority="8424">
      <formula xml:space="preserve"> $A180 = "end repeat"</formula>
    </cfRule>
  </conditionalFormatting>
  <conditionalFormatting sqref="I148 A148 A176 O148 Q148 M79:W79 M95:W95 M85:W85 M87:W87">
    <cfRule type="expression" dxfId="4715" priority="8774">
      <formula>AND(#REF! = "section",$A79 = "end group")</formula>
    </cfRule>
    <cfRule type="expression" dxfId="4714" priority="8775">
      <formula xml:space="preserve"> $A79 = "begin group"</formula>
    </cfRule>
    <cfRule type="expression" dxfId="4713" priority="8776">
      <formula xml:space="preserve"> AND(#REF!="gg",$A79 = "end group")</formula>
    </cfRule>
    <cfRule type="expression" dxfId="4712" priority="8773">
      <formula>AND(#REF!="section",$A79="begin group")</formula>
    </cfRule>
  </conditionalFormatting>
  <conditionalFormatting sqref="I149">
    <cfRule type="expression" dxfId="4711" priority="8816">
      <formula>$A149="calculate"</formula>
    </cfRule>
  </conditionalFormatting>
  <conditionalFormatting sqref="I150:I151">
    <cfRule type="expression" dxfId="4710" priority="8420">
      <formula>$A150 = "begin repeat"</formula>
    </cfRule>
    <cfRule type="expression" dxfId="4709" priority="8419">
      <formula>AND($U$1="disabled",$U157="yes")</formula>
    </cfRule>
    <cfRule type="expression" dxfId="4708" priority="8421">
      <formula xml:space="preserve"> $A160 = "end repeat"</formula>
    </cfRule>
  </conditionalFormatting>
  <conditionalFormatting sqref="I150:I154">
    <cfRule type="expression" dxfId="4707" priority="8830">
      <formula>$A150="calculate"</formula>
    </cfRule>
  </conditionalFormatting>
  <conditionalFormatting sqref="I151">
    <cfRule type="expression" dxfId="4706" priority="8427">
      <formula xml:space="preserve"> $A186 = "end repeat"</formula>
    </cfRule>
    <cfRule type="expression" dxfId="4705" priority="8426">
      <formula>$A151 = "begin repeat"</formula>
    </cfRule>
    <cfRule type="expression" dxfId="4704" priority="8425">
      <formula>AND($U$1="disabled",$U158="yes")</formula>
    </cfRule>
  </conditionalFormatting>
  <conditionalFormatting sqref="I152">
    <cfRule type="expression" dxfId="4703" priority="8429">
      <formula>$A152 = "begin repeat"</formula>
    </cfRule>
    <cfRule type="expression" dxfId="4702" priority="8428">
      <formula>AND($U$1="disabled",$U159="yes")</formula>
    </cfRule>
    <cfRule type="expression" dxfId="4701" priority="8430">
      <formula xml:space="preserve"> $A164 = "end repeat"</formula>
    </cfRule>
  </conditionalFormatting>
  <conditionalFormatting sqref="I153 I155 I149">
    <cfRule type="expression" dxfId="4700" priority="8436">
      <formula xml:space="preserve"> $A158 = "end repeat"</formula>
    </cfRule>
    <cfRule type="expression" dxfId="4699" priority="8434">
      <formula>AND($U$1="disabled",$U156="yes")</formula>
    </cfRule>
    <cfRule type="expression" dxfId="4698" priority="8435">
      <formula>$A149 = "begin repeat"</formula>
    </cfRule>
  </conditionalFormatting>
  <conditionalFormatting sqref="I155 I149 I152:I153 G116:G119 E116:E119 G110:G113 G132:G183 E132:E183">
    <cfRule type="expression" dxfId="4697" priority="8464">
      <formula>AND($U$1="disabled",$U117="yes")</formula>
    </cfRule>
    <cfRule type="expression" dxfId="4696" priority="8465">
      <formula>$A110 = "begin repeat"</formula>
    </cfRule>
    <cfRule type="expression" dxfId="4695" priority="8466">
      <formula xml:space="preserve"> $A118 = "end repeat"</formula>
    </cfRule>
  </conditionalFormatting>
  <conditionalFormatting sqref="I157">
    <cfRule type="expression" dxfId="4694" priority="8121">
      <formula xml:space="preserve"> $A206 = "end repeat"</formula>
    </cfRule>
    <cfRule type="expression" dxfId="4693" priority="8119">
      <formula>AND($U$1="disabled",$U165="yes")</formula>
    </cfRule>
    <cfRule type="expression" dxfId="4692" priority="8120">
      <formula>$A157 = "begin repeat"</formula>
    </cfRule>
  </conditionalFormatting>
  <conditionalFormatting sqref="I158">
    <cfRule type="expression" dxfId="4691" priority="8505">
      <formula xml:space="preserve"> $A171 = "end repeat"</formula>
    </cfRule>
    <cfRule type="expression" dxfId="4690" priority="8504">
      <formula>$A158 = "begin repeat"</formula>
    </cfRule>
    <cfRule type="expression" dxfId="4689" priority="8503">
      <formula>AND($U$1="disabled",$U166="yes")</formula>
    </cfRule>
  </conditionalFormatting>
  <conditionalFormatting sqref="I158:I159 I146:I147">
    <cfRule type="expression" dxfId="4688" priority="8515">
      <formula>AND($U$1="disabled",$U154="yes")</formula>
    </cfRule>
    <cfRule type="expression" dxfId="4687" priority="8516">
      <formula>$A146 = "begin repeat"</formula>
    </cfRule>
    <cfRule type="expression" dxfId="4686" priority="8517">
      <formula xml:space="preserve"> $A155 = "end repeat"</formula>
    </cfRule>
  </conditionalFormatting>
  <conditionalFormatting sqref="I159">
    <cfRule type="expression" dxfId="4685" priority="8519">
      <formula>$A159 = "begin repeat"</formula>
    </cfRule>
    <cfRule type="expression" dxfId="4684" priority="8518">
      <formula>AND($U$1="disabled",$U167="yes")</formula>
    </cfRule>
    <cfRule type="expression" dxfId="4683" priority="8520">
      <formula xml:space="preserve"> $A169 = "end repeat"</formula>
    </cfRule>
  </conditionalFormatting>
  <conditionalFormatting sqref="I162 O162 Q162 G202:G204 E202:E204 G207:G208 A148 I148 O148 Q148 A176">
    <cfRule type="expression" dxfId="4682" priority="8770">
      <formula>AND($U$1="disabled",#REF!="yes")</formula>
    </cfRule>
  </conditionalFormatting>
  <conditionalFormatting sqref="I162:I163 O162:O163 Q162:Q163">
    <cfRule type="expression" dxfId="4681" priority="8759">
      <formula>AND(#REF!="section",$A162="begin group")</formula>
    </cfRule>
    <cfRule type="expression" dxfId="4680" priority="8760">
      <formula>AND(#REF! = "section",$A162 = "end group")</formula>
    </cfRule>
    <cfRule type="expression" dxfId="4679" priority="8761">
      <formula xml:space="preserve"> $A162 = "begin group"</formula>
    </cfRule>
    <cfRule type="expression" dxfId="4678" priority="8762">
      <formula xml:space="preserve"> AND(#REF!="gg",$A162 = "end group")</formula>
    </cfRule>
  </conditionalFormatting>
  <conditionalFormatting sqref="I163:I164 O163:O164 Q163:Q164 L162:L163">
    <cfRule type="expression" dxfId="4677" priority="8752">
      <formula>AND($U$1="disabled",#REF!="yes")</formula>
    </cfRule>
  </conditionalFormatting>
  <conditionalFormatting sqref="I164">
    <cfRule type="expression" dxfId="4676" priority="8890">
      <formula>$A164="calculate"</formula>
    </cfRule>
  </conditionalFormatting>
  <conditionalFormatting sqref="I165">
    <cfRule type="expression" dxfId="4675" priority="8887">
      <formula>AND(#REF! = "section",$A165 = "end group")</formula>
    </cfRule>
    <cfRule type="expression" dxfId="4674" priority="8886">
      <formula>AND(#REF!="section",$A165="begin group")</formula>
    </cfRule>
    <cfRule type="expression" dxfId="4673" priority="8889">
      <formula xml:space="preserve"> AND(#REF!="gg",$A165 = "end group")</formula>
    </cfRule>
    <cfRule type="expression" dxfId="4672" priority="8888">
      <formula xml:space="preserve"> $A165 = "begin group"</formula>
    </cfRule>
  </conditionalFormatting>
  <conditionalFormatting sqref="I165:I167 I68:I74 I155:I163 K114 K200 H114:I114 I38:I61 K36:K38 H36:I37 H124:I124 K124:K130 K206:K210 H206:I206 H200:I201 H127:I130 I125:I126 I133:I143 H209:I210 I207:I208">
    <cfRule type="expression" dxfId="4671" priority="8936">
      <formula>$A36="calculate"</formula>
    </cfRule>
  </conditionalFormatting>
  <conditionalFormatting sqref="I166 O166 Q166">
    <cfRule type="expression" dxfId="4670" priority="8805">
      <formula>AND($U$1="disabled",#REF!="yes")</formula>
    </cfRule>
  </conditionalFormatting>
  <conditionalFormatting sqref="I167 O165 Q165 O167 Q167 O132 Q132">
    <cfRule type="expression" dxfId="4669" priority="8808">
      <formula>AND(#REF!="section",$A132="begin group")</formula>
    </cfRule>
    <cfRule type="expression" dxfId="4668" priority="8811">
      <formula xml:space="preserve"> AND(#REF!="gg",$A132 = "end group")</formula>
    </cfRule>
    <cfRule type="expression" dxfId="4667" priority="8810">
      <formula xml:space="preserve"> $A132 = "begin group"</formula>
    </cfRule>
    <cfRule type="expression" dxfId="4666" priority="8809">
      <formula>AND(#REF! = "section",$A132 = "end group")</formula>
    </cfRule>
  </conditionalFormatting>
  <conditionalFormatting sqref="I168">
    <cfRule type="expression" dxfId="4665" priority="8904">
      <formula>$A168="calculate"</formula>
    </cfRule>
  </conditionalFormatting>
  <conditionalFormatting sqref="I169">
    <cfRule type="expression" dxfId="4664" priority="8901">
      <formula>$A169="calculate"</formula>
    </cfRule>
  </conditionalFormatting>
  <conditionalFormatting sqref="I170">
    <cfRule type="expression" dxfId="4663" priority="8903">
      <formula>$A170="calculate"</formula>
    </cfRule>
  </conditionalFormatting>
  <conditionalFormatting sqref="I171">
    <cfRule type="expression" dxfId="4662" priority="8900">
      <formula>$A171="calculate"</formula>
    </cfRule>
  </conditionalFormatting>
  <conditionalFormatting sqref="I172">
    <cfRule type="expression" dxfId="4661" priority="8854">
      <formula>$A172="calculate"</formula>
    </cfRule>
  </conditionalFormatting>
  <conditionalFormatting sqref="I173">
    <cfRule type="expression" dxfId="4660" priority="8855">
      <formula>$A173="calculate"</formula>
    </cfRule>
  </conditionalFormatting>
  <conditionalFormatting sqref="I174">
    <cfRule type="expression" dxfId="4659" priority="8849">
      <formula>$A174="calculate"</formula>
    </cfRule>
  </conditionalFormatting>
  <conditionalFormatting sqref="I175">
    <cfRule type="expression" dxfId="4658" priority="8853">
      <formula>$A175="calculate"</formula>
    </cfRule>
  </conditionalFormatting>
  <conditionalFormatting sqref="I176">
    <cfRule type="expression" dxfId="4657" priority="8848">
      <formula>$A176="calculate"</formula>
    </cfRule>
  </conditionalFormatting>
  <conditionalFormatting sqref="I177">
    <cfRule type="expression" dxfId="4656" priority="8852">
      <formula>$A177="calculate"</formula>
    </cfRule>
  </conditionalFormatting>
  <conditionalFormatting sqref="I178">
    <cfRule type="expression" dxfId="4655" priority="8851">
      <formula>$A178="calculate"</formula>
    </cfRule>
  </conditionalFormatting>
  <conditionalFormatting sqref="I179">
    <cfRule type="expression" dxfId="4654" priority="8847">
      <formula>$A179="calculate"</formula>
    </cfRule>
  </conditionalFormatting>
  <conditionalFormatting sqref="I180">
    <cfRule type="expression" dxfId="4653" priority="8846">
      <formula>$A180="calculate"</formula>
    </cfRule>
  </conditionalFormatting>
  <conditionalFormatting sqref="I181">
    <cfRule type="expression" dxfId="4652" priority="8850">
      <formula>$A181="calculate"</formula>
    </cfRule>
  </conditionalFormatting>
  <conditionalFormatting sqref="I182">
    <cfRule type="expression" dxfId="4651" priority="8845">
      <formula>$A182="calculate"</formula>
    </cfRule>
  </conditionalFormatting>
  <conditionalFormatting sqref="I183 M183:W183">
    <cfRule type="expression" dxfId="4650" priority="8748">
      <formula>AND(#REF!="section",$A183="begin group")</formula>
    </cfRule>
    <cfRule type="expression" dxfId="4649" priority="8749">
      <formula>AND(#REF! = "section",$A183 = "end group")</formula>
    </cfRule>
    <cfRule type="expression" dxfId="4648" priority="8750">
      <formula xml:space="preserve"> $A183 = "begin group"</formula>
    </cfRule>
    <cfRule type="expression" dxfId="4647" priority="8751">
      <formula xml:space="preserve"> AND(#REF!="gg",$A183 = "end group")</formula>
    </cfRule>
  </conditionalFormatting>
  <conditionalFormatting sqref="I183">
    <cfRule type="expression" dxfId="4646" priority="8840">
      <formula>$A183="calculate"</formula>
    </cfRule>
  </conditionalFormatting>
  <conditionalFormatting sqref="I184">
    <cfRule type="expression" dxfId="4645" priority="8899">
      <formula>$A184="calculate"</formula>
    </cfRule>
  </conditionalFormatting>
  <conditionalFormatting sqref="I185">
    <cfRule type="expression" dxfId="4644" priority="8902">
      <formula>$A185="calculate"</formula>
    </cfRule>
  </conditionalFormatting>
  <conditionalFormatting sqref="I186">
    <cfRule type="expression" dxfId="4643" priority="8895">
      <formula>$A186="calculate"</formula>
    </cfRule>
  </conditionalFormatting>
  <conditionalFormatting sqref="I187">
    <cfRule type="expression" dxfId="4642" priority="8898">
      <formula>$A187="calculate"</formula>
    </cfRule>
  </conditionalFormatting>
  <conditionalFormatting sqref="I188">
    <cfRule type="expression" dxfId="4641" priority="8894">
      <formula>$A188="calculate"</formula>
    </cfRule>
  </conditionalFormatting>
  <conditionalFormatting sqref="I189">
    <cfRule type="expression" dxfId="4640" priority="8897">
      <formula>$A189="calculate"</formula>
    </cfRule>
  </conditionalFormatting>
  <conditionalFormatting sqref="I190">
    <cfRule type="expression" dxfId="4639" priority="8896">
      <formula>$A190="calculate"</formula>
    </cfRule>
  </conditionalFormatting>
  <conditionalFormatting sqref="I191">
    <cfRule type="expression" dxfId="4638" priority="8893">
      <formula>$A191="calculate"</formula>
    </cfRule>
  </conditionalFormatting>
  <conditionalFormatting sqref="I192">
    <cfRule type="expression" dxfId="4637" priority="7855">
      <formula>$A192="calculate"</formula>
    </cfRule>
  </conditionalFormatting>
  <conditionalFormatting sqref="I193">
    <cfRule type="expression" dxfId="4636" priority="7854">
      <formula>$A193="calculate"</formula>
    </cfRule>
  </conditionalFormatting>
  <conditionalFormatting sqref="I194">
    <cfRule type="expression" dxfId="4635" priority="7827">
      <formula>$A194="calculate"</formula>
    </cfRule>
  </conditionalFormatting>
  <conditionalFormatting sqref="I195:I199">
    <cfRule type="expression" dxfId="4634" priority="8709">
      <formula>$A195="calculate"</formula>
    </cfRule>
  </conditionalFormatting>
  <conditionalFormatting sqref="I219">
    <cfRule type="expression" dxfId="4633" priority="7637">
      <formula>$A219="calculate"</formula>
    </cfRule>
  </conditionalFormatting>
  <conditionalFormatting sqref="I220">
    <cfRule type="expression" dxfId="4632" priority="7642">
      <formula>$A220="calculate"</formula>
    </cfRule>
  </conditionalFormatting>
  <conditionalFormatting sqref="I221">
    <cfRule type="expression" dxfId="4631" priority="7754">
      <formula>$A221="calculate"</formula>
    </cfRule>
  </conditionalFormatting>
  <conditionalFormatting sqref="I222">
    <cfRule type="expression" dxfId="4630" priority="7759">
      <formula>$A222="calculate"</formula>
    </cfRule>
  </conditionalFormatting>
  <conditionalFormatting sqref="I248 K248:W248">
    <cfRule type="expression" dxfId="4629" priority="7541">
      <formula xml:space="preserve"> $A251 = "end repeat"</formula>
    </cfRule>
    <cfRule type="expression" dxfId="4628" priority="7540">
      <formula>$A248 = "begin repeat"</formula>
    </cfRule>
    <cfRule type="expression" dxfId="4627" priority="7539">
      <formula>AND($U$1="disabled",$U248="yes")</formula>
    </cfRule>
  </conditionalFormatting>
  <conditionalFormatting sqref="I251 L251:W251">
    <cfRule type="expression" dxfId="4626" priority="7526">
      <formula xml:space="preserve"> $A275 = "end repeat"</formula>
    </cfRule>
    <cfRule type="expression" dxfId="4625" priority="7524">
      <formula>AND($U$1="disabled",$U251="yes")</formula>
    </cfRule>
    <cfRule type="expression" dxfId="4624" priority="7525">
      <formula>$A251 = "begin repeat"</formula>
    </cfRule>
  </conditionalFormatting>
  <conditionalFormatting sqref="I252 M252:W252 K348:K354">
    <cfRule type="expression" dxfId="4623" priority="7511">
      <formula xml:space="preserve"> $A275 = "end repeat"</formula>
    </cfRule>
    <cfRule type="expression" dxfId="4622" priority="7509">
      <formula>AND($U$1="disabled",$U252="yes")</formula>
    </cfRule>
    <cfRule type="expression" dxfId="4621" priority="7510">
      <formula>$A252 = "begin repeat"</formula>
    </cfRule>
  </conditionalFormatting>
  <conditionalFormatting sqref="I253">
    <cfRule type="expression" dxfId="4620" priority="7627">
      <formula>$A253="calculate"</formula>
    </cfRule>
  </conditionalFormatting>
  <conditionalFormatting sqref="I253:I254 I219:I223 A219:A223 M219:W223 M253:W254">
    <cfRule type="expression" dxfId="4619" priority="7611">
      <formula>AND($J221 = "section",$A219 = "end group")</formula>
    </cfRule>
    <cfRule type="expression" dxfId="4618" priority="7610">
      <formula>AND($J221="section",$A219="begin group")</formula>
    </cfRule>
    <cfRule type="expression" dxfId="4617" priority="7613">
      <formula xml:space="preserve"> AND($J221="gg",$A219 = "end group")</formula>
    </cfRule>
    <cfRule type="expression" dxfId="4616" priority="7612">
      <formula xml:space="preserve"> $A219 = "begin group"</formula>
    </cfRule>
  </conditionalFormatting>
  <conditionalFormatting sqref="I254">
    <cfRule type="expression" dxfId="4615" priority="7632">
      <formula>$A254="calculate"</formula>
    </cfRule>
  </conditionalFormatting>
  <conditionalFormatting sqref="I255:I256 M255:W256 R223:R224 J356">
    <cfRule type="expression" dxfId="4614" priority="7533">
      <formula>AND($U$1="disabled",$U223="yes")</formula>
    </cfRule>
    <cfRule type="expression" dxfId="4613" priority="7534">
      <formula>$A223 = "begin repeat"</formula>
    </cfRule>
    <cfRule type="expression" dxfId="4612" priority="7535">
      <formula xml:space="preserve"> $A244 = "end repeat"</formula>
    </cfRule>
  </conditionalFormatting>
  <conditionalFormatting sqref="I255:I264 A241:D242 M241:W252 A273:D274 A211:A216 K241:K249 H273:I276 J274:K277 A275:A305 J315:K315 J278:J305 C346:D348 M273:W305 J273 C211:D237 C243:D268 I265:J268 C275:D278 J211:J237 K211:K213 M211:W216 G211:G213 G346:K347 G245 G273:G277 G241:I244 A243:A272 C269:C272 J241:J264 C238:C240 H211:I212 I213:I216 I245:I252 I277:I305 M255:W267 I312:I315 J312:J314 B345 A312:B322 M312:W322 I316:K322 I324:K324 M324:W324 A324:B324 A326:B339 M326:W339 I326:K339 A346:B350 M346:W350 I348:K350 I351 K351 K357 A356:K356 D349:D350 D326:D339 D324 D312:D322 D279:D305 C279:C345 A353:B353 M353:W353 I353 K353 D353 M355:W356 K355 I355 A355:B355 D355 C349:C355">
    <cfRule type="expression" dxfId="4611" priority="7617">
      <formula xml:space="preserve"> AND($J211="gg",$A211 = "end group")</formula>
    </cfRule>
    <cfRule type="expression" dxfId="4610" priority="7616">
      <formula xml:space="preserve"> $A211 = "begin group"</formula>
    </cfRule>
  </conditionalFormatting>
  <conditionalFormatting sqref="I257 M257:W257">
    <cfRule type="expression" dxfId="4609" priority="7490">
      <formula xml:space="preserve"> $A290 = "end repeat"</formula>
    </cfRule>
    <cfRule type="expression" dxfId="4608" priority="7489">
      <formula>$A257 = "begin repeat"</formula>
    </cfRule>
    <cfRule type="expression" dxfId="4607" priority="7488">
      <formula>AND($U$1="disabled",$U257="yes")</formula>
    </cfRule>
  </conditionalFormatting>
  <conditionalFormatting sqref="I258:I259 M258:W259 K316:W316">
    <cfRule type="expression" dxfId="4606" priority="7394">
      <formula>AND($U$1="disabled",$U258="yes")</formula>
    </cfRule>
    <cfRule type="expression" dxfId="4605" priority="7396">
      <formula xml:space="preserve"> $A298 = "end repeat"</formula>
    </cfRule>
    <cfRule type="expression" dxfId="4604" priority="7395">
      <formula>$A258 = "begin repeat"</formula>
    </cfRule>
  </conditionalFormatting>
  <conditionalFormatting sqref="I262 B297:B300 B341">
    <cfRule type="expression" dxfId="4603" priority="7574">
      <formula xml:space="preserve"> $A277 = "end repeat"</formula>
    </cfRule>
    <cfRule type="expression" dxfId="4602" priority="7572">
      <formula>AND($U$1="disabled",$U262="yes")</formula>
    </cfRule>
    <cfRule type="expression" dxfId="4601" priority="7573">
      <formula>$A262 = "begin repeat"</formula>
    </cfRule>
  </conditionalFormatting>
  <conditionalFormatting sqref="I262">
    <cfRule type="expression" dxfId="4600" priority="7741">
      <formula>$A262="calculate"</formula>
    </cfRule>
  </conditionalFormatting>
  <conditionalFormatting sqref="I282">
    <cfRule type="expression" dxfId="4599" priority="7731">
      <formula>$A282="calculate"</formula>
    </cfRule>
  </conditionalFormatting>
  <conditionalFormatting sqref="I283:I284 I286:I287 I278:I281">
    <cfRule type="expression" dxfId="4598" priority="7736">
      <formula>$A278="calculate"</formula>
    </cfRule>
  </conditionalFormatting>
  <conditionalFormatting sqref="I285">
    <cfRule type="expression" dxfId="4597" priority="7726">
      <formula>$A285="calculate"</formula>
    </cfRule>
  </conditionalFormatting>
  <conditionalFormatting sqref="I288">
    <cfRule type="expression" dxfId="4596" priority="7721">
      <formula>$A288="calculate"</formula>
    </cfRule>
  </conditionalFormatting>
  <conditionalFormatting sqref="I289 I330 B326 L320:W320 D318 A320 I318 L318:W318 I320 B343 A217:A218 I217:I218 M217:W218 M241:W242 J348:J350 B348:B354 J352:J354 A318 D341">
    <cfRule type="expression" dxfId="4595" priority="7592">
      <formula xml:space="preserve"> $A225 = "end repeat"</formula>
    </cfRule>
    <cfRule type="expression" dxfId="4594" priority="7590">
      <formula>AND($U$1="disabled",$U217="yes")</formula>
    </cfRule>
    <cfRule type="expression" dxfId="4593" priority="7591">
      <formula>$A217 = "begin repeat"</formula>
    </cfRule>
  </conditionalFormatting>
  <conditionalFormatting sqref="I289">
    <cfRule type="expression" dxfId="4592" priority="7716">
      <formula>$A289="calculate"</formula>
    </cfRule>
  </conditionalFormatting>
  <conditionalFormatting sqref="I294">
    <cfRule type="expression" dxfId="4591" priority="7781">
      <formula>$A294="calculate"</formula>
    </cfRule>
  </conditionalFormatting>
  <conditionalFormatting sqref="I295 M295:W295 A295">
    <cfRule type="expression" dxfId="4590" priority="7514">
      <formula xml:space="preserve"> $A346 = "end repeat"</formula>
    </cfRule>
    <cfRule type="expression" dxfId="4589" priority="7513">
      <formula>$A295 = "begin repeat"</formula>
    </cfRule>
    <cfRule type="expression" dxfId="4588" priority="7512">
      <formula>AND($U$1="disabled",$U295="yes")</formula>
    </cfRule>
  </conditionalFormatting>
  <conditionalFormatting sqref="I295:I296 I298:I299 I223:I226 I290:I293 I255:I261 H241:I244 K241:K249 I277 K274:K277 I263:I268 H346:I347 K346:K351 K211:K213 H273:I276 H211:I212 I213:I218 I245:I252 I348:I351 I315:I317 K315:K322 F312:F322 H312:H322 I339 H345 F345 H324 F324 K324 K326:K339 F326:F339 H326:H339 K353 H353:I353 F353 F355 H355:I357 K355:K357">
    <cfRule type="expression" dxfId="4587" priority="7795">
      <formula>$A211="calculate"</formula>
    </cfRule>
  </conditionalFormatting>
  <conditionalFormatting sqref="I297">
    <cfRule type="expression" dxfId="4586" priority="7776">
      <formula>$A297="calculate"</formula>
    </cfRule>
  </conditionalFormatting>
  <conditionalFormatting sqref="I300">
    <cfRule type="expression" dxfId="4585" priority="7672">
      <formula>$A300="calculate"</formula>
    </cfRule>
  </conditionalFormatting>
  <conditionalFormatting sqref="I301 I303 J300:J303 B300:B303">
    <cfRule type="expression" dxfId="4584" priority="7193">
      <formula>$A300 = "begin repeat"</formula>
    </cfRule>
    <cfRule type="expression" dxfId="4583" priority="7194">
      <formula xml:space="preserve"> $A346 = "end repeat"</formula>
    </cfRule>
    <cfRule type="expression" dxfId="4582" priority="7192">
      <formula>AND($U$1="disabled",$U300="yes")</formula>
    </cfRule>
  </conditionalFormatting>
  <conditionalFormatting sqref="I301">
    <cfRule type="expression" dxfId="4581" priority="7667">
      <formula>$A301="calculate"</formula>
    </cfRule>
  </conditionalFormatting>
  <conditionalFormatting sqref="I302">
    <cfRule type="expression" dxfId="4580" priority="7682">
      <formula>$A302="calculate"</formula>
    </cfRule>
  </conditionalFormatting>
  <conditionalFormatting sqref="I303">
    <cfRule type="expression" dxfId="4579" priority="7677">
      <formula>$A303="calculate"</formula>
    </cfRule>
  </conditionalFormatting>
  <conditionalFormatting sqref="I304">
    <cfRule type="expression" dxfId="4578" priority="7692">
      <formula>$A304="calculate"</formula>
    </cfRule>
  </conditionalFormatting>
  <conditionalFormatting sqref="I305">
    <cfRule type="expression" dxfId="4577" priority="7687">
      <formula>$A305="calculate"</formula>
    </cfRule>
  </conditionalFormatting>
  <conditionalFormatting sqref="I306">
    <cfRule type="expression" dxfId="4576" priority="7245">
      <formula>$A306="calculate"</formula>
    </cfRule>
  </conditionalFormatting>
  <conditionalFormatting sqref="I307">
    <cfRule type="expression" dxfId="4575" priority="7240">
      <formula>$A307="calculate"</formula>
    </cfRule>
  </conditionalFormatting>
  <conditionalFormatting sqref="I308">
    <cfRule type="expression" dxfId="4574" priority="7256">
      <formula>$A308="calculate"</formula>
    </cfRule>
  </conditionalFormatting>
  <conditionalFormatting sqref="I309:I311">
    <cfRule type="expression" dxfId="4573" priority="7250">
      <formula>$A309="calculate"</formula>
    </cfRule>
  </conditionalFormatting>
  <conditionalFormatting sqref="I312">
    <cfRule type="expression" dxfId="4572" priority="7702">
      <formula>$A312="calculate"</formula>
    </cfRule>
  </conditionalFormatting>
  <conditionalFormatting sqref="I313">
    <cfRule type="expression" dxfId="4571" priority="7697">
      <formula>$A313="calculate"</formula>
    </cfRule>
  </conditionalFormatting>
  <conditionalFormatting sqref="I314">
    <cfRule type="expression" dxfId="4570" priority="7711">
      <formula>$A314="calculate"</formula>
    </cfRule>
  </conditionalFormatting>
  <conditionalFormatting sqref="I322">
    <cfRule type="expression" dxfId="4569" priority="7127">
      <formula>$A322="calculate"</formula>
    </cfRule>
  </conditionalFormatting>
  <conditionalFormatting sqref="I323">
    <cfRule type="expression" dxfId="4568" priority="6995">
      <formula>$A323="calculate"</formula>
    </cfRule>
  </conditionalFormatting>
  <conditionalFormatting sqref="I324 I318:I321 I326:I328">
    <cfRule type="expression" dxfId="4567" priority="7132">
      <formula>$A318="calculate"</formula>
    </cfRule>
  </conditionalFormatting>
  <conditionalFormatting sqref="I325">
    <cfRule type="expression" dxfId="4566" priority="6975">
      <formula>$A325="calculate"</formula>
    </cfRule>
  </conditionalFormatting>
  <conditionalFormatting sqref="I329">
    <cfRule type="expression" dxfId="4565" priority="7122">
      <formula>$A329="calculate"</formula>
    </cfRule>
  </conditionalFormatting>
  <conditionalFormatting sqref="I330">
    <cfRule type="expression" dxfId="4564" priority="7117">
      <formula>$A330="calculate"</formula>
    </cfRule>
  </conditionalFormatting>
  <conditionalFormatting sqref="I335">
    <cfRule type="expression" dxfId="4563" priority="7142">
      <formula>$A335="calculate"</formula>
    </cfRule>
  </conditionalFormatting>
  <conditionalFormatting sqref="I336:I337 I331:I334">
    <cfRule type="expression" dxfId="4562" priority="7147">
      <formula>$A331="calculate"</formula>
    </cfRule>
  </conditionalFormatting>
  <conditionalFormatting sqref="I338">
    <cfRule type="expression" dxfId="4561" priority="7137">
      <formula>$A338="calculate"</formula>
    </cfRule>
  </conditionalFormatting>
  <conditionalFormatting sqref="I340">
    <cfRule type="expression" dxfId="4560" priority="7067">
      <formula>$A340="calculate"</formula>
    </cfRule>
  </conditionalFormatting>
  <conditionalFormatting sqref="I341">
    <cfRule type="expression" dxfId="4559" priority="7050">
      <formula>$A341="calculate"</formula>
    </cfRule>
  </conditionalFormatting>
  <conditionalFormatting sqref="I342:I344">
    <cfRule type="expression" dxfId="4558" priority="7033">
      <formula>$A342="calculate"</formula>
    </cfRule>
  </conditionalFormatting>
  <conditionalFormatting sqref="I354 K354">
    <cfRule type="expression" dxfId="4557" priority="6939">
      <formula>AND($J354="section",$A354="begin group")</formula>
    </cfRule>
    <cfRule type="expression" dxfId="4556" priority="6940">
      <formula>AND($J354 = "section",$A354 = "end group")</formula>
    </cfRule>
  </conditionalFormatting>
  <conditionalFormatting sqref="I361:I362">
    <cfRule type="expression" dxfId="4555" priority="6633">
      <formula>$A361="calculate"</formula>
    </cfRule>
  </conditionalFormatting>
  <conditionalFormatting sqref="I363:I366">
    <cfRule type="expression" dxfId="4554" priority="6623">
      <formula>$A363="calculate"</formula>
    </cfRule>
  </conditionalFormatting>
  <conditionalFormatting sqref="I367">
    <cfRule type="expression" dxfId="4553" priority="6618">
      <formula>$A367="calculate"</formula>
    </cfRule>
  </conditionalFormatting>
  <conditionalFormatting sqref="I368:I371 I374:I377 I380:I383 I386:I389">
    <cfRule type="expression" dxfId="4552" priority="6628">
      <formula>$A368="calculate"</formula>
    </cfRule>
  </conditionalFormatting>
  <conditionalFormatting sqref="I392">
    <cfRule type="expression" dxfId="4551" priority="6369">
      <formula>$A392="calculate"</formula>
    </cfRule>
  </conditionalFormatting>
  <conditionalFormatting sqref="I393">
    <cfRule type="expression" dxfId="4550" priority="6377">
      <formula>$A393="calculate"</formula>
    </cfRule>
  </conditionalFormatting>
  <conditionalFormatting sqref="I394">
    <cfRule type="expression" dxfId="4549" priority="5746">
      <formula>$A394="calculate"</formula>
    </cfRule>
  </conditionalFormatting>
  <conditionalFormatting sqref="I395">
    <cfRule type="expression" dxfId="4548" priority="5725">
      <formula>$A395="calculate"</formula>
    </cfRule>
  </conditionalFormatting>
  <conditionalFormatting sqref="I396">
    <cfRule type="expression" dxfId="4547" priority="5989">
      <formula>$A396="calculate"</formula>
    </cfRule>
  </conditionalFormatting>
  <conditionalFormatting sqref="I397">
    <cfRule type="expression" dxfId="4546" priority="5718">
      <formula>$A397="calculate"</formula>
    </cfRule>
  </conditionalFormatting>
  <conditionalFormatting sqref="I398">
    <cfRule type="expression" dxfId="4545" priority="6321">
      <formula>$A398="calculate"</formula>
    </cfRule>
  </conditionalFormatting>
  <conditionalFormatting sqref="I399">
    <cfRule type="expression" dxfId="4544" priority="6290">
      <formula>$A399="calculate"</formula>
    </cfRule>
  </conditionalFormatting>
  <conditionalFormatting sqref="I400">
    <cfRule type="expression" dxfId="4543" priority="6259">
      <formula>$A400="calculate"</formula>
    </cfRule>
  </conditionalFormatting>
  <conditionalFormatting sqref="I401">
    <cfRule type="expression" dxfId="4542" priority="3445">
      <formula>$A401="calculate"</formula>
    </cfRule>
  </conditionalFormatting>
  <conditionalFormatting sqref="I402">
    <cfRule type="expression" dxfId="4541" priority="3411">
      <formula>$A402="calculate"</formula>
    </cfRule>
  </conditionalFormatting>
  <conditionalFormatting sqref="I403">
    <cfRule type="expression" dxfId="4540" priority="5955">
      <formula>$A403="calculate"</formula>
    </cfRule>
  </conditionalFormatting>
  <conditionalFormatting sqref="I404">
    <cfRule type="expression" dxfId="4539" priority="5794">
      <formula>$A404="calculate"</formula>
    </cfRule>
  </conditionalFormatting>
  <conditionalFormatting sqref="I405">
    <cfRule type="expression" dxfId="4538" priority="6228">
      <formula>$A405="calculate"</formula>
    </cfRule>
  </conditionalFormatting>
  <conditionalFormatting sqref="I406">
    <cfRule type="expression" dxfId="4537" priority="6197">
      <formula>$A406="calculate"</formula>
    </cfRule>
  </conditionalFormatting>
  <conditionalFormatting sqref="I407">
    <cfRule type="expression" dxfId="4536" priority="5924">
      <formula>$A407="calculate"</formula>
    </cfRule>
  </conditionalFormatting>
  <conditionalFormatting sqref="I408">
    <cfRule type="expression" dxfId="4535" priority="5825">
      <formula>$A408="calculate"</formula>
    </cfRule>
  </conditionalFormatting>
  <conditionalFormatting sqref="I409">
    <cfRule type="expression" dxfId="4534" priority="5893">
      <formula>$A409="calculate"</formula>
    </cfRule>
  </conditionalFormatting>
  <conditionalFormatting sqref="I410">
    <cfRule type="expression" dxfId="4533" priority="6157">
      <formula>$A410="calculate"</formula>
    </cfRule>
  </conditionalFormatting>
  <conditionalFormatting sqref="I411">
    <cfRule type="expression" dxfId="4532" priority="6126">
      <formula>$A411="calculate"</formula>
    </cfRule>
  </conditionalFormatting>
  <conditionalFormatting sqref="I412">
    <cfRule type="expression" dxfId="4531" priority="5862">
      <formula>$A412="calculate"</formula>
    </cfRule>
  </conditionalFormatting>
  <conditionalFormatting sqref="I413">
    <cfRule type="expression" dxfId="4530" priority="5684">
      <formula>$A413="calculate"</formula>
    </cfRule>
  </conditionalFormatting>
  <conditionalFormatting sqref="I414">
    <cfRule type="expression" dxfId="4529" priority="6095">
      <formula>$A414="calculate"</formula>
    </cfRule>
  </conditionalFormatting>
  <conditionalFormatting sqref="I415">
    <cfRule type="expression" dxfId="4528" priority="6064">
      <formula>$A415="calculate"</formula>
    </cfRule>
  </conditionalFormatting>
  <conditionalFormatting sqref="I416">
    <cfRule type="expression" dxfId="4527" priority="3374">
      <formula>$A416="calculate"</formula>
    </cfRule>
  </conditionalFormatting>
  <conditionalFormatting sqref="I417">
    <cfRule type="expression" dxfId="4526" priority="3254">
      <formula>$A417="calculate"</formula>
    </cfRule>
  </conditionalFormatting>
  <conditionalFormatting sqref="I418">
    <cfRule type="expression" dxfId="4525" priority="3223">
      <formula>$A418="calculate"</formula>
    </cfRule>
  </conditionalFormatting>
  <conditionalFormatting sqref="I419">
    <cfRule type="expression" dxfId="4524" priority="3316">
      <formula>$A419="calculate"</formula>
    </cfRule>
  </conditionalFormatting>
  <conditionalFormatting sqref="I420">
    <cfRule type="expression" dxfId="4523" priority="3285">
      <formula>$A420="calculate"</formula>
    </cfRule>
  </conditionalFormatting>
  <conditionalFormatting sqref="I428:I431">
    <cfRule type="expression" dxfId="4522" priority="6592">
      <formula>$A428="calculate"</formula>
    </cfRule>
  </conditionalFormatting>
  <conditionalFormatting sqref="I432">
    <cfRule type="expression" dxfId="4521" priority="6587">
      <formula>$A432="calculate"</formula>
    </cfRule>
  </conditionalFormatting>
  <conditionalFormatting sqref="I433:I436 I426:I427">
    <cfRule type="expression" dxfId="4520" priority="6597">
      <formula>$A426="calculate"</formula>
    </cfRule>
  </conditionalFormatting>
  <conditionalFormatting sqref="I439:I442">
    <cfRule type="expression" dxfId="4519" priority="6527">
      <formula>$A439="calculate"</formula>
    </cfRule>
  </conditionalFormatting>
  <conditionalFormatting sqref="I443">
    <cfRule type="expression" dxfId="4518" priority="6522">
      <formula>$A443="calculate"</formula>
    </cfRule>
  </conditionalFormatting>
  <conditionalFormatting sqref="I444:I447 I438">
    <cfRule type="expression" dxfId="4517" priority="6532">
      <formula>$A438="calculate"</formula>
    </cfRule>
  </conditionalFormatting>
  <conditionalFormatting sqref="I449:I452">
    <cfRule type="expression" dxfId="4516" priority="6842">
      <formula>$A449="calculate"</formula>
    </cfRule>
  </conditionalFormatting>
  <conditionalFormatting sqref="I453">
    <cfRule type="expression" dxfId="4515" priority="6837">
      <formula>$A453="calculate"</formula>
    </cfRule>
  </conditionalFormatting>
  <conditionalFormatting sqref="I457">
    <cfRule type="expression" dxfId="4514" priority="6342">
      <formula>$A457="calculate"</formula>
    </cfRule>
  </conditionalFormatting>
  <conditionalFormatting sqref="I458">
    <cfRule type="expression" dxfId="4513" priority="5618">
      <formula>$A458="calculate"</formula>
    </cfRule>
  </conditionalFormatting>
  <conditionalFormatting sqref="I459">
    <cfRule type="expression" dxfId="4512" priority="5101">
      <formula>$A459="calculate"</formula>
    </cfRule>
  </conditionalFormatting>
  <conditionalFormatting sqref="I460">
    <cfRule type="expression" dxfId="4511" priority="5080">
      <formula>$A460="calculate"</formula>
    </cfRule>
  </conditionalFormatting>
  <conditionalFormatting sqref="I461">
    <cfRule type="expression" dxfId="4510" priority="5335">
      <formula>$A461="calculate"</formula>
    </cfRule>
  </conditionalFormatting>
  <conditionalFormatting sqref="I462">
    <cfRule type="expression" dxfId="4509" priority="5076">
      <formula>$A462="calculate"</formula>
    </cfRule>
  </conditionalFormatting>
  <conditionalFormatting sqref="I463">
    <cfRule type="expression" dxfId="4508" priority="5614">
      <formula>$A463="calculate"</formula>
    </cfRule>
  </conditionalFormatting>
  <conditionalFormatting sqref="I464">
    <cfRule type="expression" dxfId="4507" priority="5583">
      <formula>$A464="calculate"</formula>
    </cfRule>
  </conditionalFormatting>
  <conditionalFormatting sqref="I465">
    <cfRule type="expression" dxfId="4506" priority="5552">
      <formula>$A465="calculate"</formula>
    </cfRule>
  </conditionalFormatting>
  <conditionalFormatting sqref="I466">
    <cfRule type="expression" dxfId="4505" priority="3731">
      <formula>$A466="calculate"</formula>
    </cfRule>
  </conditionalFormatting>
  <conditionalFormatting sqref="I467">
    <cfRule type="expression" dxfId="4504" priority="3693">
      <formula>$A467="calculate"</formula>
    </cfRule>
  </conditionalFormatting>
  <conditionalFormatting sqref="I468">
    <cfRule type="expression" dxfId="4503" priority="5304">
      <formula>$A468="calculate"</formula>
    </cfRule>
  </conditionalFormatting>
  <conditionalFormatting sqref="I469">
    <cfRule type="expression" dxfId="4502" priority="5149">
      <formula>$A469="calculate"</formula>
    </cfRule>
  </conditionalFormatting>
  <conditionalFormatting sqref="I470">
    <cfRule type="expression" dxfId="4501" priority="5521">
      <formula>$A470="calculate"</formula>
    </cfRule>
  </conditionalFormatting>
  <conditionalFormatting sqref="I471">
    <cfRule type="expression" dxfId="4500" priority="5490">
      <formula>$A471="calculate"</formula>
    </cfRule>
  </conditionalFormatting>
  <conditionalFormatting sqref="I472">
    <cfRule type="expression" dxfId="4499" priority="5273">
      <formula>$A472="calculate"</formula>
    </cfRule>
  </conditionalFormatting>
  <conditionalFormatting sqref="I473">
    <cfRule type="expression" dxfId="4498" priority="5180">
      <formula>$A473="calculate"</formula>
    </cfRule>
  </conditionalFormatting>
  <conditionalFormatting sqref="I474">
    <cfRule type="expression" dxfId="4497" priority="5242">
      <formula>$A474="calculate"</formula>
    </cfRule>
  </conditionalFormatting>
  <conditionalFormatting sqref="I475">
    <cfRule type="expression" dxfId="4496" priority="5459">
      <formula>$A475="calculate"</formula>
    </cfRule>
  </conditionalFormatting>
  <conditionalFormatting sqref="I476">
    <cfRule type="expression" dxfId="4495" priority="5428">
      <formula>$A476="calculate"</formula>
    </cfRule>
  </conditionalFormatting>
  <conditionalFormatting sqref="I477 D477">
    <cfRule type="expression" dxfId="4494" priority="4066">
      <formula>$A477 = "begin repeat"</formula>
    </cfRule>
    <cfRule type="expression" dxfId="4493" priority="4067">
      <formula xml:space="preserve"> $A576 = "end repeat"</formula>
    </cfRule>
    <cfRule type="expression" dxfId="4492" priority="4065">
      <formula>AND($U$1="disabled",$U477="yes")</formula>
    </cfRule>
  </conditionalFormatting>
  <conditionalFormatting sqref="I477">
    <cfRule type="expression" dxfId="4491" priority="5211">
      <formula>$A477="calculate"</formula>
    </cfRule>
  </conditionalFormatting>
  <conditionalFormatting sqref="I478">
    <cfRule type="expression" dxfId="4490" priority="5045">
      <formula>$A478="calculate"</formula>
    </cfRule>
  </conditionalFormatting>
  <conditionalFormatting sqref="I479">
    <cfRule type="expression" dxfId="4489" priority="5397">
      <formula>$A479="calculate"</formula>
    </cfRule>
  </conditionalFormatting>
  <conditionalFormatting sqref="I480">
    <cfRule type="expression" dxfId="4488" priority="5366">
      <formula>$A480="calculate"</formula>
    </cfRule>
  </conditionalFormatting>
  <conditionalFormatting sqref="I481 I416 A416 D481 D416 J396:J397 B396:B397 A398:A402 J461:J462 B461:B462 I463:I467 D463:D467 I398:I402 D398:D402">
    <cfRule type="expression" dxfId="4487" priority="6657">
      <formula>AND($U$1="disabled",$U396="yes")</formula>
    </cfRule>
    <cfRule type="expression" dxfId="4486" priority="6659">
      <formula xml:space="preserve"> $A452 = "end repeat"</formula>
    </cfRule>
    <cfRule type="expression" dxfId="4485" priority="6658">
      <formula>$A396 = "begin repeat"</formula>
    </cfRule>
  </conditionalFormatting>
  <conditionalFormatting sqref="I481">
    <cfRule type="expression" dxfId="4484" priority="3649">
      <formula>$A481="calculate"</formula>
    </cfRule>
  </conditionalFormatting>
  <conditionalFormatting sqref="I482">
    <cfRule type="expression" dxfId="4483" priority="3507">
      <formula>$A482="calculate"</formula>
    </cfRule>
  </conditionalFormatting>
  <conditionalFormatting sqref="I483">
    <cfRule type="expression" dxfId="4482" priority="3476">
      <formula>$A483="calculate"</formula>
    </cfRule>
  </conditionalFormatting>
  <conditionalFormatting sqref="I484">
    <cfRule type="expression" dxfId="4481" priority="3569">
      <formula>$A484="calculate"</formula>
    </cfRule>
  </conditionalFormatting>
  <conditionalFormatting sqref="I485">
    <cfRule type="expression" dxfId="4480" priority="3538">
      <formula>$A485="calculate"</formula>
    </cfRule>
  </conditionalFormatting>
  <conditionalFormatting sqref="I495">
    <cfRule type="expression" dxfId="4479" priority="6851">
      <formula>$A495="calculate"</formula>
    </cfRule>
  </conditionalFormatting>
  <conditionalFormatting sqref="I504:I507">
    <cfRule type="expression" dxfId="4478" priority="6652">
      <formula>$A504="calculate"</formula>
    </cfRule>
  </conditionalFormatting>
  <conditionalFormatting sqref="I508">
    <cfRule type="expression" dxfId="4477" priority="6647">
      <formula>$A508="calculate"</formula>
    </cfRule>
  </conditionalFormatting>
  <conditionalFormatting sqref="I522">
    <cfRule type="expression" dxfId="4476" priority="6020">
      <formula>$A522="calculate"</formula>
    </cfRule>
  </conditionalFormatting>
  <conditionalFormatting sqref="I523">
    <cfRule type="expression" dxfId="4475" priority="4635">
      <formula>$A523="calculate"</formula>
    </cfRule>
  </conditionalFormatting>
  <conditionalFormatting sqref="I524">
    <cfRule type="expression" dxfId="4474" priority="4997">
      <formula>$A524="calculate"</formula>
    </cfRule>
  </conditionalFormatting>
  <conditionalFormatting sqref="I525">
    <cfRule type="expression" dxfId="4473" priority="4717">
      <formula>$A525="calculate"</formula>
    </cfRule>
  </conditionalFormatting>
  <conditionalFormatting sqref="I526">
    <cfRule type="expression" dxfId="4472" priority="4686">
      <formula>$A526="calculate"</formula>
    </cfRule>
  </conditionalFormatting>
  <conditionalFormatting sqref="I527">
    <cfRule type="expression" dxfId="4471" priority="4633">
      <formula>$A527="calculate"</formula>
    </cfRule>
  </conditionalFormatting>
  <conditionalFormatting sqref="I529">
    <cfRule type="expression" dxfId="4470" priority="4995">
      <formula>$A529="calculate"</formula>
    </cfRule>
  </conditionalFormatting>
  <conditionalFormatting sqref="I530">
    <cfRule type="expression" dxfId="4469" priority="4966">
      <formula>$A530="calculate"</formula>
    </cfRule>
  </conditionalFormatting>
  <conditionalFormatting sqref="I531">
    <cfRule type="expression" dxfId="4468" priority="3831">
      <formula>$A531="calculate"</formula>
    </cfRule>
  </conditionalFormatting>
  <conditionalFormatting sqref="I532">
    <cfRule type="expression" dxfId="4467" priority="4604">
      <formula>$A532="calculate"</formula>
    </cfRule>
  </conditionalFormatting>
  <conditionalFormatting sqref="I533">
    <cfRule type="expression" dxfId="4466" priority="3769">
      <formula>$A533="calculate"</formula>
    </cfRule>
  </conditionalFormatting>
  <conditionalFormatting sqref="I534">
    <cfRule type="expression" dxfId="4465" priority="4821">
      <formula>$A534="calculate"</formula>
    </cfRule>
  </conditionalFormatting>
  <conditionalFormatting sqref="I535">
    <cfRule type="expression" dxfId="4464" priority="4763">
      <formula>$A535="calculate"</formula>
    </cfRule>
  </conditionalFormatting>
  <conditionalFormatting sqref="I536">
    <cfRule type="expression" dxfId="4463" priority="4937">
      <formula>$A536="calculate"</formula>
    </cfRule>
  </conditionalFormatting>
  <conditionalFormatting sqref="I537">
    <cfRule type="expression" dxfId="4462" priority="4575">
      <formula>$A537="calculate"</formula>
    </cfRule>
  </conditionalFormatting>
  <conditionalFormatting sqref="I538">
    <cfRule type="expression" dxfId="4461" priority="4546">
      <formula>$A538="calculate"</formula>
    </cfRule>
  </conditionalFormatting>
  <conditionalFormatting sqref="I539">
    <cfRule type="expression" dxfId="4460" priority="4517">
      <formula>$A539="calculate"</formula>
    </cfRule>
  </conditionalFormatting>
  <conditionalFormatting sqref="I540">
    <cfRule type="expression" dxfId="4459" priority="4908">
      <formula>$A540="calculate"</formula>
    </cfRule>
  </conditionalFormatting>
  <conditionalFormatting sqref="I541">
    <cfRule type="expression" dxfId="4458" priority="4879">
      <formula>$A541="calculate"</formula>
    </cfRule>
  </conditionalFormatting>
  <conditionalFormatting sqref="I542">
    <cfRule type="expression" dxfId="4457" priority="4401">
      <formula>$A542="calculate"</formula>
    </cfRule>
  </conditionalFormatting>
  <conditionalFormatting sqref="I543">
    <cfRule type="expression" dxfId="4456" priority="4792">
      <formula>$A543="calculate"</formula>
    </cfRule>
  </conditionalFormatting>
  <conditionalFormatting sqref="I544 D544 J542:J543">
    <cfRule type="expression" dxfId="4455" priority="4240">
      <formula>AND($U$1="disabled",$U542="yes")</formula>
    </cfRule>
    <cfRule type="expression" dxfId="4454" priority="4241">
      <formula>$A542 = "begin repeat"</formula>
    </cfRule>
    <cfRule type="expression" dxfId="4453" priority="4242">
      <formula xml:space="preserve"> $A677 = "end repeat"</formula>
    </cfRule>
  </conditionalFormatting>
  <conditionalFormatting sqref="I544">
    <cfRule type="expression" dxfId="4452" priority="4715">
      <formula>$A544="calculate"</formula>
    </cfRule>
  </conditionalFormatting>
  <conditionalFormatting sqref="I545">
    <cfRule type="expression" dxfId="4451" priority="4850">
      <formula>$A545="calculate"</formula>
    </cfRule>
  </conditionalFormatting>
  <conditionalFormatting sqref="I546">
    <cfRule type="expression" dxfId="4450" priority="4488">
      <formula>$A546="calculate"</formula>
    </cfRule>
  </conditionalFormatting>
  <conditionalFormatting sqref="I547">
    <cfRule type="expression" dxfId="4449" priority="4459">
      <formula>$A547="calculate"</formula>
    </cfRule>
  </conditionalFormatting>
  <conditionalFormatting sqref="I548">
    <cfRule type="expression" dxfId="4448" priority="4430">
      <formula>$A548="calculate"</formula>
    </cfRule>
  </conditionalFormatting>
  <conditionalFormatting sqref="I549 I456 M456:W456 H392 F392 D549 A481 H396:H397 F396:F397 I451:I453 M451:W452 B449:B457 H461:H462 F461:F462 A451:A467">
    <cfRule type="expression" dxfId="4447" priority="6383">
      <formula xml:space="preserve"> $A429 = "end repeat"</formula>
    </cfRule>
    <cfRule type="expression" dxfId="4446" priority="6382">
      <formula>$A392 = "begin repeat"</formula>
    </cfRule>
    <cfRule type="expression" dxfId="4445" priority="6381">
      <formula>AND($U$1="disabled",$U392="yes")</formula>
    </cfRule>
  </conditionalFormatting>
  <conditionalFormatting sqref="I549">
    <cfRule type="expression" dxfId="4444" priority="4159">
      <formula>$A549="calculate"</formula>
    </cfRule>
  </conditionalFormatting>
  <conditionalFormatting sqref="I550">
    <cfRule type="expression" dxfId="4443" priority="4100">
      <formula>$A550="calculate"</formula>
    </cfRule>
  </conditionalFormatting>
  <conditionalFormatting sqref="I551">
    <cfRule type="expression" dxfId="4442" priority="3991">
      <formula>$A551="calculate"</formula>
    </cfRule>
  </conditionalFormatting>
  <conditionalFormatting sqref="I552">
    <cfRule type="expression" dxfId="4441" priority="3962">
      <formula>$A552="calculate"</formula>
    </cfRule>
  </conditionalFormatting>
  <conditionalFormatting sqref="I553">
    <cfRule type="expression" dxfId="4440" priority="4020">
      <formula>$A553="calculate"</formula>
    </cfRule>
  </conditionalFormatting>
  <conditionalFormatting sqref="I554">
    <cfRule type="expression" dxfId="4439" priority="3933">
      <formula>$A554="calculate"</formula>
    </cfRule>
  </conditionalFormatting>
  <conditionalFormatting sqref="I555">
    <cfRule type="expression" dxfId="4438" priority="3904">
      <formula>$A555="calculate"</formula>
    </cfRule>
  </conditionalFormatting>
  <conditionalFormatting sqref="I556">
    <cfRule type="expression" dxfId="4437" priority="3875">
      <formula>$A556="calculate"</formula>
    </cfRule>
  </conditionalFormatting>
  <conditionalFormatting sqref="I563">
    <cfRule type="expression" dxfId="4436" priority="3180">
      <formula>$A563="calculate"</formula>
    </cfRule>
  </conditionalFormatting>
  <conditionalFormatting sqref="I567 A567 A563 I563 M563:W563 R559 M567:W567 B581 J581 A608 D608 K608:W608 I608 D635 K682 F680 H680:W680 D680 R741 R815 D803 C804 C806 C802:D802 B809:C809 B811 B812:C812 K830 A680:B680 G559:G561 B559:B563 J559:J563 E559:E561 B567:B568 J567:J568 F570:F579 H570:H579 D583:D585 D610:D611 K610:K611 K645:K646 B777:B785 J777:J785 A802:A803 M802:W803 I802:I803 K802:K803 C810:C811">
    <cfRule type="expression" dxfId="4435" priority="2719">
      <formula>$A559 = "begin repeat"</formula>
    </cfRule>
    <cfRule type="expression" dxfId="4434" priority="2720">
      <formula xml:space="preserve"> $A570 = "end repeat"</formula>
    </cfRule>
    <cfRule type="expression" dxfId="4433" priority="2718">
      <formula>AND($U$1="disabled",$U559="yes")</formula>
    </cfRule>
  </conditionalFormatting>
  <conditionalFormatting sqref="I583">
    <cfRule type="expression" dxfId="4432" priority="3171">
      <formula>$A583="calculate"</formula>
    </cfRule>
  </conditionalFormatting>
  <conditionalFormatting sqref="I584 I586:I587 I589 I592 I594 I714:I719 K714:K719 I758:I761 K758:K761 H788:I791 K788:K800 H739:I742 K739:K755 I656:I666 K656:K666 I561:I562 I643 I708:I710 K671:K672 I671:I672 I802:I807 K802:K807 K813:K831 K839:K840 H839:I840 H813:I816 I810:I812 H559:I560 I743:I755 I792:I800 I817:I838 I606:I607 I564:I582 H598:I603 I596:I597 F562:F603 H562:H597 K559:K603 I610:I612 H608:H612 K607:K616 H613:I624 I626:I628 H625:H628 H629:I642 F608:F638 K629:K643 K694:K698 F694:F698 H694:I698 H704:I707 K704:K710 I723 K723 F723:F735 H723:H735 F738 H738">
    <cfRule type="expression" dxfId="4431" priority="3185">
      <formula>$A559="calculate"</formula>
    </cfRule>
  </conditionalFormatting>
  <conditionalFormatting sqref="I585">
    <cfRule type="expression" dxfId="4430" priority="3165">
      <formula>$A585="calculate"</formula>
    </cfRule>
  </conditionalFormatting>
  <conditionalFormatting sqref="I588">
    <cfRule type="expression" dxfId="4429" priority="3159">
      <formula>$A588="calculate"</formula>
    </cfRule>
  </conditionalFormatting>
  <conditionalFormatting sqref="I590">
    <cfRule type="expression" dxfId="4428" priority="3153">
      <formula>$A590="calculate"</formula>
    </cfRule>
  </conditionalFormatting>
  <conditionalFormatting sqref="I591">
    <cfRule type="expression" dxfId="4427" priority="3147">
      <formula>$A591="calculate"</formula>
    </cfRule>
  </conditionalFormatting>
  <conditionalFormatting sqref="I593">
    <cfRule type="expression" dxfId="4426" priority="3141">
      <formula>$A593="calculate"</formula>
    </cfRule>
  </conditionalFormatting>
  <conditionalFormatting sqref="I595">
    <cfRule type="expression" dxfId="4425" priority="3135">
      <formula>$A595="calculate"</formula>
    </cfRule>
  </conditionalFormatting>
  <conditionalFormatting sqref="I604:I605">
    <cfRule type="expression" dxfId="4424" priority="2138">
      <formula>AND(#REF! = "section",$A604 = "end group")</formula>
    </cfRule>
    <cfRule type="expression" dxfId="4423" priority="2140">
      <formula xml:space="preserve"> AND(#REF!="gg",$A604 = "end group")</formula>
    </cfRule>
    <cfRule type="expression" dxfId="4422" priority="2137">
      <formula>AND(#REF!="section",$A604="begin group")</formula>
    </cfRule>
    <cfRule type="expression" dxfId="4421" priority="2139">
      <formula xml:space="preserve"> $A604 = "begin group"</formula>
    </cfRule>
  </conditionalFormatting>
  <conditionalFormatting sqref="I608 K617:K620">
    <cfRule type="expression" dxfId="4420" priority="2047">
      <formula>$A608="calculate"</formula>
    </cfRule>
  </conditionalFormatting>
  <conditionalFormatting sqref="I609">
    <cfRule type="expression" dxfId="4419" priority="2042">
      <formula>$A609="calculate"</formula>
    </cfRule>
  </conditionalFormatting>
  <conditionalFormatting sqref="I614 K621 K628 K624 A614 L614:W614 L730:W730 J729 I730 A720 A730 I721:I722 K728:K732 J733:J734 A734:A738 F726:F738 H726:H738 J737:J738">
    <cfRule type="expression" dxfId="4418" priority="2690">
      <formula xml:space="preserve"> $A641 = "end repeat"</formula>
    </cfRule>
    <cfRule type="expression" dxfId="4417" priority="2689">
      <formula>$A614 = "begin repeat"</formula>
    </cfRule>
    <cfRule type="expression" dxfId="4416" priority="2688">
      <formula>AND($U$1="disabled",$U614="yes")</formula>
    </cfRule>
  </conditionalFormatting>
  <conditionalFormatting sqref="I620 I612 I624">
    <cfRule type="expression" dxfId="4415" priority="2037">
      <formula xml:space="preserve"> AND(#REF!="gg",$A612 = "end group")</formula>
    </cfRule>
    <cfRule type="expression" dxfId="4414" priority="2036">
      <formula xml:space="preserve"> $A612 = "begin group"</formula>
    </cfRule>
    <cfRule type="expression" dxfId="4413" priority="2035">
      <formula>AND(#REF! = "section",$A612 = "end group")</formula>
    </cfRule>
    <cfRule type="expression" dxfId="4412" priority="2034">
      <formula>AND(#REF!="section",$A612="begin group")</formula>
    </cfRule>
  </conditionalFormatting>
  <conditionalFormatting sqref="I625 K625 M625:W625 A625 D625">
    <cfRule type="expression" dxfId="4411" priority="1917">
      <formula xml:space="preserve"> AND($J637="gg",$A625 = "end group")</formula>
    </cfRule>
    <cfRule type="expression" dxfId="4410" priority="1916">
      <formula xml:space="preserve"> $A625 = "begin group"</formula>
    </cfRule>
    <cfRule type="expression" dxfId="4409" priority="1915">
      <formula>AND($J637 = "section",$A625 = "end group")</formula>
    </cfRule>
    <cfRule type="expression" dxfId="4408" priority="1914">
      <formula>AND($J637="section",$A625="begin group")</formula>
    </cfRule>
  </conditionalFormatting>
  <conditionalFormatting sqref="I625">
    <cfRule type="expression" dxfId="4407" priority="2005">
      <formula>$A625="calculate"</formula>
    </cfRule>
  </conditionalFormatting>
  <conditionalFormatting sqref="I628">
    <cfRule type="expression" dxfId="4406" priority="2002">
      <formula>AND(#REF! = "section",$A628 = "end group")</formula>
    </cfRule>
    <cfRule type="expression" dxfId="4405" priority="2001">
      <formula>AND(#REF!="section",$A628="begin group")</formula>
    </cfRule>
    <cfRule type="expression" dxfId="4404" priority="2004">
      <formula xml:space="preserve"> AND(#REF!="gg",$A628 = "end group")</formula>
    </cfRule>
    <cfRule type="expression" dxfId="4403" priority="2003">
      <formula xml:space="preserve"> $A628 = "begin group"</formula>
    </cfRule>
  </conditionalFormatting>
  <conditionalFormatting sqref="I630 A630 D630 K630 M630:W630">
    <cfRule type="expression" dxfId="4402" priority="2786">
      <formula>AND($J638="section",$A630="begin group")</formula>
    </cfRule>
    <cfRule type="expression" dxfId="4401" priority="2788">
      <formula xml:space="preserve"> $A630 = "begin group"</formula>
    </cfRule>
    <cfRule type="expression" dxfId="4400" priority="2787">
      <formula>AND($J638 = "section",$A630 = "end group")</formula>
    </cfRule>
    <cfRule type="expression" dxfId="4399" priority="2789">
      <formula xml:space="preserve"> AND($J638="gg",$A630 = "end group")</formula>
    </cfRule>
  </conditionalFormatting>
  <conditionalFormatting sqref="I635 A635 D635 K635 M635:W635">
    <cfRule type="expression" dxfId="4398" priority="1928">
      <formula xml:space="preserve"> AND($J623="gg",$A635 = "end group")</formula>
    </cfRule>
    <cfRule type="expression" dxfId="4397" priority="1927">
      <formula xml:space="preserve"> $A635 = "begin group"</formula>
    </cfRule>
    <cfRule type="expression" dxfId="4396" priority="1925">
      <formula>AND($J623="section",$A635="begin group")</formula>
    </cfRule>
    <cfRule type="expression" dxfId="4395" priority="1926">
      <formula>AND($J623 = "section",$A635 = "end group")</formula>
    </cfRule>
  </conditionalFormatting>
  <conditionalFormatting sqref="I644:I654">
    <cfRule type="expression" dxfId="4394" priority="3110">
      <formula>$A644="calculate"</formula>
    </cfRule>
  </conditionalFormatting>
  <conditionalFormatting sqref="I655">
    <cfRule type="expression" dxfId="4393" priority="3104">
      <formula>$A655="calculate"</formula>
    </cfRule>
  </conditionalFormatting>
  <conditionalFormatting sqref="I669:I670 K669:K670">
    <cfRule type="expression" dxfId="4392" priority="2503">
      <formula>$A669="calculate"</formula>
    </cfRule>
  </conditionalFormatting>
  <conditionalFormatting sqref="I672 K672 A672 M668:W668 M670:W670 K677 M672:W672 I668 K668 A668 I670 K670 A670 K711:W711 K629:K631 I674:I675 K674:K675 M674:W675 A674:A676 K725:W726 K776:W777">
    <cfRule type="expression" dxfId="4391" priority="2103">
      <formula>AND($U$1="disabled",$U629="yes")</formula>
    </cfRule>
    <cfRule type="expression" dxfId="4390" priority="2104">
      <formula>$A629 = "begin repeat"</formula>
    </cfRule>
    <cfRule type="expression" dxfId="4389" priority="2105">
      <formula xml:space="preserve"> $A666 = "end repeat"</formula>
    </cfRule>
  </conditionalFormatting>
  <conditionalFormatting sqref="I673:I679 K673:K679">
    <cfRule type="expression" dxfId="4388" priority="2553">
      <formula>$A673="calculate"</formula>
    </cfRule>
  </conditionalFormatting>
  <conditionalFormatting sqref="I680 I682:I691">
    <cfRule type="expression" dxfId="4387" priority="1829">
      <formula>$A680="calculate"</formula>
    </cfRule>
  </conditionalFormatting>
  <conditionalFormatting sqref="I681">
    <cfRule type="expression" dxfId="4386" priority="1758">
      <formula>$A681="calculate"</formula>
    </cfRule>
  </conditionalFormatting>
  <conditionalFormatting sqref="I692">
    <cfRule type="expression" dxfId="4385" priority="1823">
      <formula>$A692="calculate"</formula>
    </cfRule>
  </conditionalFormatting>
  <conditionalFormatting sqref="I693 K693">
    <cfRule type="expression" dxfId="4384" priority="1834">
      <formula>$A693="calculate"</formula>
    </cfRule>
  </conditionalFormatting>
  <conditionalFormatting sqref="I699">
    <cfRule type="expression" dxfId="4383" priority="1691">
      <formula>$A699="calculate"</formula>
    </cfRule>
  </conditionalFormatting>
  <conditionalFormatting sqref="I700">
    <cfRule type="expression" dxfId="4382" priority="1664">
      <formula>$A700="calculate"</formula>
    </cfRule>
  </conditionalFormatting>
  <conditionalFormatting sqref="I701">
    <cfRule type="expression" dxfId="4381" priority="1630">
      <formula>$A701="calculate"</formula>
    </cfRule>
  </conditionalFormatting>
  <conditionalFormatting sqref="I702 K702 D702 M702:W702 A702">
    <cfRule type="expression" dxfId="4380" priority="1589">
      <formula xml:space="preserve"> AND($J702="gg",$A702 = "end group")</formula>
    </cfRule>
    <cfRule type="expression" dxfId="4379" priority="1588">
      <formula xml:space="preserve"> $A702 = "begin group"</formula>
    </cfRule>
  </conditionalFormatting>
  <conditionalFormatting sqref="I702">
    <cfRule type="expression" dxfId="4378" priority="1591">
      <formula>$A702="calculate"</formula>
    </cfRule>
  </conditionalFormatting>
  <conditionalFormatting sqref="I703 K703">
    <cfRule type="expression" dxfId="4377" priority="1543">
      <formula xml:space="preserve"> AND($J703="gg",$A703 = "end group")</formula>
    </cfRule>
    <cfRule type="expression" dxfId="4376" priority="1542">
      <formula xml:space="preserve"> $A703 = "begin group"</formula>
    </cfRule>
    <cfRule type="expression" dxfId="4375" priority="1540">
      <formula>AND($J703="section",$A703="begin group")</formula>
    </cfRule>
  </conditionalFormatting>
  <conditionalFormatting sqref="I708 K708:W708 C708:D708 R706 K733:W733 A724 I711 A708 K809 K616:K618 K623:K624 K620:K621 K630:K632 I725:I726 K780:W781">
    <cfRule type="expression" dxfId="4374" priority="2620">
      <formula>$A616 = "begin repeat"</formula>
    </cfRule>
    <cfRule type="expression" dxfId="4373" priority="2621">
      <formula xml:space="preserve"> $A649 = "end repeat"</formula>
    </cfRule>
    <cfRule type="expression" dxfId="4372" priority="2619">
      <formula>AND($U$1="disabled",$U616="yes")</formula>
    </cfRule>
  </conditionalFormatting>
  <conditionalFormatting sqref="I711">
    <cfRule type="expression" dxfId="4371" priority="3077">
      <formula>$A711="calculate"</formula>
    </cfRule>
  </conditionalFormatting>
  <conditionalFormatting sqref="I712">
    <cfRule type="expression" dxfId="4370" priority="3071">
      <formula>$A712="calculate"</formula>
    </cfRule>
  </conditionalFormatting>
  <conditionalFormatting sqref="I713">
    <cfRule type="expression" dxfId="4369" priority="3083">
      <formula>$A713="calculate"</formula>
    </cfRule>
  </conditionalFormatting>
  <conditionalFormatting sqref="I720">
    <cfRule type="expression" dxfId="4368" priority="3093">
      <formula>$A720="calculate"</formula>
    </cfRule>
  </conditionalFormatting>
  <conditionalFormatting sqref="I721">
    <cfRule type="expression" dxfId="4367" priority="2806">
      <formula>$A721="calculate"</formula>
    </cfRule>
  </conditionalFormatting>
  <conditionalFormatting sqref="I722">
    <cfRule type="expression" dxfId="4366" priority="3129">
      <formula>$A722="calculate"</formula>
    </cfRule>
  </conditionalFormatting>
  <conditionalFormatting sqref="I724">
    <cfRule type="expression" dxfId="4365" priority="1492">
      <formula>$A724="calculate"</formula>
    </cfRule>
  </conditionalFormatting>
  <conditionalFormatting sqref="I725">
    <cfRule type="expression" dxfId="4364" priority="1486">
      <formula>$A725="calculate"</formula>
    </cfRule>
  </conditionalFormatting>
  <conditionalFormatting sqref="I726">
    <cfRule type="expression" dxfId="4363" priority="1498">
      <formula>$A726="calculate"</formula>
    </cfRule>
  </conditionalFormatting>
  <conditionalFormatting sqref="I727:I732 K727:K732">
    <cfRule type="expression" dxfId="4362" priority="1524">
      <formula>$A727="calculate"</formula>
    </cfRule>
  </conditionalFormatting>
  <conditionalFormatting sqref="I733">
    <cfRule type="expression" dxfId="4361" priority="1508">
      <formula>$A733="calculate"</formula>
    </cfRule>
  </conditionalFormatting>
  <conditionalFormatting sqref="I734">
    <cfRule type="expression" dxfId="4360" priority="1480">
      <formula>$A734="calculate"</formula>
    </cfRule>
  </conditionalFormatting>
  <conditionalFormatting sqref="I735">
    <cfRule type="expression" dxfId="4359" priority="1518">
      <formula>$A735="calculate"</formula>
    </cfRule>
  </conditionalFormatting>
  <conditionalFormatting sqref="I736">
    <cfRule type="expression" dxfId="4358" priority="1415">
      <formula>$A736="calculate"</formula>
    </cfRule>
  </conditionalFormatting>
  <conditionalFormatting sqref="I737">
    <cfRule type="expression" dxfId="4357" priority="1421">
      <formula>$A737="calculate"</formula>
    </cfRule>
  </conditionalFormatting>
  <conditionalFormatting sqref="I738 K738">
    <cfRule type="expression" dxfId="4356" priority="1392">
      <formula xml:space="preserve"> AND($J738="gg",$A738 = "end group")</formula>
    </cfRule>
    <cfRule type="expression" dxfId="4355" priority="1391">
      <formula xml:space="preserve"> $A738 = "begin group"</formula>
    </cfRule>
    <cfRule type="expression" dxfId="4354" priority="1389">
      <formula>AND($J738="section",$A738="begin group")</formula>
    </cfRule>
  </conditionalFormatting>
  <conditionalFormatting sqref="I738">
    <cfRule type="expression" dxfId="4353" priority="1393">
      <formula>$A738="calculate"</formula>
    </cfRule>
  </conditionalFormatting>
  <conditionalFormatting sqref="I756">
    <cfRule type="expression" dxfId="4352" priority="3065">
      <formula>$A756="calculate"</formula>
    </cfRule>
  </conditionalFormatting>
  <conditionalFormatting sqref="I757">
    <cfRule type="expression" dxfId="4351" priority="3123">
      <formula>$A757="calculate"</formula>
    </cfRule>
  </conditionalFormatting>
  <conditionalFormatting sqref="I762">
    <cfRule type="expression" dxfId="4350" priority="3041">
      <formula>$A762="calculate"</formula>
    </cfRule>
  </conditionalFormatting>
  <conditionalFormatting sqref="I763">
    <cfRule type="expression" dxfId="4349" priority="2861">
      <formula>$A763="calculate"</formula>
    </cfRule>
  </conditionalFormatting>
  <conditionalFormatting sqref="I764">
    <cfRule type="expression" dxfId="4348" priority="2871">
      <formula>$A764="calculate"</formula>
    </cfRule>
  </conditionalFormatting>
  <conditionalFormatting sqref="I765">
    <cfRule type="expression" dxfId="4347" priority="2881">
      <formula>$A765="calculate"</formula>
    </cfRule>
  </conditionalFormatting>
  <conditionalFormatting sqref="I766">
    <cfRule type="expression" dxfId="4346" priority="2891">
      <formula>$A766="calculate"</formula>
    </cfRule>
  </conditionalFormatting>
  <conditionalFormatting sqref="I767">
    <cfRule type="expression" dxfId="4345" priority="2821">
      <formula>$A767="calculate"</formula>
    </cfRule>
  </conditionalFormatting>
  <conditionalFormatting sqref="I768">
    <cfRule type="expression" dxfId="4344" priority="2831">
      <formula>$A768="calculate"</formula>
    </cfRule>
  </conditionalFormatting>
  <conditionalFormatting sqref="I769">
    <cfRule type="expression" dxfId="4343" priority="2841">
      <formula>$A769="calculate"</formula>
    </cfRule>
  </conditionalFormatting>
  <conditionalFormatting sqref="I770">
    <cfRule type="expression" dxfId="4342" priority="2851">
      <formula>$A770="calculate"</formula>
    </cfRule>
  </conditionalFormatting>
  <conditionalFormatting sqref="I771">
    <cfRule type="expression" dxfId="4341" priority="2901">
      <formula>$A771="calculate"</formula>
    </cfRule>
  </conditionalFormatting>
  <conditionalFormatting sqref="I772">
    <cfRule type="expression" dxfId="4340" priority="2911">
      <formula>$A772="calculate"</formula>
    </cfRule>
  </conditionalFormatting>
  <conditionalFormatting sqref="I773">
    <cfRule type="expression" dxfId="4339" priority="2921">
      <formula>$A773="calculate"</formula>
    </cfRule>
  </conditionalFormatting>
  <conditionalFormatting sqref="I774">
    <cfRule type="expression" dxfId="4338" priority="2931">
      <formula>$A774="calculate"</formula>
    </cfRule>
  </conditionalFormatting>
  <conditionalFormatting sqref="I775">
    <cfRule type="expression" dxfId="4337" priority="2981">
      <formula>$A775="calculate"</formula>
    </cfRule>
  </conditionalFormatting>
  <conditionalFormatting sqref="I776">
    <cfRule type="expression" dxfId="4336" priority="2991">
      <formula>$A776="calculate"</formula>
    </cfRule>
  </conditionalFormatting>
  <conditionalFormatting sqref="I777">
    <cfRule type="expression" dxfId="4335" priority="3001">
      <formula>$A777="calculate"</formula>
    </cfRule>
  </conditionalFormatting>
  <conditionalFormatting sqref="I778">
    <cfRule type="expression" dxfId="4334" priority="3011">
      <formula>$A778="calculate"</formula>
    </cfRule>
  </conditionalFormatting>
  <conditionalFormatting sqref="I779">
    <cfRule type="expression" dxfId="4333" priority="2941">
      <formula>$A779="calculate"</formula>
    </cfRule>
  </conditionalFormatting>
  <conditionalFormatting sqref="I780">
    <cfRule type="expression" dxfId="4332" priority="2951">
      <formula>$A780="calculate"</formula>
    </cfRule>
  </conditionalFormatting>
  <conditionalFormatting sqref="I781">
    <cfRule type="expression" dxfId="4331" priority="2961">
      <formula>$A781="calculate"</formula>
    </cfRule>
  </conditionalFormatting>
  <conditionalFormatting sqref="I782">
    <cfRule type="expression" dxfId="4330" priority="2971">
      <formula>$A782="calculate"</formula>
    </cfRule>
  </conditionalFormatting>
  <conditionalFormatting sqref="I783">
    <cfRule type="expression" dxfId="4329" priority="3021">
      <formula>$A783="calculate"</formula>
    </cfRule>
  </conditionalFormatting>
  <conditionalFormatting sqref="I784:I787">
    <cfRule type="expression" dxfId="4328" priority="3031">
      <formula>$A784="calculate"</formula>
    </cfRule>
  </conditionalFormatting>
  <conditionalFormatting sqref="I801">
    <cfRule type="expression" dxfId="4327" priority="3047">
      <formula>$A801="calculate"</formula>
    </cfRule>
  </conditionalFormatting>
  <conditionalFormatting sqref="I807 K807 A788:D789 M788:W799 K788:K799 H739:I742 A639:D640 I561 A559:A561 A741:A756 A790:A799 H641:I642 H706:I707 H790:I791 C559:D561 A641:A666 M671:W672 J813:K831 H813:I816 M807:W807 M810:W831 K839:K840 J832:J840 H559:I560 K559:K561 B741:D787 B671:B672 A810:D840 M639:W668 A669:A679 K639:K679 H704:I704 A807:A809 C790:D809 I809:J812 I808:K808 K832:K837 N832:W837 G813:G817 G839:I840 G705:I705 G559:G561 G639:I640 G739:G743 G788:I789 I643:I679 I743:I756 I792:I799 I817:I838 M839:W840 B606:B607 M559:W561 C641:D644 J559:J603 B566:B603 B612:B624 B628:B638 J606:J679 J704:K722 M694:W698 A694:B698 D694:D698 D645:D679 K739:K756 J739:J807 N739:W756 M739:M751 M704:W735 A704:A735 I708:I728 K723:K728 A739:D740 C704:D709 D710:D735 B704:B738 M738:W738 A738 D738 C710:C738 C645:C703">
    <cfRule type="expression" dxfId="4326" priority="2800">
      <formula xml:space="preserve"> $A559 = "begin group"</formula>
    </cfRule>
    <cfRule type="expression" dxfId="4325" priority="2801">
      <formula xml:space="preserve"> AND($J559="gg",$A559 = "end group")</formula>
    </cfRule>
  </conditionalFormatting>
  <conditionalFormatting sqref="I850">
    <cfRule type="expression" dxfId="4324" priority="1143">
      <formula>$A850="calculate"</formula>
    </cfRule>
  </conditionalFormatting>
  <conditionalFormatting sqref="I850:I851 M850:W851">
    <cfRule type="expression" dxfId="4323" priority="1121">
      <formula>AND($J853="section",$A850="begin group")</formula>
    </cfRule>
    <cfRule type="expression" dxfId="4322" priority="1124">
      <formula xml:space="preserve"> AND($J853="gg",$A850 = "end group")</formula>
    </cfRule>
    <cfRule type="expression" dxfId="4321" priority="1123">
      <formula xml:space="preserve"> $A850 = "begin group"</formula>
    </cfRule>
    <cfRule type="expression" dxfId="4320" priority="1122">
      <formula>AND($J853 = "section",$A850 = "end group")</formula>
    </cfRule>
  </conditionalFormatting>
  <conditionalFormatting sqref="I850:I852 M850:W852">
    <cfRule type="expression" dxfId="4319" priority="694">
      <formula xml:space="preserve"> $A855 = "end repeat"</formula>
    </cfRule>
    <cfRule type="expression" dxfId="4318" priority="693">
      <formula>$A850 = "begin repeat"</formula>
    </cfRule>
    <cfRule type="expression" dxfId="4317" priority="692">
      <formula>AND($U$1="disabled",$U850="yes")</formula>
    </cfRule>
  </conditionalFormatting>
  <conditionalFormatting sqref="I851">
    <cfRule type="expression" dxfId="4316" priority="1148">
      <formula>$A851="calculate"</formula>
    </cfRule>
  </conditionalFormatting>
  <conditionalFormatting sqref="I852 M852:W852">
    <cfRule type="expression" dxfId="4315" priority="22">
      <formula>AND($J855="section",$A852="begin group")</formula>
    </cfRule>
    <cfRule type="expression" dxfId="4314" priority="23">
      <formula>AND($J855 = "section",$A852 = "end group")</formula>
    </cfRule>
    <cfRule type="expression" dxfId="4313" priority="24">
      <formula xml:space="preserve"> $A852 = "begin group"</formula>
    </cfRule>
    <cfRule type="expression" dxfId="4312" priority="25">
      <formula xml:space="preserve"> AND($J855="gg",$A852 = "end group")</formula>
    </cfRule>
  </conditionalFormatting>
  <conditionalFormatting sqref="I852">
    <cfRule type="expression" dxfId="4311" priority="30">
      <formula>$A852="calculate"</formula>
    </cfRule>
  </conditionalFormatting>
  <conditionalFormatting sqref="I853 L853:W853">
    <cfRule type="expression" dxfId="4310" priority="1080">
      <formula>AND($U$1="disabled",$U853="yes")</formula>
    </cfRule>
    <cfRule type="expression" dxfId="4309" priority="1081">
      <formula>$A853 = "begin repeat"</formula>
    </cfRule>
    <cfRule type="expression" dxfId="4308" priority="1082">
      <formula xml:space="preserve"> $A857 = "end repeat"</formula>
    </cfRule>
  </conditionalFormatting>
  <conditionalFormatting sqref="I853:I862 I843:I849 I866:I907 K841:K845 H841:I842 K980:K985 K1011 K994:K1002 K1015:K1018 K968:K971 H968:I1018 K955:K965 H955:I957 I958:I965">
    <cfRule type="expression" dxfId="4307" priority="1303">
      <formula>$A841="calculate"</formula>
    </cfRule>
  </conditionalFormatting>
  <conditionalFormatting sqref="I863:I865">
    <cfRule type="expression" dxfId="4306" priority="1177">
      <formula>$A863="calculate"</formula>
    </cfRule>
  </conditionalFormatting>
  <conditionalFormatting sqref="I898 A898 L898:W898">
    <cfRule type="expression" dxfId="4305" priority="99">
      <formula xml:space="preserve"> $A972 = "end repeat"</formula>
    </cfRule>
    <cfRule type="expression" dxfId="4304" priority="97">
      <formula>AND($U$1="disabled",$U898="yes")</formula>
    </cfRule>
    <cfRule type="expression" dxfId="4303" priority="98">
      <formula>$A898 = "begin repeat"</formula>
    </cfRule>
  </conditionalFormatting>
  <conditionalFormatting sqref="I899:I907 A899:A907 L899:W907 L895:L896">
    <cfRule type="expression" dxfId="4302" priority="36">
      <formula>AND($U$1="disabled",$U895="yes")</formula>
    </cfRule>
    <cfRule type="expression" dxfId="4301" priority="37">
      <formula>$A895 = "begin repeat"</formula>
    </cfRule>
    <cfRule type="expression" dxfId="4300" priority="38">
      <formula xml:space="preserve"> $A970 = "end repeat"</formula>
    </cfRule>
  </conditionalFormatting>
  <conditionalFormatting sqref="I908">
    <cfRule type="expression" dxfId="4299" priority="91">
      <formula>AND($U$1="disabled",$U908="yes")</formula>
    </cfRule>
    <cfRule type="expression" dxfId="4298" priority="92">
      <formula>$A908 = "begin repeat"</formula>
    </cfRule>
    <cfRule type="expression" dxfId="4297" priority="93">
      <formula xml:space="preserve"> $A981 = "end repeat"</formula>
    </cfRule>
    <cfRule type="expression" dxfId="4296" priority="1283">
      <formula>$A908="calculate"</formula>
    </cfRule>
  </conditionalFormatting>
  <conditionalFormatting sqref="I909:I942">
    <cfRule type="expression" dxfId="4295" priority="1130">
      <formula>AND(#REF!="section",$A909="begin group")</formula>
    </cfRule>
    <cfRule type="expression" dxfId="4294" priority="1131">
      <formula>AND(#REF! = "section",$A909 = "end group")</formula>
    </cfRule>
    <cfRule type="expression" dxfId="4293" priority="1132">
      <formula xml:space="preserve"> $A909 = "begin group"</formula>
    </cfRule>
    <cfRule type="expression" dxfId="4292" priority="1133">
      <formula xml:space="preserve"> AND(#REF!="gg",$A909 = "end group")</formula>
    </cfRule>
  </conditionalFormatting>
  <conditionalFormatting sqref="I943:I952">
    <cfRule type="expression" dxfId="4291" priority="855">
      <formula xml:space="preserve"> AND(#REF!="gg",$A943 = "end group")</formula>
    </cfRule>
    <cfRule type="expression" dxfId="4290" priority="854">
      <formula xml:space="preserve"> $A943 = "begin group"</formula>
    </cfRule>
    <cfRule type="expression" dxfId="4289" priority="853">
      <formula>AND(#REF! = "section",$A943 = "end group")</formula>
    </cfRule>
    <cfRule type="expression" dxfId="4288" priority="852">
      <formula>AND(#REF!="section",$A943="begin group")</formula>
    </cfRule>
  </conditionalFormatting>
  <conditionalFormatting sqref="I953:I954">
    <cfRule type="expression" dxfId="4287" priority="826">
      <formula>AND(#REF! = "section",$A953 = "end group")</formula>
    </cfRule>
    <cfRule type="expression" dxfId="4286" priority="827">
      <formula xml:space="preserve"> $A953 = "begin group"</formula>
    </cfRule>
    <cfRule type="expression" dxfId="4285" priority="828">
      <formula xml:space="preserve"> AND(#REF!="gg",$A953 = "end group")</formula>
    </cfRule>
    <cfRule type="expression" dxfId="4284" priority="825">
      <formula>AND(#REF!="section",$A953="begin group")</formula>
    </cfRule>
  </conditionalFormatting>
  <conditionalFormatting sqref="I24:J24">
    <cfRule type="expression" dxfId="4283" priority="28601">
      <formula>#REF!="calculate"</formula>
    </cfRule>
  </conditionalFormatting>
  <conditionalFormatting sqref="I457:J457">
    <cfRule type="expression" dxfId="4282" priority="6338">
      <formula>AND($J457="section",$A457="begin group")</formula>
    </cfRule>
    <cfRule type="expression" dxfId="4281" priority="6339">
      <formula>AND($J457 = "section",$A457 = "end group")</formula>
    </cfRule>
  </conditionalFormatting>
  <conditionalFormatting sqref="I522:J522 D522">
    <cfRule type="expression" dxfId="4280" priority="6024">
      <formula xml:space="preserve"> AND($J522="gg",$A522 = "end group")</formula>
    </cfRule>
    <cfRule type="expression" dxfId="4279" priority="6023">
      <formula xml:space="preserve"> $A522 = "begin group"</formula>
    </cfRule>
  </conditionalFormatting>
  <conditionalFormatting sqref="I522:J522">
    <cfRule type="expression" dxfId="4278" priority="6021">
      <formula>AND($J522="section",$A522="begin group")</formula>
    </cfRule>
  </conditionalFormatting>
  <conditionalFormatting sqref="I526:J526 D526">
    <cfRule type="expression" dxfId="4277" priority="4684">
      <formula xml:space="preserve"> $A526 = "begin group"</formula>
    </cfRule>
    <cfRule type="expression" dxfId="4276" priority="4685">
      <formula xml:space="preserve"> AND($J526="gg",$A526 = "end group")</formula>
    </cfRule>
  </conditionalFormatting>
  <conditionalFormatting sqref="I527:J527 D527">
    <cfRule type="expression" dxfId="4275" priority="4631">
      <formula xml:space="preserve"> $A527 = "begin group"</formula>
    </cfRule>
    <cfRule type="expression" dxfId="4274" priority="4632">
      <formula xml:space="preserve"> AND($J527="gg",$A527 = "end group")</formula>
    </cfRule>
  </conditionalFormatting>
  <conditionalFormatting sqref="I529:J529 D529">
    <cfRule type="expression" dxfId="4273" priority="4993">
      <formula xml:space="preserve"> $A529 = "begin group"</formula>
    </cfRule>
    <cfRule type="expression" dxfId="4272" priority="4994">
      <formula xml:space="preserve"> AND($J529="gg",$A529 = "end group")</formula>
    </cfRule>
  </conditionalFormatting>
  <conditionalFormatting sqref="I530:J530 D530">
    <cfRule type="expression" dxfId="4271" priority="4964">
      <formula xml:space="preserve"> $A530 = "begin group"</formula>
    </cfRule>
    <cfRule type="expression" dxfId="4270" priority="4965">
      <formula xml:space="preserve"> AND($J530="gg",$A530 = "end group")</formula>
    </cfRule>
  </conditionalFormatting>
  <conditionalFormatting sqref="I531:J531 D531">
    <cfRule type="expression" dxfId="4269" priority="3829">
      <formula xml:space="preserve"> $A531 = "begin group"</formula>
    </cfRule>
    <cfRule type="expression" dxfId="4268" priority="3830">
      <formula xml:space="preserve"> AND($J531="gg",$A531 = "end group")</formula>
    </cfRule>
  </conditionalFormatting>
  <conditionalFormatting sqref="I532:J532 D532">
    <cfRule type="expression" dxfId="4267" priority="4602">
      <formula xml:space="preserve"> $A532 = "begin group"</formula>
    </cfRule>
    <cfRule type="expression" dxfId="4266" priority="4603">
      <formula xml:space="preserve"> AND($J532="gg",$A532 = "end group")</formula>
    </cfRule>
  </conditionalFormatting>
  <conditionalFormatting sqref="I533:J533 D533">
    <cfRule type="expression" dxfId="4265" priority="3767">
      <formula xml:space="preserve"> $A533 = "begin group"</formula>
    </cfRule>
    <cfRule type="expression" dxfId="4264" priority="3768">
      <formula xml:space="preserve"> AND($J533="gg",$A533 = "end group")</formula>
    </cfRule>
  </conditionalFormatting>
  <conditionalFormatting sqref="I534:J534 D534">
    <cfRule type="expression" dxfId="4263" priority="4819">
      <formula xml:space="preserve"> $A534 = "begin group"</formula>
    </cfRule>
    <cfRule type="expression" dxfId="4262" priority="4820">
      <formula xml:space="preserve"> AND($J534="gg",$A534 = "end group")</formula>
    </cfRule>
  </conditionalFormatting>
  <conditionalFormatting sqref="I535:J535 D535">
    <cfRule type="expression" dxfId="4261" priority="4761">
      <formula xml:space="preserve"> $A535 = "begin group"</formula>
    </cfRule>
    <cfRule type="expression" dxfId="4260" priority="4762">
      <formula xml:space="preserve"> AND($J535="gg",$A535 = "end group")</formula>
    </cfRule>
  </conditionalFormatting>
  <conditionalFormatting sqref="I536:J536 D536">
    <cfRule type="expression" dxfId="4259" priority="4936">
      <formula xml:space="preserve"> AND($J536="gg",$A536 = "end group")</formula>
    </cfRule>
    <cfRule type="expression" dxfId="4258" priority="4935">
      <formula xml:space="preserve"> $A536 = "begin group"</formula>
    </cfRule>
  </conditionalFormatting>
  <conditionalFormatting sqref="I537:J537 D537">
    <cfRule type="expression" dxfId="4257" priority="4573">
      <formula xml:space="preserve"> $A537 = "begin group"</formula>
    </cfRule>
    <cfRule type="expression" dxfId="4256" priority="4574">
      <formula xml:space="preserve"> AND($J537="gg",$A537 = "end group")</formula>
    </cfRule>
  </conditionalFormatting>
  <conditionalFormatting sqref="I538:J538 D538">
    <cfRule type="expression" dxfId="4255" priority="4545">
      <formula xml:space="preserve"> AND($J538="gg",$A538 = "end group")</formula>
    </cfRule>
    <cfRule type="expression" dxfId="4254" priority="4544">
      <formula xml:space="preserve"> $A538 = "begin group"</formula>
    </cfRule>
  </conditionalFormatting>
  <conditionalFormatting sqref="I539:J539 D539">
    <cfRule type="expression" dxfId="4253" priority="4516">
      <formula xml:space="preserve"> AND($J539="gg",$A539 = "end group")</formula>
    </cfRule>
    <cfRule type="expression" dxfId="4252" priority="4515">
      <formula xml:space="preserve"> $A539 = "begin group"</formula>
    </cfRule>
  </conditionalFormatting>
  <conditionalFormatting sqref="I540:J540 D540">
    <cfRule type="expression" dxfId="4251" priority="4907">
      <formula xml:space="preserve"> AND($J540="gg",$A540 = "end group")</formula>
    </cfRule>
    <cfRule type="expression" dxfId="4250" priority="4906">
      <formula xml:space="preserve"> $A540 = "begin group"</formula>
    </cfRule>
  </conditionalFormatting>
  <conditionalFormatting sqref="I541:J541 D541">
    <cfRule type="expression" dxfId="4249" priority="4877">
      <formula xml:space="preserve"> $A541 = "begin group"</formula>
    </cfRule>
    <cfRule type="expression" dxfId="4248" priority="4878">
      <formula xml:space="preserve"> AND($J541="gg",$A541 = "end group")</formula>
    </cfRule>
  </conditionalFormatting>
  <conditionalFormatting sqref="I542:J542 D542">
    <cfRule type="expression" dxfId="4247" priority="4400">
      <formula xml:space="preserve"> AND($J542="gg",$A542 = "end group")</formula>
    </cfRule>
    <cfRule type="expression" dxfId="4246" priority="4399">
      <formula xml:space="preserve"> $A542 = "begin group"</formula>
    </cfRule>
  </conditionalFormatting>
  <conditionalFormatting sqref="I543:J543 D543">
    <cfRule type="expression" dxfId="4245" priority="4791">
      <formula xml:space="preserve"> AND($J543="gg",$A543 = "end group")</formula>
    </cfRule>
    <cfRule type="expression" dxfId="4244" priority="4790">
      <formula xml:space="preserve"> $A543 = "begin group"</formula>
    </cfRule>
  </conditionalFormatting>
  <conditionalFormatting sqref="I544:J544 D544">
    <cfRule type="expression" dxfId="4243" priority="4713">
      <formula xml:space="preserve"> $A544 = "begin group"</formula>
    </cfRule>
    <cfRule type="expression" dxfId="4242" priority="4714">
      <formula xml:space="preserve"> AND($J544="gg",$A544 = "end group")</formula>
    </cfRule>
  </conditionalFormatting>
  <conditionalFormatting sqref="I545:J545 D545">
    <cfRule type="expression" dxfId="4241" priority="4848">
      <formula xml:space="preserve"> $A545 = "begin group"</formula>
    </cfRule>
    <cfRule type="expression" dxfId="4240" priority="4849">
      <formula xml:space="preserve"> AND($J545="gg",$A545 = "end group")</formula>
    </cfRule>
  </conditionalFormatting>
  <conditionalFormatting sqref="I546:J546 D546">
    <cfRule type="expression" dxfId="4239" priority="4486">
      <formula xml:space="preserve"> $A546 = "begin group"</formula>
    </cfRule>
    <cfRule type="expression" dxfId="4238" priority="4487">
      <formula xml:space="preserve"> AND($J546="gg",$A546 = "end group")</formula>
    </cfRule>
  </conditionalFormatting>
  <conditionalFormatting sqref="I547:J547 D547">
    <cfRule type="expression" dxfId="4237" priority="4457">
      <formula xml:space="preserve"> $A547 = "begin group"</formula>
    </cfRule>
    <cfRule type="expression" dxfId="4236" priority="4458">
      <formula xml:space="preserve"> AND($J547="gg",$A547 = "end group")</formula>
    </cfRule>
  </conditionalFormatting>
  <conditionalFormatting sqref="I548:J548 D548">
    <cfRule type="expression" dxfId="4235" priority="4429">
      <formula xml:space="preserve"> AND($J548="gg",$A548 = "end group")</formula>
    </cfRule>
    <cfRule type="expression" dxfId="4234" priority="4428">
      <formula xml:space="preserve"> $A548 = "begin group"</formula>
    </cfRule>
  </conditionalFormatting>
  <conditionalFormatting sqref="I549:J549 D549">
    <cfRule type="expression" dxfId="4233" priority="4157">
      <formula xml:space="preserve"> $A549 = "begin group"</formula>
    </cfRule>
    <cfRule type="expression" dxfId="4232" priority="4158">
      <formula xml:space="preserve"> AND($J549="gg",$A549 = "end group")</formula>
    </cfRule>
  </conditionalFormatting>
  <conditionalFormatting sqref="I550:J550 D550">
    <cfRule type="expression" dxfId="4231" priority="4098">
      <formula xml:space="preserve"> $A550 = "begin group"</formula>
    </cfRule>
    <cfRule type="expression" dxfId="4230" priority="4099">
      <formula xml:space="preserve"> AND($J550="gg",$A550 = "end group")</formula>
    </cfRule>
  </conditionalFormatting>
  <conditionalFormatting sqref="I551:J551 D551">
    <cfRule type="expression" dxfId="4229" priority="3989">
      <formula xml:space="preserve"> $A551 = "begin group"</formula>
    </cfRule>
    <cfRule type="expression" dxfId="4228" priority="3990">
      <formula xml:space="preserve"> AND($J551="gg",$A551 = "end group")</formula>
    </cfRule>
  </conditionalFormatting>
  <conditionalFormatting sqref="I552:J552 D552">
    <cfRule type="expression" dxfId="4227" priority="3960">
      <formula xml:space="preserve"> $A552 = "begin group"</formula>
    </cfRule>
    <cfRule type="expression" dxfId="4226" priority="3961">
      <formula xml:space="preserve"> AND($J552="gg",$A552 = "end group")</formula>
    </cfRule>
  </conditionalFormatting>
  <conditionalFormatting sqref="I553:J553 D553">
    <cfRule type="expression" dxfId="4225" priority="4019">
      <formula xml:space="preserve"> AND($J553="gg",$A553 = "end group")</formula>
    </cfRule>
    <cfRule type="expression" dxfId="4224" priority="4018">
      <formula xml:space="preserve"> $A553 = "begin group"</formula>
    </cfRule>
  </conditionalFormatting>
  <conditionalFormatting sqref="I554:J554 D554">
    <cfRule type="expression" dxfId="4223" priority="3931">
      <formula xml:space="preserve"> $A554 = "begin group"</formula>
    </cfRule>
    <cfRule type="expression" dxfId="4222" priority="3932">
      <formula xml:space="preserve"> AND($J554="gg",$A554 = "end group")</formula>
    </cfRule>
  </conditionalFormatting>
  <conditionalFormatting sqref="I555:J555 D555">
    <cfRule type="expression" dxfId="4221" priority="3902">
      <formula xml:space="preserve"> $A555 = "begin group"</formula>
    </cfRule>
    <cfRule type="expression" dxfId="4220" priority="3903">
      <formula xml:space="preserve"> AND($J555="gg",$A555 = "end group")</formula>
    </cfRule>
  </conditionalFormatting>
  <conditionalFormatting sqref="I556:J556 D556">
    <cfRule type="expression" dxfId="4219" priority="3874">
      <formula xml:space="preserve"> AND($J556="gg",$A556 = "end group")</formula>
    </cfRule>
    <cfRule type="expression" dxfId="4218" priority="3873">
      <formula xml:space="preserve"> $A556 = "begin group"</formula>
    </cfRule>
  </conditionalFormatting>
  <conditionalFormatting sqref="I306:K311">
    <cfRule type="expression" dxfId="4217" priority="7226">
      <formula>AND($J306 = "section",$A306 = "end group")</formula>
    </cfRule>
    <cfRule type="expression" dxfId="4216" priority="7225">
      <formula>AND($J306="section",$A306="begin group")</formula>
    </cfRule>
  </conditionalFormatting>
  <conditionalFormatting sqref="I325:K325 M325:W325 A325:B325 D325">
    <cfRule type="expression" dxfId="4215" priority="6982">
      <formula xml:space="preserve"> $A325 = "begin group"</formula>
    </cfRule>
    <cfRule type="expression" dxfId="4214" priority="6983">
      <formula xml:space="preserve"> AND($J325="gg",$A325 = "end group")</formula>
    </cfRule>
  </conditionalFormatting>
  <conditionalFormatting sqref="I352:K352">
    <cfRule type="expression" dxfId="4213" priority="7013">
      <formula>AND($J352="section",$A352="begin group")</formula>
    </cfRule>
    <cfRule type="expression" dxfId="4212" priority="7014">
      <formula>AND($J352 = "section",$A352 = "end group")</formula>
    </cfRule>
  </conditionalFormatting>
  <conditionalFormatting sqref="I394:K394 A394:B394">
    <cfRule type="expression" dxfId="4211" priority="5751">
      <formula>AND($J394="section",$A394="begin group")</formula>
    </cfRule>
  </conditionalFormatting>
  <conditionalFormatting sqref="I394:K394 M394:W394 A394:B394 D394">
    <cfRule type="expression" dxfId="4210" priority="5753">
      <formula xml:space="preserve"> $A394 = "begin group"</formula>
    </cfRule>
    <cfRule type="expression" dxfId="4209" priority="5754">
      <formula xml:space="preserve"> AND($J394="gg",$A394 = "end group")</formula>
    </cfRule>
  </conditionalFormatting>
  <conditionalFormatting sqref="I394:K404">
    <cfRule type="expression" dxfId="4208" priority="3393">
      <formula>AND($J394 = "section",$A394 = "end group")</formula>
    </cfRule>
  </conditionalFormatting>
  <conditionalFormatting sqref="I395:K395 M395:W395 A395:B395 D395">
    <cfRule type="expression" dxfId="4207" priority="5733">
      <formula xml:space="preserve"> AND($J395="gg",$A395 = "end group")</formula>
    </cfRule>
    <cfRule type="expression" dxfId="4206" priority="5732">
      <formula xml:space="preserve"> $A395 = "begin group"</formula>
    </cfRule>
  </conditionalFormatting>
  <conditionalFormatting sqref="I395:K396 A395:B395">
    <cfRule type="expression" dxfId="4205" priority="5730">
      <formula>AND($J395="section",$A395="begin group")</formula>
    </cfRule>
  </conditionalFormatting>
  <conditionalFormatting sqref="I397:K404">
    <cfRule type="expression" dxfId="4204" priority="3392">
      <formula>AND($J397="section",$A397="begin group")</formula>
    </cfRule>
  </conditionalFormatting>
  <conditionalFormatting sqref="I405:K406">
    <cfRule type="expression" dxfId="4203" priority="6179">
      <formula>AND($J405 = "section",$A405 = "end group")</formula>
    </cfRule>
    <cfRule type="expression" dxfId="4202" priority="6178">
      <formula>AND($J405="section",$A405="begin group")</formula>
    </cfRule>
  </conditionalFormatting>
  <conditionalFormatting sqref="I407:K415">
    <cfRule type="expression" dxfId="4201" priority="5666">
      <formula>AND($J407 = "section",$A407 = "end group")</formula>
    </cfRule>
    <cfRule type="expression" dxfId="4200" priority="5665">
      <formula>AND($J407="section",$A407="begin group")</formula>
    </cfRule>
  </conditionalFormatting>
  <conditionalFormatting sqref="I416:K420">
    <cfRule type="expression" dxfId="4199" priority="3205">
      <formula>AND($J416 = "section",$A416 = "end group")</formula>
    </cfRule>
    <cfRule type="expression" dxfId="4198" priority="3204">
      <formula>AND($J416="section",$A416="begin group")</formula>
    </cfRule>
  </conditionalFormatting>
  <conditionalFormatting sqref="I458:K458 B458">
    <cfRule type="expression" dxfId="4197" priority="5623">
      <formula>AND($J458="section",$A458="begin group")</formula>
    </cfRule>
  </conditionalFormatting>
  <conditionalFormatting sqref="I458:K467">
    <cfRule type="expression" dxfId="4196" priority="3675">
      <formula>AND($J458 = "section",$A458 = "end group")</formula>
    </cfRule>
  </conditionalFormatting>
  <conditionalFormatting sqref="I459:K459 B459">
    <cfRule type="expression" dxfId="4195" priority="5106">
      <formula>AND($J459="section",$A459="begin group")</formula>
    </cfRule>
  </conditionalFormatting>
  <conditionalFormatting sqref="I459:K459 M459:W459 B459 D459">
    <cfRule type="expression" dxfId="4194" priority="5109">
      <formula xml:space="preserve"> AND($J459="gg",$A459 = "end group")</formula>
    </cfRule>
    <cfRule type="expression" dxfId="4193" priority="5108">
      <formula xml:space="preserve"> $A459 = "begin group"</formula>
    </cfRule>
  </conditionalFormatting>
  <conditionalFormatting sqref="I460:K460 M460:W460 B460 D460">
    <cfRule type="expression" dxfId="4192" priority="5088">
      <formula xml:space="preserve"> AND($J460="gg",$A460 = "end group")</formula>
    </cfRule>
    <cfRule type="expression" dxfId="4191" priority="5087">
      <formula xml:space="preserve"> $A460 = "begin group"</formula>
    </cfRule>
  </conditionalFormatting>
  <conditionalFormatting sqref="I460:K461 B460">
    <cfRule type="expression" dxfId="4190" priority="5085">
      <formula>AND($J460="section",$A460="begin group")</formula>
    </cfRule>
  </conditionalFormatting>
  <conditionalFormatting sqref="I462:K467">
    <cfRule type="expression" dxfId="4189" priority="3674">
      <formula>AND($J462="section",$A462="begin group")</formula>
    </cfRule>
  </conditionalFormatting>
  <conditionalFormatting sqref="I468:K480">
    <cfRule type="expression" dxfId="4188" priority="5027">
      <formula>AND($J468 = "section",$A468 = "end group")</formula>
    </cfRule>
    <cfRule type="expression" dxfId="4187" priority="5026">
      <formula>AND($J468="section",$A468="begin group")</formula>
    </cfRule>
  </conditionalFormatting>
  <conditionalFormatting sqref="I481:K485">
    <cfRule type="expression" dxfId="4186" priority="3458">
      <formula>AND($J481 = "section",$A481 = "end group")</formula>
    </cfRule>
    <cfRule type="expression" dxfId="4185" priority="3457">
      <formula>AND($J481="section",$A481="begin group")</formula>
    </cfRule>
  </conditionalFormatting>
  <conditionalFormatting sqref="I522:K527">
    <cfRule type="expression" dxfId="4184" priority="4617">
      <formula>AND($J522 = "section",$A522 = "end group")</formula>
    </cfRule>
  </conditionalFormatting>
  <conditionalFormatting sqref="I523:K523 M523:W523 D523">
    <cfRule type="expression" dxfId="4183" priority="4643">
      <formula xml:space="preserve"> AND($J523="gg",$A523 = "end group")</formula>
    </cfRule>
    <cfRule type="expression" dxfId="4182" priority="4642">
      <formula xml:space="preserve"> $A523 = "begin group"</formula>
    </cfRule>
  </conditionalFormatting>
  <conditionalFormatting sqref="I523:K523">
    <cfRule type="expression" dxfId="4181" priority="4640">
      <formula>AND($J523="section",$A523="begin group")</formula>
    </cfRule>
  </conditionalFormatting>
  <conditionalFormatting sqref="I524:K524 D524 M524:W524">
    <cfRule type="expression" dxfId="4180" priority="5005">
      <formula xml:space="preserve"> AND($J524="gg",$A524 = "end group")</formula>
    </cfRule>
    <cfRule type="expression" dxfId="4179" priority="5004">
      <formula xml:space="preserve"> $A524 = "begin group"</formula>
    </cfRule>
  </conditionalFormatting>
  <conditionalFormatting sqref="I524:K524">
    <cfRule type="expression" dxfId="4178" priority="5002">
      <formula>AND($J524="section",$A524="begin group")</formula>
    </cfRule>
  </conditionalFormatting>
  <conditionalFormatting sqref="I525:K525 M525:W525 D525">
    <cfRule type="expression" dxfId="4177" priority="4725">
      <formula xml:space="preserve"> AND($J525="gg",$A525 = "end group")</formula>
    </cfRule>
    <cfRule type="expression" dxfId="4176" priority="4724">
      <formula xml:space="preserve"> $A525 = "begin group"</formula>
    </cfRule>
  </conditionalFormatting>
  <conditionalFormatting sqref="I525:K525">
    <cfRule type="expression" dxfId="4175" priority="4722">
      <formula>AND($J525="section",$A525="begin group")</formula>
    </cfRule>
  </conditionalFormatting>
  <conditionalFormatting sqref="I526:K527">
    <cfRule type="expression" dxfId="4174" priority="4616">
      <formula>AND($J526="section",$A526="begin group")</formula>
    </cfRule>
  </conditionalFormatting>
  <conditionalFormatting sqref="I529:K533">
    <cfRule type="expression" dxfId="4173" priority="3752">
      <formula>AND($J529="section",$A529="begin group")</formula>
    </cfRule>
    <cfRule type="expression" dxfId="4172" priority="3753">
      <formula>AND($J529 = "section",$A529 = "end group")</formula>
    </cfRule>
  </conditionalFormatting>
  <conditionalFormatting sqref="I534:K548">
    <cfRule type="expression" dxfId="4171" priority="4384">
      <formula>AND($J534="section",$A534="begin group")</formula>
    </cfRule>
    <cfRule type="expression" dxfId="4170" priority="4385">
      <formula>AND($J534 = "section",$A534 = "end group")</formula>
    </cfRule>
  </conditionalFormatting>
  <conditionalFormatting sqref="I549:K555">
    <cfRule type="expression" dxfId="4169" priority="3887">
      <formula>AND($J549="section",$A549="begin group")</formula>
    </cfRule>
    <cfRule type="expression" dxfId="4168" priority="3888">
      <formula>AND($J549 = "section",$A549 = "end group")</formula>
    </cfRule>
  </conditionalFormatting>
  <conditionalFormatting sqref="I680:K701">
    <cfRule type="expression" dxfId="4167" priority="1625">
      <formula>AND($J680="section",$A680="begin group")</formula>
    </cfRule>
  </conditionalFormatting>
  <conditionalFormatting sqref="I680:K703">
    <cfRule type="expression" dxfId="4166" priority="1536">
      <formula>AND($J680 = "section",$A680 = "end group")</formula>
    </cfRule>
  </conditionalFormatting>
  <conditionalFormatting sqref="I681:K681 D681 M681:W681 A681">
    <cfRule type="expression" dxfId="4165" priority="1756">
      <formula xml:space="preserve"> AND($J681="gg",$A681 = "end group")</formula>
    </cfRule>
    <cfRule type="expression" dxfId="4164" priority="1755">
      <formula xml:space="preserve"> $A681 = "begin group"</formula>
    </cfRule>
  </conditionalFormatting>
  <conditionalFormatting sqref="I694:K694 I695:I698 K695:K698">
    <cfRule type="expression" dxfId="4163" priority="1792">
      <formula xml:space="preserve"> AND($J694="gg",$A694 = "end group")</formula>
    </cfRule>
    <cfRule type="expression" dxfId="4162" priority="1791">
      <formula xml:space="preserve"> $A694 = "begin group"</formula>
    </cfRule>
  </conditionalFormatting>
  <conditionalFormatting sqref="I700:K700 D700 M700:W700 A700">
    <cfRule type="expression" dxfId="4161" priority="1661">
      <formula xml:space="preserve"> $A700 = "begin group"</formula>
    </cfRule>
    <cfRule type="expression" dxfId="4160" priority="1662">
      <formula xml:space="preserve"> AND($J700="gg",$A700 = "end group")</formula>
    </cfRule>
  </conditionalFormatting>
  <conditionalFormatting sqref="I701:K701 D701 M701:W701 A701">
    <cfRule type="expression" dxfId="4159" priority="1627">
      <formula xml:space="preserve"> $A701 = "begin group"</formula>
    </cfRule>
    <cfRule type="expression" dxfId="4158" priority="1628">
      <formula xml:space="preserve"> AND($J701="gg",$A701 = "end group")</formula>
    </cfRule>
  </conditionalFormatting>
  <conditionalFormatting sqref="I729:K729 I730:I732 K730:K732 I733:K734 I735 K735">
    <cfRule type="expression" dxfId="4157" priority="1476">
      <formula>AND($J729="section",$A729="begin group")</formula>
    </cfRule>
    <cfRule type="expression" dxfId="4156" priority="1478">
      <formula xml:space="preserve"> $A729 = "begin group"</formula>
    </cfRule>
    <cfRule type="expression" dxfId="4155" priority="1479">
      <formula xml:space="preserve"> AND($J729="gg",$A729 = "end group")</formula>
    </cfRule>
  </conditionalFormatting>
  <conditionalFormatting sqref="I729:K734">
    <cfRule type="expression" dxfId="4154" priority="1449">
      <formula>AND($J729 = "section",$A729 = "end group")</formula>
    </cfRule>
  </conditionalFormatting>
  <conditionalFormatting sqref="I735:K738">
    <cfRule type="expression" dxfId="4153" priority="1377">
      <formula>AND($J735 = "section",$A735 = "end group")</formula>
    </cfRule>
  </conditionalFormatting>
  <conditionalFormatting sqref="I737:K737 I736 K736">
    <cfRule type="expression" dxfId="4152" priority="1411">
      <formula>AND($J736="section",$A736="begin group")</formula>
    </cfRule>
    <cfRule type="expression" dxfId="4151" priority="1413">
      <formula xml:space="preserve"> $A736 = "begin group"</formula>
    </cfRule>
    <cfRule type="expression" dxfId="4150" priority="1414">
      <formula xml:space="preserve"> AND($J736="gg",$A736 = "end group")</formula>
    </cfRule>
  </conditionalFormatting>
  <conditionalFormatting sqref="J1:J8 J10:J17 J33:J35">
    <cfRule type="expression" dxfId="4149" priority="60842">
      <formula xml:space="preserve"> $J$1 = "appearance"</formula>
    </cfRule>
  </conditionalFormatting>
  <conditionalFormatting sqref="J107:J108">
    <cfRule type="expression" dxfId="4148" priority="7935">
      <formula xml:space="preserve"> $J$1 = "appearance"</formula>
    </cfRule>
  </conditionalFormatting>
  <conditionalFormatting sqref="J109">
    <cfRule type="expression" dxfId="4147" priority="7904">
      <formula xml:space="preserve"> $J$1 = "appearance"</formula>
    </cfRule>
  </conditionalFormatting>
  <conditionalFormatting sqref="J110:J113 B110:B113 I186:I190 A195:A199">
    <cfRule type="expression" dxfId="4146" priority="8524">
      <formula>AND($U$1="disabled",$U110="yes")</formula>
    </cfRule>
    <cfRule type="expression" dxfId="4145" priority="8525">
      <formula>$A110 = "begin repeat"</formula>
    </cfRule>
    <cfRule type="expression" dxfId="4144" priority="8526">
      <formula xml:space="preserve"> $A130 = "end repeat"</formula>
    </cfRule>
  </conditionalFormatting>
  <conditionalFormatting sqref="J120">
    <cfRule type="expression" dxfId="4143" priority="8214">
      <formula xml:space="preserve"> $J$1 = "appearance"</formula>
    </cfRule>
  </conditionalFormatting>
  <conditionalFormatting sqref="J121:J122">
    <cfRule type="expression" dxfId="4142" priority="8197">
      <formula xml:space="preserve"> $J$1 = "appearance"</formula>
    </cfRule>
  </conditionalFormatting>
  <conditionalFormatting sqref="J123 J205">
    <cfRule type="expression" dxfId="4141" priority="8497">
      <formula>AND($U$1="disabled",$U123="yes")</formula>
    </cfRule>
    <cfRule type="expression" dxfId="4140" priority="8498">
      <formula>$A123 = "begin repeat"</formula>
    </cfRule>
    <cfRule type="expression" dxfId="4139" priority="8499">
      <formula xml:space="preserve"> $A129 = "end repeat"</formula>
    </cfRule>
  </conditionalFormatting>
  <conditionalFormatting sqref="J123">
    <cfRule type="expression" dxfId="4138" priority="8243">
      <formula xml:space="preserve"> $J$1 = "appearance"</formula>
    </cfRule>
  </conditionalFormatting>
  <conditionalFormatting sqref="J194">
    <cfRule type="expression" dxfId="4137" priority="7832">
      <formula xml:space="preserve"> $J$1 = "appearance"</formula>
    </cfRule>
  </conditionalFormatting>
  <conditionalFormatting sqref="J202">
    <cfRule type="expression" dxfId="4136" priority="8160">
      <formula xml:space="preserve"> $J$1 = "appearance"</formula>
    </cfRule>
  </conditionalFormatting>
  <conditionalFormatting sqref="J203:J204">
    <cfRule type="expression" dxfId="4135" priority="8139">
      <formula xml:space="preserve"> $J$1 = "appearance"</formula>
    </cfRule>
  </conditionalFormatting>
  <conditionalFormatting sqref="J205">
    <cfRule type="expression" dxfId="4134" priority="8173">
      <formula xml:space="preserve"> $J$1 = "appearance"</formula>
    </cfRule>
  </conditionalFormatting>
  <conditionalFormatting sqref="J206:J210 J36:J106 J110:J119 J195:J201 J124:J193">
    <cfRule type="expression" dxfId="4133" priority="8938">
      <formula xml:space="preserve"> $J$1 = "appearance"</formula>
    </cfRule>
  </conditionalFormatting>
  <conditionalFormatting sqref="J211:J237 J273:J305 J241:J268 J312:J322 J324 J326:J339 J356 J346:J351">
    <cfRule type="expression" dxfId="4132" priority="7797">
      <formula xml:space="preserve"> $J$1 = "appearance"</formula>
    </cfRule>
  </conditionalFormatting>
  <conditionalFormatting sqref="J238:J240">
    <cfRule type="expression" dxfId="4131" priority="7335">
      <formula xml:space="preserve"> $J$1 = "appearance"</formula>
    </cfRule>
  </conditionalFormatting>
  <conditionalFormatting sqref="J269:J272">
    <cfRule type="expression" dxfId="4130" priority="7351">
      <formula xml:space="preserve"> $J$1 = "appearance"</formula>
    </cfRule>
  </conditionalFormatting>
  <conditionalFormatting sqref="J306:J311">
    <cfRule type="expression" dxfId="4129" priority="7261">
      <formula xml:space="preserve"> $J$1 = "appearance"</formula>
    </cfRule>
  </conditionalFormatting>
  <conditionalFormatting sqref="J323">
    <cfRule type="expression" dxfId="4128" priority="7009">
      <formula xml:space="preserve"> $J$1 = "appearance"</formula>
    </cfRule>
  </conditionalFormatting>
  <conditionalFormatting sqref="J325">
    <cfRule type="expression" dxfId="4127" priority="6989">
      <formula xml:space="preserve"> $J$1 = "appearance"</formula>
    </cfRule>
  </conditionalFormatting>
  <conditionalFormatting sqref="J340">
    <cfRule type="expression" dxfId="4126" priority="7084">
      <formula xml:space="preserve"> $J$1 = "appearance"</formula>
    </cfRule>
  </conditionalFormatting>
  <conditionalFormatting sqref="J341">
    <cfRule type="expression" dxfId="4125" priority="7064">
      <formula xml:space="preserve"> $J$1 = "appearance"</formula>
    </cfRule>
  </conditionalFormatting>
  <conditionalFormatting sqref="J342:J344">
    <cfRule type="expression" dxfId="4124" priority="7047">
      <formula xml:space="preserve"> $J$1 = "appearance"</formula>
    </cfRule>
  </conditionalFormatting>
  <conditionalFormatting sqref="J345">
    <cfRule type="expression" dxfId="4123" priority="7430">
      <formula xml:space="preserve"> AND($J345="gg",$A345 = "end group")</formula>
    </cfRule>
    <cfRule type="expression" dxfId="4122" priority="7428">
      <formula>AND($J345 = "section",$A345 = "end group")</formula>
    </cfRule>
    <cfRule type="expression" dxfId="4121" priority="7429">
      <formula xml:space="preserve"> $A345 = "begin group"</formula>
    </cfRule>
    <cfRule type="expression" dxfId="4120" priority="7442">
      <formula xml:space="preserve"> $J$1 = "appearance"</formula>
    </cfRule>
    <cfRule type="expression" dxfId="4119" priority="7427">
      <formula>AND($J345="section",$A345="begin group")</formula>
    </cfRule>
  </conditionalFormatting>
  <conditionalFormatting sqref="J351">
    <cfRule type="expression" dxfId="4118" priority="6873">
      <formula xml:space="preserve"> AND($J351="gg",$A357 = "end group")</formula>
    </cfRule>
    <cfRule type="expression" dxfId="4117" priority="6871">
      <formula>AND($J351 = "section",$A357 = "end group")</formula>
    </cfRule>
    <cfRule type="expression" dxfId="4116" priority="6870">
      <formula>AND($J351="section",$A357="begin group")</formula>
    </cfRule>
    <cfRule type="expression" dxfId="4115" priority="6867">
      <formula>AND($U$1="disabled",$U357="yes")</formula>
    </cfRule>
    <cfRule type="expression" dxfId="4114" priority="6872">
      <formula xml:space="preserve"> $A357 = "begin group"</formula>
    </cfRule>
    <cfRule type="expression" dxfId="4113" priority="6868">
      <formula>$A357 = "begin repeat"</formula>
    </cfRule>
    <cfRule type="expression" dxfId="4112" priority="6869">
      <formula xml:space="preserve"> $A378 = "end repeat"</formula>
    </cfRule>
  </conditionalFormatting>
  <conditionalFormatting sqref="J352">
    <cfRule type="expression" dxfId="4111" priority="7017">
      <formula xml:space="preserve"> $J$1 = "appearance"</formula>
    </cfRule>
    <cfRule type="expression" dxfId="4110" priority="7016">
      <formula xml:space="preserve"> AND($J352="gg",$A352 = "end group")</formula>
    </cfRule>
    <cfRule type="expression" dxfId="4109" priority="7015">
      <formula xml:space="preserve"> $A352 = "begin group"</formula>
    </cfRule>
  </conditionalFormatting>
  <conditionalFormatting sqref="J353">
    <cfRule type="expression" dxfId="4108" priority="6967">
      <formula xml:space="preserve"> AND($J353="gg",$A353 = "end group")</formula>
    </cfRule>
    <cfRule type="expression" dxfId="4107" priority="6966">
      <formula xml:space="preserve"> $A353 = "begin group"</formula>
    </cfRule>
    <cfRule type="expression" dxfId="4106" priority="6968">
      <formula xml:space="preserve"> $J$1 = "appearance"</formula>
    </cfRule>
  </conditionalFormatting>
  <conditionalFormatting sqref="J353:J355">
    <cfRule type="expression" dxfId="4105" priority="6931">
      <formula>AND($J353 = "section",$A353 = "end group")</formula>
    </cfRule>
    <cfRule type="expression" dxfId="4104" priority="6930">
      <formula>AND($J353="section",$A353="begin group")</formula>
    </cfRule>
  </conditionalFormatting>
  <conditionalFormatting sqref="J354">
    <cfRule type="expression" dxfId="4103" priority="6933">
      <formula xml:space="preserve"> AND($J354="gg",$A354 = "end group")</formula>
    </cfRule>
    <cfRule type="expression" dxfId="4102" priority="6934">
      <formula xml:space="preserve"> $J$1 = "appearance"</formula>
    </cfRule>
    <cfRule type="expression" dxfId="4101" priority="6932">
      <formula xml:space="preserve"> $A354 = "begin group"</formula>
    </cfRule>
  </conditionalFormatting>
  <conditionalFormatting sqref="J355">
    <cfRule type="expression" dxfId="4100" priority="6963">
      <formula xml:space="preserve"> $J$1 = "appearance"</formula>
    </cfRule>
    <cfRule type="expression" dxfId="4099" priority="6961">
      <formula xml:space="preserve"> $A355 = "begin group"</formula>
    </cfRule>
    <cfRule type="expression" dxfId="4098" priority="6962">
      <formula xml:space="preserve"> AND($J355="gg",$A355 = "end group")</formula>
    </cfRule>
  </conditionalFormatting>
  <conditionalFormatting sqref="J361:J371">
    <cfRule type="expression" dxfId="4097" priority="6635">
      <formula xml:space="preserve"> $J$1 = "appearance"</formula>
    </cfRule>
  </conditionalFormatting>
  <conditionalFormatting sqref="J385 B373 J373 B385 B379 J379 L386:L388 I408:I409 D408:D409 A408:A409 J404:J407 B404:B407 L444:L450 I473:I474 D473:D474 J469:J472 B469:B472 I546:I548 D546:D548 J483:J485 B483:B485 J418:J420 B418:B420">
    <cfRule type="expression" dxfId="4096" priority="6167">
      <formula xml:space="preserve"> $A421 = "end repeat"</formula>
    </cfRule>
    <cfRule type="expression" dxfId="4095" priority="6166">
      <formula>$A373 = "begin repeat"</formula>
    </cfRule>
    <cfRule type="expression" dxfId="4094" priority="6165">
      <formula>AND($U$1="disabled",$U373="yes")</formula>
    </cfRule>
  </conditionalFormatting>
  <conditionalFormatting sqref="J392">
    <cfRule type="expression" dxfId="4093" priority="6371">
      <formula xml:space="preserve"> $J$1 = "appearance"</formula>
    </cfRule>
  </conditionalFormatting>
  <conditionalFormatting sqref="J394">
    <cfRule type="expression" dxfId="4092" priority="5761">
      <formula xml:space="preserve"> $J$1 = "appearance"</formula>
    </cfRule>
  </conditionalFormatting>
  <conditionalFormatting sqref="J395">
    <cfRule type="expression" dxfId="4091" priority="5740">
      <formula xml:space="preserve"> $J$1 = "appearance"</formula>
    </cfRule>
  </conditionalFormatting>
  <conditionalFormatting sqref="J396">
    <cfRule type="expression" dxfId="4090" priority="5990">
      <formula xml:space="preserve"> $J$1 = "appearance"</formula>
    </cfRule>
  </conditionalFormatting>
  <conditionalFormatting sqref="J397">
    <cfRule type="expression" dxfId="4089" priority="5719">
      <formula xml:space="preserve"> $J$1 = "appearance"</formula>
    </cfRule>
  </conditionalFormatting>
  <conditionalFormatting sqref="J398">
    <cfRule type="expression" dxfId="4088" priority="6322">
      <formula xml:space="preserve"> $J$1 = "appearance"</formula>
    </cfRule>
  </conditionalFormatting>
  <conditionalFormatting sqref="J399">
    <cfRule type="expression" dxfId="4087" priority="6291">
      <formula xml:space="preserve"> $J$1 = "appearance"</formula>
    </cfRule>
  </conditionalFormatting>
  <conditionalFormatting sqref="J400">
    <cfRule type="expression" dxfId="4086" priority="6260">
      <formula xml:space="preserve"> $J$1 = "appearance"</formula>
    </cfRule>
  </conditionalFormatting>
  <conditionalFormatting sqref="J401">
    <cfRule type="expression" dxfId="4085" priority="3446">
      <formula xml:space="preserve"> $J$1 = "appearance"</formula>
    </cfRule>
  </conditionalFormatting>
  <conditionalFormatting sqref="J402">
    <cfRule type="expression" dxfId="4084" priority="3412">
      <formula xml:space="preserve"> $J$1 = "appearance"</formula>
    </cfRule>
  </conditionalFormatting>
  <conditionalFormatting sqref="J403">
    <cfRule type="expression" dxfId="4083" priority="5956">
      <formula xml:space="preserve"> $J$1 = "appearance"</formula>
    </cfRule>
  </conditionalFormatting>
  <conditionalFormatting sqref="J404">
    <cfRule type="expression" dxfId="4082" priority="5795">
      <formula xml:space="preserve"> $J$1 = "appearance"</formula>
    </cfRule>
  </conditionalFormatting>
  <conditionalFormatting sqref="J405">
    <cfRule type="expression" dxfId="4081" priority="6229">
      <formula xml:space="preserve"> $J$1 = "appearance"</formula>
    </cfRule>
  </conditionalFormatting>
  <conditionalFormatting sqref="J406">
    <cfRule type="expression" dxfId="4080" priority="6198">
      <formula xml:space="preserve"> $J$1 = "appearance"</formula>
    </cfRule>
  </conditionalFormatting>
  <conditionalFormatting sqref="J407">
    <cfRule type="expression" dxfId="4079" priority="5925">
      <formula xml:space="preserve"> $J$1 = "appearance"</formula>
    </cfRule>
  </conditionalFormatting>
  <conditionalFormatting sqref="J408">
    <cfRule type="expression" dxfId="4078" priority="5826">
      <formula xml:space="preserve"> $J$1 = "appearance"</formula>
    </cfRule>
  </conditionalFormatting>
  <conditionalFormatting sqref="J409">
    <cfRule type="expression" dxfId="4077" priority="5894">
      <formula xml:space="preserve"> $J$1 = "appearance"</formula>
    </cfRule>
  </conditionalFormatting>
  <conditionalFormatting sqref="J410">
    <cfRule type="expression" dxfId="4076" priority="6158">
      <formula xml:space="preserve"> $J$1 = "appearance"</formula>
    </cfRule>
  </conditionalFormatting>
  <conditionalFormatting sqref="J410:J411 B410:B411">
    <cfRule type="expression" dxfId="4075" priority="6399">
      <formula>AND($U$1="disabled",$U410="yes")</formula>
    </cfRule>
    <cfRule type="expression" dxfId="4074" priority="6401">
      <formula xml:space="preserve"> $A492 = "end repeat"</formula>
    </cfRule>
    <cfRule type="expression" dxfId="4073" priority="6400">
      <formula>$A410 = "begin repeat"</formula>
    </cfRule>
  </conditionalFormatting>
  <conditionalFormatting sqref="J411">
    <cfRule type="expression" dxfId="4072" priority="6127">
      <formula xml:space="preserve"> $J$1 = "appearance"</formula>
    </cfRule>
  </conditionalFormatting>
  <conditionalFormatting sqref="J412">
    <cfRule type="expression" dxfId="4071" priority="5863">
      <formula xml:space="preserve"> $J$1 = "appearance"</formula>
    </cfRule>
  </conditionalFormatting>
  <conditionalFormatting sqref="J413">
    <cfRule type="expression" dxfId="4070" priority="5685">
      <formula xml:space="preserve"> $J$1 = "appearance"</formula>
    </cfRule>
  </conditionalFormatting>
  <conditionalFormatting sqref="J414">
    <cfRule type="expression" dxfId="4069" priority="6096">
      <formula xml:space="preserve"> $J$1 = "appearance"</formula>
    </cfRule>
  </conditionalFormatting>
  <conditionalFormatting sqref="J415">
    <cfRule type="expression" dxfId="4068" priority="6065">
      <formula xml:space="preserve"> $J$1 = "appearance"</formula>
    </cfRule>
  </conditionalFormatting>
  <conditionalFormatting sqref="J416">
    <cfRule type="expression" dxfId="4067" priority="3375">
      <formula xml:space="preserve"> $J$1 = "appearance"</formula>
    </cfRule>
  </conditionalFormatting>
  <conditionalFormatting sqref="J417">
    <cfRule type="expression" dxfId="4066" priority="3255">
      <formula xml:space="preserve"> $J$1 = "appearance"</formula>
    </cfRule>
  </conditionalFormatting>
  <conditionalFormatting sqref="J418">
    <cfRule type="expression" dxfId="4065" priority="3224">
      <formula xml:space="preserve"> $J$1 = "appearance"</formula>
    </cfRule>
  </conditionalFormatting>
  <conditionalFormatting sqref="J419">
    <cfRule type="expression" dxfId="4064" priority="3317">
      <formula xml:space="preserve"> $J$1 = "appearance"</formula>
    </cfRule>
  </conditionalFormatting>
  <conditionalFormatting sqref="J420">
    <cfRule type="expression" dxfId="4063" priority="3286">
      <formula xml:space="preserve"> $J$1 = "appearance"</formula>
    </cfRule>
  </conditionalFormatting>
  <conditionalFormatting sqref="J426:J436">
    <cfRule type="expression" dxfId="4062" priority="6599">
      <formula xml:space="preserve"> $J$1 = "appearance"</formula>
    </cfRule>
  </conditionalFormatting>
  <conditionalFormatting sqref="J437 J372:J391 J448:J456 J421:J425 J486:J521 J393 J557:J558 J358:J360">
    <cfRule type="expression" dxfId="4061" priority="6858">
      <formula xml:space="preserve"> $J$1 = "appearance"</formula>
    </cfRule>
  </conditionalFormatting>
  <conditionalFormatting sqref="J438:J447">
    <cfRule type="expression" dxfId="4060" priority="6534">
      <formula xml:space="preserve"> $J$1 = "appearance"</formula>
    </cfRule>
  </conditionalFormatting>
  <conditionalFormatting sqref="J457">
    <cfRule type="expression" dxfId="4059" priority="6344">
      <formula xml:space="preserve"> $J$1 = "appearance"</formula>
    </cfRule>
  </conditionalFormatting>
  <conditionalFormatting sqref="J458">
    <cfRule type="expression" dxfId="4058" priority="5633">
      <formula xml:space="preserve"> $J$1 = "appearance"</formula>
    </cfRule>
  </conditionalFormatting>
  <conditionalFormatting sqref="J459">
    <cfRule type="expression" dxfId="4057" priority="5116">
      <formula xml:space="preserve"> $J$1 = "appearance"</formula>
    </cfRule>
  </conditionalFormatting>
  <conditionalFormatting sqref="J460">
    <cfRule type="expression" dxfId="4056" priority="5095">
      <formula xml:space="preserve"> $J$1 = "appearance"</formula>
    </cfRule>
  </conditionalFormatting>
  <conditionalFormatting sqref="J461">
    <cfRule type="expression" dxfId="4055" priority="5336">
      <formula xml:space="preserve"> $J$1 = "appearance"</formula>
    </cfRule>
  </conditionalFormatting>
  <conditionalFormatting sqref="J462">
    <cfRule type="expression" dxfId="4054" priority="5077">
      <formula xml:space="preserve"> $J$1 = "appearance"</formula>
    </cfRule>
  </conditionalFormatting>
  <conditionalFormatting sqref="J463">
    <cfRule type="expression" dxfId="4053" priority="5615">
      <formula xml:space="preserve"> $J$1 = "appearance"</formula>
    </cfRule>
  </conditionalFormatting>
  <conditionalFormatting sqref="J464">
    <cfRule type="expression" dxfId="4052" priority="5584">
      <formula xml:space="preserve"> $J$1 = "appearance"</formula>
    </cfRule>
  </conditionalFormatting>
  <conditionalFormatting sqref="J465">
    <cfRule type="expression" dxfId="4051" priority="5553">
      <formula xml:space="preserve"> $J$1 = "appearance"</formula>
    </cfRule>
  </conditionalFormatting>
  <conditionalFormatting sqref="J466">
    <cfRule type="expression" dxfId="4050" priority="3732">
      <formula xml:space="preserve"> $J$1 = "appearance"</formula>
    </cfRule>
  </conditionalFormatting>
  <conditionalFormatting sqref="J467">
    <cfRule type="expression" dxfId="4049" priority="3694">
      <formula xml:space="preserve"> $J$1 = "appearance"</formula>
    </cfRule>
  </conditionalFormatting>
  <conditionalFormatting sqref="J468">
    <cfRule type="expression" dxfId="4048" priority="5305">
      <formula xml:space="preserve"> $J$1 = "appearance"</formula>
    </cfRule>
  </conditionalFormatting>
  <conditionalFormatting sqref="J469">
    <cfRule type="expression" dxfId="4047" priority="5150">
      <formula xml:space="preserve"> $J$1 = "appearance"</formula>
    </cfRule>
  </conditionalFormatting>
  <conditionalFormatting sqref="J470">
    <cfRule type="expression" dxfId="4046" priority="5522">
      <formula xml:space="preserve"> $J$1 = "appearance"</formula>
    </cfRule>
  </conditionalFormatting>
  <conditionalFormatting sqref="J471">
    <cfRule type="expression" dxfId="4045" priority="5491">
      <formula xml:space="preserve"> $J$1 = "appearance"</formula>
    </cfRule>
  </conditionalFormatting>
  <conditionalFormatting sqref="J472">
    <cfRule type="expression" dxfId="4044" priority="5274">
      <formula xml:space="preserve"> $J$1 = "appearance"</formula>
    </cfRule>
  </conditionalFormatting>
  <conditionalFormatting sqref="J473">
    <cfRule type="expression" dxfId="4043" priority="5181">
      <formula xml:space="preserve"> $J$1 = "appearance"</formula>
    </cfRule>
  </conditionalFormatting>
  <conditionalFormatting sqref="J474">
    <cfRule type="expression" dxfId="4042" priority="5243">
      <formula xml:space="preserve"> $J$1 = "appearance"</formula>
    </cfRule>
  </conditionalFormatting>
  <conditionalFormatting sqref="J475">
    <cfRule type="expression" dxfId="4041" priority="5460">
      <formula xml:space="preserve"> $J$1 = "appearance"</formula>
    </cfRule>
  </conditionalFormatting>
  <conditionalFormatting sqref="J475:J476 B475:B476 M384:W385">
    <cfRule type="expression" dxfId="4040" priority="6389">
      <formula xml:space="preserve"> $A486 = "end repeat"</formula>
    </cfRule>
    <cfRule type="expression" dxfId="4039" priority="6387">
      <formula>AND($U$1="disabled",$U384="yes")</formula>
    </cfRule>
    <cfRule type="expression" dxfId="4038" priority="6388">
      <formula>$A384 = "begin repeat"</formula>
    </cfRule>
  </conditionalFormatting>
  <conditionalFormatting sqref="J476">
    <cfRule type="expression" dxfId="4037" priority="5429">
      <formula xml:space="preserve"> $J$1 = "appearance"</formula>
    </cfRule>
  </conditionalFormatting>
  <conditionalFormatting sqref="J477 B477 M396:W397 D478:D480 K475:K476 I478:I480">
    <cfRule type="expression" dxfId="4036" priority="4068">
      <formula>AND($U$1="disabled",$U396="yes")</formula>
    </cfRule>
    <cfRule type="expression" dxfId="4035" priority="4069">
      <formula>$A396 = "begin repeat"</formula>
    </cfRule>
    <cfRule type="expression" dxfId="4034" priority="4070">
      <formula xml:space="preserve"> $A494 = "end repeat"</formula>
    </cfRule>
  </conditionalFormatting>
  <conditionalFormatting sqref="J477">
    <cfRule type="expression" dxfId="4033" priority="5212">
      <formula xml:space="preserve"> $J$1 = "appearance"</formula>
    </cfRule>
  </conditionalFormatting>
  <conditionalFormatting sqref="J478">
    <cfRule type="expression" dxfId="4032" priority="5046">
      <formula xml:space="preserve"> $J$1 = "appearance"</formula>
    </cfRule>
  </conditionalFormatting>
  <conditionalFormatting sqref="J479">
    <cfRule type="expression" dxfId="4031" priority="5398">
      <formula xml:space="preserve"> $J$1 = "appearance"</formula>
    </cfRule>
  </conditionalFormatting>
  <conditionalFormatting sqref="J480">
    <cfRule type="expression" dxfId="4030" priority="5367">
      <formula xml:space="preserve"> $J$1 = "appearance"</formula>
    </cfRule>
  </conditionalFormatting>
  <conditionalFormatting sqref="J481">
    <cfRule type="expression" dxfId="4029" priority="3650">
      <formula xml:space="preserve"> $J$1 = "appearance"</formula>
    </cfRule>
  </conditionalFormatting>
  <conditionalFormatting sqref="J482">
    <cfRule type="expression" dxfId="4028" priority="3508">
      <formula xml:space="preserve"> $J$1 = "appearance"</formula>
    </cfRule>
  </conditionalFormatting>
  <conditionalFormatting sqref="J483">
    <cfRule type="expression" dxfId="4027" priority="3477">
      <formula xml:space="preserve"> $J$1 = "appearance"</formula>
    </cfRule>
  </conditionalFormatting>
  <conditionalFormatting sqref="J484">
    <cfRule type="expression" dxfId="4026" priority="3570">
      <formula xml:space="preserve"> $J$1 = "appearance"</formula>
    </cfRule>
  </conditionalFormatting>
  <conditionalFormatting sqref="J485">
    <cfRule type="expression" dxfId="4025" priority="3539">
      <formula xml:space="preserve"> $J$1 = "appearance"</formula>
    </cfRule>
  </conditionalFormatting>
  <conditionalFormatting sqref="J522">
    <cfRule type="expression" dxfId="4024" priority="6025">
      <formula xml:space="preserve"> $J$1 = "appearance"</formula>
    </cfRule>
  </conditionalFormatting>
  <conditionalFormatting sqref="J523">
    <cfRule type="expression" dxfId="4023" priority="4650">
      <formula xml:space="preserve"> $J$1 = "appearance"</formula>
    </cfRule>
  </conditionalFormatting>
  <conditionalFormatting sqref="J524">
    <cfRule type="expression" dxfId="4022" priority="5012">
      <formula xml:space="preserve"> $J$1 = "appearance"</formula>
    </cfRule>
  </conditionalFormatting>
  <conditionalFormatting sqref="J525">
    <cfRule type="expression" dxfId="4021" priority="4732">
      <formula xml:space="preserve"> $J$1 = "appearance"</formula>
    </cfRule>
  </conditionalFormatting>
  <conditionalFormatting sqref="J526">
    <cfRule type="expression" dxfId="4020" priority="4687">
      <formula xml:space="preserve"> $J$1 = "appearance"</formula>
    </cfRule>
  </conditionalFormatting>
  <conditionalFormatting sqref="J527">
    <cfRule type="expression" dxfId="4019" priority="4634">
      <formula xml:space="preserve"> $J$1 = "appearance"</formula>
    </cfRule>
  </conditionalFormatting>
  <conditionalFormatting sqref="J528">
    <cfRule type="expression" dxfId="4018" priority="4658">
      <formula xml:space="preserve"> $J$1 = "appearance"</formula>
    </cfRule>
  </conditionalFormatting>
  <conditionalFormatting sqref="J529">
    <cfRule type="expression" dxfId="4017" priority="4996">
      <formula xml:space="preserve"> $J$1 = "appearance"</formula>
    </cfRule>
  </conditionalFormatting>
  <conditionalFormatting sqref="J530">
    <cfRule type="expression" dxfId="4016" priority="4967">
      <formula xml:space="preserve"> $J$1 = "appearance"</formula>
    </cfRule>
  </conditionalFormatting>
  <conditionalFormatting sqref="J531">
    <cfRule type="expression" dxfId="4015" priority="3832">
      <formula xml:space="preserve"> $J$1 = "appearance"</formula>
    </cfRule>
  </conditionalFormatting>
  <conditionalFormatting sqref="J532">
    <cfRule type="expression" dxfId="4014" priority="4605">
      <formula xml:space="preserve"> $J$1 = "appearance"</formula>
    </cfRule>
  </conditionalFormatting>
  <conditionalFormatting sqref="J533">
    <cfRule type="expression" dxfId="4013" priority="3770">
      <formula xml:space="preserve"> $J$1 = "appearance"</formula>
    </cfRule>
  </conditionalFormatting>
  <conditionalFormatting sqref="J534 H477 F477 H412 F412 B423:B425 G423:G425 J421:J425 E423:E425 D535:D536 I535:I536 D552:D553 I552:I553 J550:J551">
    <cfRule type="expression" dxfId="4012" priority="6774">
      <formula>$A412 = "begin repeat"</formula>
    </cfRule>
    <cfRule type="expression" dxfId="4011" priority="6773">
      <formula>AND($U$1="disabled",$U412="yes")</formula>
    </cfRule>
    <cfRule type="expression" dxfId="4010" priority="6775">
      <formula xml:space="preserve"> $A443 = "end repeat"</formula>
    </cfRule>
  </conditionalFormatting>
  <conditionalFormatting sqref="J534">
    <cfRule type="expression" dxfId="4009" priority="4822">
      <formula xml:space="preserve"> $J$1 = "appearance"</formula>
    </cfRule>
  </conditionalFormatting>
  <conditionalFormatting sqref="J535">
    <cfRule type="expression" dxfId="4008" priority="4764">
      <formula xml:space="preserve"> $J$1 = "appearance"</formula>
    </cfRule>
  </conditionalFormatting>
  <conditionalFormatting sqref="J536">
    <cfRule type="expression" dxfId="4007" priority="4938">
      <formula xml:space="preserve"> $J$1 = "appearance"</formula>
    </cfRule>
  </conditionalFormatting>
  <conditionalFormatting sqref="J537">
    <cfRule type="expression" dxfId="4006" priority="4576">
      <formula xml:space="preserve"> $J$1 = "appearance"</formula>
    </cfRule>
  </conditionalFormatting>
  <conditionalFormatting sqref="J538">
    <cfRule type="expression" dxfId="4005" priority="4547">
      <formula xml:space="preserve"> $J$1 = "appearance"</formula>
    </cfRule>
  </conditionalFormatting>
  <conditionalFormatting sqref="J539">
    <cfRule type="expression" dxfId="4004" priority="4518">
      <formula xml:space="preserve"> $J$1 = "appearance"</formula>
    </cfRule>
  </conditionalFormatting>
  <conditionalFormatting sqref="J540">
    <cfRule type="expression" dxfId="4003" priority="4909">
      <formula xml:space="preserve"> $J$1 = "appearance"</formula>
    </cfRule>
  </conditionalFormatting>
  <conditionalFormatting sqref="J540:J541">
    <cfRule type="expression" dxfId="4002" priority="4197">
      <formula xml:space="preserve"> $A704 = "end repeat"</formula>
    </cfRule>
    <cfRule type="expression" dxfId="4001" priority="4196">
      <formula>$A540 = "begin repeat"</formula>
    </cfRule>
    <cfRule type="expression" dxfId="4000" priority="4195">
      <formula>AND($U$1="disabled",$U540="yes")</formula>
    </cfRule>
  </conditionalFormatting>
  <conditionalFormatting sqref="J541">
    <cfRule type="expression" dxfId="3999" priority="4880">
      <formula xml:space="preserve"> $J$1 = "appearance"</formula>
    </cfRule>
  </conditionalFormatting>
  <conditionalFormatting sqref="J542">
    <cfRule type="expression" dxfId="3998" priority="4402">
      <formula xml:space="preserve"> $J$1 = "appearance"</formula>
    </cfRule>
  </conditionalFormatting>
  <conditionalFormatting sqref="J543">
    <cfRule type="expression" dxfId="3997" priority="4793">
      <formula xml:space="preserve"> $J$1 = "appearance"</formula>
    </cfRule>
  </conditionalFormatting>
  <conditionalFormatting sqref="J544">
    <cfRule type="expression" dxfId="3996" priority="4716">
      <formula xml:space="preserve"> $J$1 = "appearance"</formula>
    </cfRule>
  </conditionalFormatting>
  <conditionalFormatting sqref="J544:J545">
    <cfRule type="expression" dxfId="3995" priority="4049">
      <formula xml:space="preserve"> $A678 = "end repeat"</formula>
    </cfRule>
    <cfRule type="expression" dxfId="3994" priority="4047">
      <formula>AND($U$1="disabled",$U544="yes")</formula>
    </cfRule>
    <cfRule type="expression" dxfId="3993" priority="4048">
      <formula>$A544 = "begin repeat"</formula>
    </cfRule>
  </conditionalFormatting>
  <conditionalFormatting sqref="J545">
    <cfRule type="expression" dxfId="3992" priority="4851">
      <formula xml:space="preserve"> $J$1 = "appearance"</formula>
    </cfRule>
  </conditionalFormatting>
  <conditionalFormatting sqref="J546">
    <cfRule type="expression" dxfId="3991" priority="4489">
      <formula xml:space="preserve"> $J$1 = "appearance"</formula>
    </cfRule>
  </conditionalFormatting>
  <conditionalFormatting sqref="J546:J548 F510:F521 H510:H521 B473:B474 J473:J474 L451:L453 B408:B409 J408:J409 L376:W377">
    <cfRule type="expression" dxfId="3990" priority="6391">
      <formula>$A376 = "begin repeat"</formula>
    </cfRule>
    <cfRule type="expression" dxfId="3989" priority="6392">
      <formula xml:space="preserve"> $A423 = "end repeat"</formula>
    </cfRule>
    <cfRule type="expression" dxfId="3988" priority="6390">
      <formula>AND($U$1="disabled",$U376="yes")</formula>
    </cfRule>
  </conditionalFormatting>
  <conditionalFormatting sqref="J547">
    <cfRule type="expression" dxfId="3987" priority="4460">
      <formula xml:space="preserve"> $J$1 = "appearance"</formula>
    </cfRule>
  </conditionalFormatting>
  <conditionalFormatting sqref="J548">
    <cfRule type="expression" dxfId="3986" priority="4431">
      <formula xml:space="preserve"> $J$1 = "appearance"</formula>
    </cfRule>
  </conditionalFormatting>
  <conditionalFormatting sqref="J549">
    <cfRule type="expression" dxfId="3985" priority="4160">
      <formula xml:space="preserve"> $J$1 = "appearance"</formula>
    </cfRule>
  </conditionalFormatting>
  <conditionalFormatting sqref="J550">
    <cfRule type="expression" dxfId="3984" priority="4101">
      <formula xml:space="preserve"> $J$1 = "appearance"</formula>
    </cfRule>
  </conditionalFormatting>
  <conditionalFormatting sqref="J551">
    <cfRule type="expression" dxfId="3983" priority="3992">
      <formula xml:space="preserve"> $J$1 = "appearance"</formula>
    </cfRule>
  </conditionalFormatting>
  <conditionalFormatting sqref="J552">
    <cfRule type="expression" dxfId="3982" priority="3963">
      <formula xml:space="preserve"> $J$1 = "appearance"</formula>
    </cfRule>
  </conditionalFormatting>
  <conditionalFormatting sqref="J553">
    <cfRule type="expression" dxfId="3981" priority="4021">
      <formula xml:space="preserve"> $J$1 = "appearance"</formula>
    </cfRule>
  </conditionalFormatting>
  <conditionalFormatting sqref="J554">
    <cfRule type="expression" dxfId="3980" priority="3934">
      <formula xml:space="preserve"> $J$1 = "appearance"</formula>
    </cfRule>
  </conditionalFormatting>
  <conditionalFormatting sqref="J555">
    <cfRule type="expression" dxfId="3979" priority="3905">
      <formula xml:space="preserve"> $J$1 = "appearance"</formula>
    </cfRule>
  </conditionalFormatting>
  <conditionalFormatting sqref="J556">
    <cfRule type="expression" dxfId="3978" priority="3876">
      <formula xml:space="preserve"> $J$1 = "appearance"</formula>
    </cfRule>
  </conditionalFormatting>
  <conditionalFormatting sqref="J559:J603 B566:B603 J606:J679 B612:B624 B628:B638 M639:W668 K639:K679 C641:D644 A641:A666 I643:I679 D645:D679 C645:C703 J704:K722 B704:B738 H739:I742 G739:G743 M739:M751 K739:K756 N739:W756 J739:J807 A741:A756 B741:D787 I743:I756 C790:D809 I807 K807 M807:W807 A807:A809 M810:W831 A810:D840 H813:I816 G813:G817 J813:K831 I817:I838 J832:J840 M559:W561 A739:D740 K788:K799 M788:W799 A790:A799 I792:I799 M839:W840 K556:K561 H559:I560 A559:A561 C559:D561 G559:G561 I561 A704:A735 M704:W735 I708:I728 D710:D735 C710:C738 K723:K728 I809:J812 I808:K808 A694:B698 D694:D698 M694:W698 C704:D709 H706:I707 K832:K837 G839:I840 D738 A738 A639:D640 G639:I640 H641:I642 N832:W837 A669:A679 B606:B607 B671:B672 M738:W738 H704:I704 H790:I791 K839:K840">
    <cfRule type="expression" dxfId="3977" priority="2798">
      <formula>AND($J556="section",$A556="begin group")</formula>
    </cfRule>
  </conditionalFormatting>
  <conditionalFormatting sqref="J559:J603 B566:B603 J606:J679 B612:B624 B628:B638 M639:W668 K639:K679 C641:D644 A641:A666 I643:I679 D645:D679 C645:C703 J704:K722 B704:B738 H739:I742 G739:G743 M739:M751 K739:K756 N739:W756 J739:J807 A741:A756 B741:D787 I743:I756 C790:D809 I807 K807 M807:W807 A807:A809 M810:W831 A810:D840 H813:I816 G813:G817 J813:K831 I817:I838 J832:J840 M559:W561 A739:D740 K788:K799 M788:W799 A790:A799 I792:I799 M839:W840 K556:K561 H559:I560 A559:A561 C559:D561 G559:G561 I561 A704:A735 M704:W735 I708:I728 D710:D735 C710:C738 K723:K728 I809:J812 I808:K808 A694:B698 D694:D698 M694:W698 C704:D709 H706:I707 K832:K837 G839:I840 D738 A738 A639:D640 G639:I640 H641:I642 N832:W837 A669:A679 B606:B607 B671:B672 M738:W738 H704:I704 H790:I791">
    <cfRule type="expression" dxfId="3976" priority="2799">
      <formula>AND($J556 = "section",$A556 = "end group")</formula>
    </cfRule>
  </conditionalFormatting>
  <conditionalFormatting sqref="J566 B566">
    <cfRule type="expression" dxfId="3975" priority="2082">
      <formula>AND($U$1="disabled",$U566="yes")</formula>
    </cfRule>
    <cfRule type="expression" dxfId="3974" priority="2083">
      <formula>$A566 = "begin repeat"</formula>
    </cfRule>
    <cfRule type="expression" dxfId="3973" priority="2084">
      <formula xml:space="preserve"> $A651 = "end repeat"</formula>
    </cfRule>
  </conditionalFormatting>
  <conditionalFormatting sqref="J582 B582">
    <cfRule type="expression" dxfId="3972" priority="2077">
      <formula>$A582 = "begin repeat"</formula>
    </cfRule>
    <cfRule type="expression" dxfId="3971" priority="2078">
      <formula xml:space="preserve"> $A653 = "end repeat"</formula>
    </cfRule>
    <cfRule type="expression" dxfId="3970" priority="2076">
      <formula>AND($U$1="disabled",$U582="yes")</formula>
    </cfRule>
  </conditionalFormatting>
  <conditionalFormatting sqref="J598 B598 N756:W757 K756:L757 N837:W838 K837:L838">
    <cfRule type="expression" dxfId="3969" priority="2618">
      <formula xml:space="preserve"> $A655 = "end repeat"</formula>
    </cfRule>
    <cfRule type="expression" dxfId="3968" priority="2617">
      <formula>$A598 = "begin repeat"</formula>
    </cfRule>
    <cfRule type="expression" dxfId="3967" priority="2616">
      <formula>AND($U$1="disabled",$U598="yes")</formula>
    </cfRule>
  </conditionalFormatting>
  <conditionalFormatting sqref="J604:J605">
    <cfRule type="expression" dxfId="3966" priority="2143">
      <formula xml:space="preserve"> $J$1 = "appearance"</formula>
    </cfRule>
  </conditionalFormatting>
  <conditionalFormatting sqref="J614 B614 I643 K572:K574 K641:W643 A641:A643 H641:I642 C641:D643 F641:F642 K684:K691">
    <cfRule type="expression" dxfId="3965" priority="2676">
      <formula>AND($U$1="disabled",$U572="yes")</formula>
    </cfRule>
    <cfRule type="expression" dxfId="3964" priority="2677">
      <formula>$A572 = "begin repeat"</formula>
    </cfRule>
    <cfRule type="expression" dxfId="3963" priority="2678">
      <formula xml:space="preserve"> $A594 = "end repeat"</formula>
    </cfRule>
  </conditionalFormatting>
  <conditionalFormatting sqref="J620 B620">
    <cfRule type="expression" dxfId="3962" priority="2115">
      <formula xml:space="preserve"> $A722 = "end repeat"</formula>
    </cfRule>
    <cfRule type="expression" dxfId="3961" priority="2114">
      <formula>$A620 = "begin repeat"</formula>
    </cfRule>
    <cfRule type="expression" dxfId="3960" priority="2113">
      <formula>AND($U$1="disabled",$U620="yes")</formula>
    </cfRule>
  </conditionalFormatting>
  <conditionalFormatting sqref="J624 B624 L650:L654 L662:L666">
    <cfRule type="expression" dxfId="3959" priority="1464">
      <formula xml:space="preserve"> $A740 = "end repeat"</formula>
    </cfRule>
    <cfRule type="expression" dxfId="3958" priority="1463">
      <formula>$A624 = "begin repeat"</formula>
    </cfRule>
    <cfRule type="expression" dxfId="3957" priority="1462">
      <formula>AND($U$1="disabled",$U624="yes")</formula>
    </cfRule>
  </conditionalFormatting>
  <conditionalFormatting sqref="J634:J636">
    <cfRule type="expression" dxfId="3956" priority="2018">
      <formula xml:space="preserve"> $J$1 = "appearance"</formula>
    </cfRule>
  </conditionalFormatting>
  <conditionalFormatting sqref="J680 J692:J693 J682:J690">
    <cfRule type="expression" dxfId="3955" priority="1836">
      <formula xml:space="preserve"> $J$1 = "appearance"</formula>
    </cfRule>
  </conditionalFormatting>
  <conditionalFormatting sqref="J681">
    <cfRule type="expression" dxfId="3954" priority="1763">
      <formula xml:space="preserve"> $J$1 = "appearance"</formula>
    </cfRule>
  </conditionalFormatting>
  <conditionalFormatting sqref="J691">
    <cfRule type="expression" dxfId="3953" priority="1786">
      <formula xml:space="preserve"> $A691 = "begin group"</formula>
    </cfRule>
    <cfRule type="expression" dxfId="3952" priority="1787">
      <formula xml:space="preserve"> AND($J691="gg",$A691 = "end group")</formula>
    </cfRule>
    <cfRule type="expression" dxfId="3951" priority="1788">
      <formula xml:space="preserve"> $J$1 = "appearance"</formula>
    </cfRule>
  </conditionalFormatting>
  <conditionalFormatting sqref="J694">
    <cfRule type="expression" dxfId="3950" priority="1797">
      <formula xml:space="preserve"> $J$1 = "appearance"</formula>
    </cfRule>
  </conditionalFormatting>
  <conditionalFormatting sqref="J695">
    <cfRule type="expression" dxfId="3949" priority="1783">
      <formula xml:space="preserve"> $J$1 = "appearance"</formula>
    </cfRule>
    <cfRule type="expression" dxfId="3948" priority="1782">
      <formula xml:space="preserve"> AND($J695="gg",$A695 = "end group")</formula>
    </cfRule>
    <cfRule type="expression" dxfId="3947" priority="1781">
      <formula xml:space="preserve"> $A695 = "begin group"</formula>
    </cfRule>
  </conditionalFormatting>
  <conditionalFormatting sqref="J696">
    <cfRule type="expression" dxfId="3946" priority="1778">
      <formula xml:space="preserve"> $J$1 = "appearance"</formula>
    </cfRule>
    <cfRule type="expression" dxfId="3945" priority="1776">
      <formula xml:space="preserve"> $A696 = "begin group"</formula>
    </cfRule>
    <cfRule type="expression" dxfId="3944" priority="1777">
      <formula xml:space="preserve"> AND($J696="gg",$A696 = "end group")</formula>
    </cfRule>
  </conditionalFormatting>
  <conditionalFormatting sqref="J697">
    <cfRule type="expression" dxfId="3943" priority="1773">
      <formula xml:space="preserve"> $J$1 = "appearance"</formula>
    </cfRule>
    <cfRule type="expression" dxfId="3942" priority="1772">
      <formula xml:space="preserve"> AND($J697="gg",$A697 = "end group")</formula>
    </cfRule>
    <cfRule type="expression" dxfId="3941" priority="1771">
      <formula xml:space="preserve"> $A697 = "begin group"</formula>
    </cfRule>
  </conditionalFormatting>
  <conditionalFormatting sqref="J698">
    <cfRule type="expression" dxfId="3940" priority="1768">
      <formula xml:space="preserve"> $J$1 = "appearance"</formula>
    </cfRule>
    <cfRule type="expression" dxfId="3939" priority="1766">
      <formula xml:space="preserve"> $A698 = "begin group"</formula>
    </cfRule>
    <cfRule type="expression" dxfId="3938" priority="1767">
      <formula xml:space="preserve"> AND($J698="gg",$A698 = "end group")</formula>
    </cfRule>
  </conditionalFormatting>
  <conditionalFormatting sqref="J699">
    <cfRule type="expression" dxfId="3937" priority="1696">
      <formula xml:space="preserve"> $J$1 = "appearance"</formula>
    </cfRule>
  </conditionalFormatting>
  <conditionalFormatting sqref="J700">
    <cfRule type="expression" dxfId="3936" priority="1669">
      <formula xml:space="preserve"> $J$1 = "appearance"</formula>
    </cfRule>
  </conditionalFormatting>
  <conditionalFormatting sqref="J701">
    <cfRule type="expression" dxfId="3935" priority="1635">
      <formula xml:space="preserve"> $J$1 = "appearance"</formula>
    </cfRule>
  </conditionalFormatting>
  <conditionalFormatting sqref="J702">
    <cfRule type="expression" dxfId="3934" priority="1565">
      <formula xml:space="preserve"> $J$1 = "appearance"</formula>
    </cfRule>
    <cfRule type="expression" dxfId="3933" priority="1561">
      <formula>AND($J702="section",$A702="begin group")</formula>
    </cfRule>
    <cfRule type="expression" dxfId="3932" priority="1564">
      <formula xml:space="preserve"> AND($J702="gg",$A702 = "end group")</formula>
    </cfRule>
    <cfRule type="expression" dxfId="3931" priority="1563">
      <formula xml:space="preserve"> $A702 = "begin group"</formula>
    </cfRule>
  </conditionalFormatting>
  <conditionalFormatting sqref="J703">
    <cfRule type="expression" dxfId="3930" priority="1537">
      <formula xml:space="preserve"> $A703 = "begin group"</formula>
    </cfRule>
    <cfRule type="expression" dxfId="3929" priority="1538">
      <formula xml:space="preserve"> AND($J703="gg",$A703 = "end group")</formula>
    </cfRule>
    <cfRule type="expression" dxfId="3928" priority="1539">
      <formula xml:space="preserve"> $J$1 = "appearance"</formula>
    </cfRule>
    <cfRule type="expression" dxfId="3927" priority="1535">
      <formula>AND($J703="section",$A703="begin group")</formula>
    </cfRule>
  </conditionalFormatting>
  <conditionalFormatting sqref="J723:J728">
    <cfRule type="expression" dxfId="3926" priority="1473">
      <formula xml:space="preserve"> $A723 = "begin group"</formula>
    </cfRule>
    <cfRule type="expression" dxfId="3925" priority="1474">
      <formula xml:space="preserve"> AND($J723="gg",$A723 = "end group")</formula>
    </cfRule>
    <cfRule type="expression" dxfId="3924" priority="1475">
      <formula xml:space="preserve"> $J$1 = "appearance"</formula>
    </cfRule>
    <cfRule type="expression" dxfId="3923" priority="1472">
      <formula>AND($J723 = "section",$A723 = "end group")</formula>
    </cfRule>
    <cfRule type="expression" dxfId="3922" priority="1471">
      <formula>AND($J723="section",$A723="begin group")</formula>
    </cfRule>
  </conditionalFormatting>
  <conditionalFormatting sqref="J729 J733:J734">
    <cfRule type="expression" dxfId="3921" priority="1526">
      <formula xml:space="preserve"> $J$1 = "appearance"</formula>
    </cfRule>
  </conditionalFormatting>
  <conditionalFormatting sqref="J730">
    <cfRule type="expression" dxfId="3920" priority="1461">
      <formula xml:space="preserve"> $J$1 = "appearance"</formula>
    </cfRule>
    <cfRule type="expression" dxfId="3919" priority="1460">
      <formula xml:space="preserve"> AND($J730="gg",$A730 = "end group")</formula>
    </cfRule>
    <cfRule type="expression" dxfId="3918" priority="1459">
      <formula xml:space="preserve"> $A730 = "begin group"</formula>
    </cfRule>
    <cfRule type="expression" dxfId="3917" priority="1457">
      <formula>AND($J730="section",$A730="begin group")</formula>
    </cfRule>
  </conditionalFormatting>
  <conditionalFormatting sqref="J731">
    <cfRule type="expression" dxfId="3916" priority="1455">
      <formula xml:space="preserve"> AND($J731="gg",$A731 = "end group")</formula>
    </cfRule>
    <cfRule type="expression" dxfId="3915" priority="1452">
      <formula>AND($J731="section",$A731="begin group")</formula>
    </cfRule>
    <cfRule type="expression" dxfId="3914" priority="1456">
      <formula xml:space="preserve"> $J$1 = "appearance"</formula>
    </cfRule>
    <cfRule type="expression" dxfId="3913" priority="1454">
      <formula xml:space="preserve"> $A731 = "begin group"</formula>
    </cfRule>
  </conditionalFormatting>
  <conditionalFormatting sqref="J732">
    <cfRule type="expression" dxfId="3912" priority="1448">
      <formula>AND($J732="section",$A732="begin group")</formula>
    </cfRule>
    <cfRule type="expression" dxfId="3911" priority="1447">
      <formula xml:space="preserve"> $J$1 = "appearance"</formula>
    </cfRule>
    <cfRule type="expression" dxfId="3910" priority="1450">
      <formula xml:space="preserve"> $A732 = "begin group"</formula>
    </cfRule>
    <cfRule type="expression" dxfId="3909" priority="1451">
      <formula xml:space="preserve"> AND($J732="gg",$A732 = "end group")</formula>
    </cfRule>
  </conditionalFormatting>
  <conditionalFormatting sqref="J735">
    <cfRule type="expression" dxfId="3908" priority="1387">
      <formula xml:space="preserve"> AND($J735="gg",$A735 = "end group")</formula>
    </cfRule>
    <cfRule type="expression" dxfId="3907" priority="1388">
      <formula xml:space="preserve"> $J$1 = "appearance"</formula>
    </cfRule>
    <cfRule type="expression" dxfId="3906" priority="1384">
      <formula>AND($J735="section",$A735="begin group")</formula>
    </cfRule>
    <cfRule type="expression" dxfId="3905" priority="1386">
      <formula xml:space="preserve"> $A735 = "begin group"</formula>
    </cfRule>
  </conditionalFormatting>
  <conditionalFormatting sqref="J736">
    <cfRule type="expression" dxfId="3904" priority="1375">
      <formula xml:space="preserve"> $J$1 = "appearance"</formula>
    </cfRule>
    <cfRule type="expression" dxfId="3903" priority="1376">
      <formula>AND($J736="section",$A736="begin group")</formula>
    </cfRule>
    <cfRule type="expression" dxfId="3902" priority="1378">
      <formula xml:space="preserve"> $A736 = "begin group"</formula>
    </cfRule>
    <cfRule type="expression" dxfId="3901" priority="1379">
      <formula xml:space="preserve"> AND($J736="gg",$A736 = "end group")</formula>
    </cfRule>
  </conditionalFormatting>
  <conditionalFormatting sqref="J737">
    <cfRule type="expression" dxfId="3900" priority="1372">
      <formula xml:space="preserve"> $A737 = "begin group"</formula>
    </cfRule>
    <cfRule type="expression" dxfId="3899" priority="1373">
      <formula xml:space="preserve"> AND($J737="gg",$A737 = "end group")</formula>
    </cfRule>
    <cfRule type="expression" dxfId="3898" priority="1427">
      <formula xml:space="preserve"> $J$1 = "appearance"</formula>
    </cfRule>
    <cfRule type="expression" dxfId="3897" priority="1370">
      <formula>AND($J737="section",$A737="begin group")</formula>
    </cfRule>
    <cfRule type="expression" dxfId="3896" priority="1371">
      <formula>AND($J737 = "section",$A737 = "end group")</formula>
    </cfRule>
    <cfRule type="expression" dxfId="3895" priority="1374">
      <formula xml:space="preserve"> $J$1 = "appearance"</formula>
    </cfRule>
  </conditionalFormatting>
  <conditionalFormatting sqref="J738">
    <cfRule type="expression" dxfId="3894" priority="1382">
      <formula xml:space="preserve"> $A738 = "begin group"</formula>
    </cfRule>
    <cfRule type="expression" dxfId="3893" priority="1380">
      <formula>AND($J738="section",$A738="begin group")</formula>
    </cfRule>
    <cfRule type="expression" dxfId="3892" priority="1383">
      <formula xml:space="preserve"> AND($J738="gg",$A738 = "end group")</formula>
    </cfRule>
    <cfRule type="expression" dxfId="3891" priority="1369">
      <formula xml:space="preserve"> $J$1 = "appearance"</formula>
    </cfRule>
  </conditionalFormatting>
  <conditionalFormatting sqref="J808:J809">
    <cfRule type="expression" dxfId="3890" priority="2470">
      <formula xml:space="preserve"> $J$1 = "appearance"</formula>
    </cfRule>
  </conditionalFormatting>
  <conditionalFormatting sqref="J810:J840 J559:J603 J606:J679 J704:J722 J739:J807">
    <cfRule type="expression" dxfId="3889" priority="3187">
      <formula xml:space="preserve"> $J$1 = "appearance"</formula>
    </cfRule>
  </conditionalFormatting>
  <conditionalFormatting sqref="J841:J851 J998:J1018 J955:J956 J968:J995 J962:J965 J853:J942">
    <cfRule type="expression" dxfId="3888" priority="1305">
      <formula xml:space="preserve"> $J$1 = "appearance"</formula>
    </cfRule>
  </conditionalFormatting>
  <conditionalFormatting sqref="J852">
    <cfRule type="expression" dxfId="3887" priority="35">
      <formula xml:space="preserve"> $J$1 = "appearance"</formula>
    </cfRule>
  </conditionalFormatting>
  <conditionalFormatting sqref="J920:J921">
    <cfRule type="expression" dxfId="3886" priority="875">
      <formula xml:space="preserve"> $A955 = "end repeat"</formula>
    </cfRule>
    <cfRule type="expression" dxfId="3885" priority="873">
      <formula>AND($U$1="disabled",$U920="yes")</formula>
    </cfRule>
    <cfRule type="expression" dxfId="3884" priority="874">
      <formula>$A920 = "begin repeat"</formula>
    </cfRule>
  </conditionalFormatting>
  <conditionalFormatting sqref="J922:J936 J939:J948 J951:J954">
    <cfRule type="expression" dxfId="3883" priority="51">
      <formula>AND($U$1="disabled",$U922="yes")</formula>
    </cfRule>
    <cfRule type="expression" dxfId="3882" priority="52">
      <formula>$A922 = "begin repeat"</formula>
    </cfRule>
    <cfRule type="expression" dxfId="3881" priority="53">
      <formula xml:space="preserve"> $A969 = "end repeat"</formula>
    </cfRule>
  </conditionalFormatting>
  <conditionalFormatting sqref="J923:J936 J940:J948 J952:J954">
    <cfRule type="expression" dxfId="3880" priority="47">
      <formula xml:space="preserve"> $A969 = "end repeat"</formula>
    </cfRule>
    <cfRule type="expression" dxfId="3879" priority="45">
      <formula>AND($U$1="disabled",$U923="yes")</formula>
    </cfRule>
    <cfRule type="expression" dxfId="3878" priority="46">
      <formula>$A923 = "begin repeat"</formula>
    </cfRule>
  </conditionalFormatting>
  <conditionalFormatting sqref="J932:J938 J941:J950 J953:J954">
    <cfRule type="expression" dxfId="3877" priority="782">
      <formula>AND($U$1="disabled",$U932="yes")</formula>
    </cfRule>
    <cfRule type="expression" dxfId="3876" priority="784">
      <formula xml:space="preserve"> $A977 = "end repeat"</formula>
    </cfRule>
    <cfRule type="expression" dxfId="3875" priority="783">
      <formula>$A932 = "begin repeat"</formula>
    </cfRule>
  </conditionalFormatting>
  <conditionalFormatting sqref="J937:J940 J949:J952">
    <cfRule type="expression" dxfId="3874" priority="43">
      <formula>$A937 = "begin repeat"</formula>
    </cfRule>
    <cfRule type="expression" dxfId="3873" priority="44">
      <formula xml:space="preserve"> $A980 = "end repeat"</formula>
    </cfRule>
    <cfRule type="expression" dxfId="3872" priority="42">
      <formula>AND($U$1="disabled",$U937="yes")</formula>
    </cfRule>
  </conditionalFormatting>
  <conditionalFormatting sqref="J937:J941 J949:J953">
    <cfRule type="expression" dxfId="3871" priority="795">
      <formula>$A937 = "begin repeat"</formula>
    </cfRule>
    <cfRule type="expression" dxfId="3870" priority="796">
      <formula xml:space="preserve"> $A979 = "end repeat"</formula>
    </cfRule>
    <cfRule type="expression" dxfId="3869" priority="794">
      <formula>AND($U$1="disabled",$U937="yes")</formula>
    </cfRule>
  </conditionalFormatting>
  <conditionalFormatting sqref="J943:J952">
    <cfRule type="expression" dxfId="3868" priority="869">
      <formula xml:space="preserve"> $J$1 = "appearance"</formula>
    </cfRule>
  </conditionalFormatting>
  <conditionalFormatting sqref="J953:J954">
    <cfRule type="expression" dxfId="3867" priority="842">
      <formula xml:space="preserve"> $J$1 = "appearance"</formula>
    </cfRule>
  </conditionalFormatting>
  <conditionalFormatting sqref="J954 J933:J939 J942:J951">
    <cfRule type="expression" dxfId="3866" priority="790">
      <formula xml:space="preserve"> $A977 = "end repeat"</formula>
    </cfRule>
    <cfRule type="expression" dxfId="3865" priority="788">
      <formula>AND($U$1="disabled",$U933="yes")</formula>
    </cfRule>
    <cfRule type="expression" dxfId="3864" priority="789">
      <formula>$A933 = "begin repeat"</formula>
    </cfRule>
  </conditionalFormatting>
  <conditionalFormatting sqref="J957">
    <cfRule type="expression" dxfId="3863" priority="762">
      <formula xml:space="preserve"> $J$1 = "appearance"</formula>
    </cfRule>
  </conditionalFormatting>
  <conditionalFormatting sqref="J958">
    <cfRule type="expression" dxfId="3862" priority="750">
      <formula xml:space="preserve"> $J$1 = "appearance"</formula>
    </cfRule>
  </conditionalFormatting>
  <conditionalFormatting sqref="J959:J960">
    <cfRule type="expression" dxfId="3861" priority="743">
      <formula xml:space="preserve"> $J$1 = "appearance"</formula>
    </cfRule>
  </conditionalFormatting>
  <conditionalFormatting sqref="J961">
    <cfRule type="expression" dxfId="3860" priority="754">
      <formula xml:space="preserve"> $J$1 = "appearance"</formula>
    </cfRule>
  </conditionalFormatting>
  <conditionalFormatting sqref="J966">
    <cfRule type="expression" dxfId="3859" priority="735">
      <formula xml:space="preserve"> $J$1 = "appearance"</formula>
    </cfRule>
  </conditionalFormatting>
  <conditionalFormatting sqref="J973 C973 J988:J995">
    <cfRule type="expression" dxfId="3858" priority="1064">
      <formula xml:space="preserve"> $A986 = "end repeat"</formula>
    </cfRule>
    <cfRule type="expression" dxfId="3857" priority="1062">
      <formula>AND($U$1="disabled",$U973="yes")</formula>
    </cfRule>
    <cfRule type="expression" dxfId="3856" priority="1063">
      <formula>$A973 = "begin repeat"</formula>
    </cfRule>
  </conditionalFormatting>
  <conditionalFormatting sqref="J996:J997">
    <cfRule type="expression" dxfId="3855" priority="814">
      <formula xml:space="preserve"> $J$1 = "appearance"</formula>
    </cfRule>
  </conditionalFormatting>
  <conditionalFormatting sqref="J33:K35 G1:W8 G10:W15 L16:W17 G16:J17 S9">
    <cfRule type="expression" dxfId="3854" priority="737760">
      <formula>AND($J1 = "section",$A1 = "end group")</formula>
    </cfRule>
    <cfRule type="expression" dxfId="3853" priority="737759">
      <formula>AND($J1="section",$A1="begin group")</formula>
    </cfRule>
  </conditionalFormatting>
  <conditionalFormatting sqref="J33:K35">
    <cfRule type="expression" dxfId="3852" priority="739689">
      <formula>AND($U$1="disabled",$U33="yes")</formula>
    </cfRule>
    <cfRule type="expression" dxfId="3851" priority="739691">
      <formula xml:space="preserve"> #REF! = "end repeat"</formula>
    </cfRule>
    <cfRule type="expression" dxfId="3850" priority="739690">
      <formula>$A33 = "begin repeat"</formula>
    </cfRule>
  </conditionalFormatting>
  <conditionalFormatting sqref="J238:K240">
    <cfRule type="expression" dxfId="3849" priority="7321">
      <formula>AND($J238="section",$A238="begin group")</formula>
    </cfRule>
  </conditionalFormatting>
  <conditionalFormatting sqref="J309:K309 I310:K311 I306:I309 D306:D311 M306:W311 J306:J308 A306:A311">
    <cfRule type="expression" dxfId="3848" priority="7238">
      <formula xml:space="preserve"> $A306 = "begin group"</formula>
    </cfRule>
    <cfRule type="expression" dxfId="3847" priority="7239">
      <formula xml:space="preserve"> AND($J306="gg",$A306 = "end group")</formula>
    </cfRule>
  </conditionalFormatting>
  <conditionalFormatting sqref="J943:K952">
    <cfRule type="expression" dxfId="3846" priority="851">
      <formula xml:space="preserve"> AND($J943="gg",$A943 = "end group")</formula>
    </cfRule>
    <cfRule type="expression" dxfId="3845" priority="850">
      <formula xml:space="preserve"> $A943 = "begin group"</formula>
    </cfRule>
    <cfRule type="expression" dxfId="3844" priority="848">
      <formula>AND($J943="section",$A943="begin group")</formula>
    </cfRule>
  </conditionalFormatting>
  <conditionalFormatting sqref="J943:K954">
    <cfRule type="expression" dxfId="3843" priority="822">
      <formula>AND($J943 = "section",$A943 = "end group")</formula>
    </cfRule>
  </conditionalFormatting>
  <conditionalFormatting sqref="J953:K954">
    <cfRule type="expression" dxfId="3842" priority="824">
      <formula xml:space="preserve"> AND($J953="gg",$A953 = "end group")</formula>
    </cfRule>
    <cfRule type="expression" dxfId="3841" priority="821">
      <formula>AND($J953="section",$A953="begin group")</formula>
    </cfRule>
    <cfRule type="expression" dxfId="3840" priority="823">
      <formula xml:space="preserve"> $A953 = "begin group"</formula>
    </cfRule>
  </conditionalFormatting>
  <conditionalFormatting sqref="K9">
    <cfRule type="expression" dxfId="3839" priority="743002">
      <formula>AND($P9 = "section",$A9 = "end group")</formula>
    </cfRule>
  </conditionalFormatting>
  <conditionalFormatting sqref="K16:K32">
    <cfRule type="expression" dxfId="3838" priority="26614">
      <formula xml:space="preserve"> AND($J16="gg",$A16 = "end group")</formula>
    </cfRule>
    <cfRule type="expression" dxfId="3837" priority="26612">
      <formula>AND($J16 = "section",$A16 = "end group")</formula>
    </cfRule>
    <cfRule type="expression" dxfId="3836" priority="26615">
      <formula>$A16="calculate"</formula>
    </cfRule>
    <cfRule type="expression" dxfId="3835" priority="26611">
      <formula>AND($J16="section",$A16="begin group")</formula>
    </cfRule>
    <cfRule type="expression" dxfId="3834" priority="26613">
      <formula xml:space="preserve"> $A16 = "begin group"</formula>
    </cfRule>
  </conditionalFormatting>
  <conditionalFormatting sqref="K16:K33">
    <cfRule type="expression" dxfId="3833" priority="1630771">
      <formula>$A16 = "begin repeat"</formula>
    </cfRule>
    <cfRule type="expression" dxfId="3832" priority="1630772">
      <formula xml:space="preserve"> #REF! = "end repeat"</formula>
    </cfRule>
    <cfRule type="expression" dxfId="3831" priority="1630770">
      <formula>AND($U$1="disabled",$U16="yes")</formula>
    </cfRule>
  </conditionalFormatting>
  <conditionalFormatting sqref="K33">
    <cfRule type="expression" dxfId="3830" priority="28536">
      <formula xml:space="preserve"> $J$1 = "appearance"</formula>
    </cfRule>
    <cfRule type="expression" dxfId="3829" priority="28540">
      <formula>AND($J33="section",$A33="begin group")</formula>
    </cfRule>
    <cfRule type="expression" dxfId="3828" priority="28541">
      <formula>AND($J33 = "section",$A33 = "end group")</formula>
    </cfRule>
    <cfRule type="expression" dxfId="3827" priority="28543">
      <formula xml:space="preserve"> AND($J33="gg",$A33 = "end group")</formula>
    </cfRule>
    <cfRule type="expression" dxfId="3826" priority="28544">
      <formula>$A33="calculate"</formula>
    </cfRule>
    <cfRule type="expression" dxfId="3825" priority="28542">
      <formula xml:space="preserve"> $A33 = "begin group"</formula>
    </cfRule>
  </conditionalFormatting>
  <conditionalFormatting sqref="K34:K35">
    <cfRule type="expression" dxfId="3824" priority="581049">
      <formula xml:space="preserve"> #REF! = "appearance"</formula>
    </cfRule>
  </conditionalFormatting>
  <conditionalFormatting sqref="K36:K37">
    <cfRule type="expression" dxfId="3823" priority="8324">
      <formula xml:space="preserve"> $J$1 = "appearance"</formula>
    </cfRule>
  </conditionalFormatting>
  <conditionalFormatting sqref="K39:K106 K110:K113">
    <cfRule type="expression" dxfId="3822" priority="8269">
      <formula xml:space="preserve"> $A39 = "begin group"</formula>
    </cfRule>
    <cfRule type="expression" dxfId="3821" priority="8271">
      <formula>$A39="calculate"</formula>
    </cfRule>
    <cfRule type="expression" dxfId="3820" priority="8270">
      <formula xml:space="preserve"> AND($J39="gg",$A39 = "end group")</formula>
    </cfRule>
  </conditionalFormatting>
  <conditionalFormatting sqref="K39:K113">
    <cfRule type="expression" dxfId="3819" priority="7884">
      <formula>AND($J39="section",$A39="begin group")</formula>
    </cfRule>
    <cfRule type="expression" dxfId="3818" priority="7885">
      <formula>AND($J39 = "section",$A39 = "end group")</formula>
    </cfRule>
  </conditionalFormatting>
  <conditionalFormatting sqref="K107:K108">
    <cfRule type="expression" dxfId="3817" priority="7918">
      <formula>$A107="calculate"</formula>
    </cfRule>
    <cfRule type="expression" dxfId="3816" priority="7917">
      <formula xml:space="preserve"> AND($J107="gg",$A107 = "end group")</formula>
    </cfRule>
    <cfRule type="expression" dxfId="3815" priority="7916">
      <formula xml:space="preserve"> $A107 = "begin group"</formula>
    </cfRule>
  </conditionalFormatting>
  <conditionalFormatting sqref="K109">
    <cfRule type="expression" dxfId="3814" priority="7888">
      <formula>$A109="calculate"</formula>
    </cfRule>
    <cfRule type="expression" dxfId="3813" priority="7887">
      <formula xml:space="preserve"> AND($J109="gg",$A109 = "end group")</formula>
    </cfRule>
    <cfRule type="expression" dxfId="3812" priority="7886">
      <formula xml:space="preserve"> $A109 = "begin group"</formula>
    </cfRule>
  </conditionalFormatting>
  <conditionalFormatting sqref="K115">
    <cfRule type="expression" dxfId="3811" priority="8227">
      <formula xml:space="preserve"> $J$1 = "appearance"</formula>
    </cfRule>
  </conditionalFormatting>
  <conditionalFormatting sqref="K116:K119">
    <cfRule type="expression" dxfId="3810" priority="8224">
      <formula xml:space="preserve"> $A116 = "begin group"</formula>
    </cfRule>
    <cfRule type="expression" dxfId="3809" priority="8226">
      <formula>$A116="calculate"</formula>
    </cfRule>
    <cfRule type="expression" dxfId="3808" priority="8225">
      <formula xml:space="preserve"> AND($J116="gg",$A116 = "end group")</formula>
    </cfRule>
  </conditionalFormatting>
  <conditionalFormatting sqref="K116:K122">
    <cfRule type="expression" dxfId="3807" priority="8185">
      <formula>AND($J116 = "section",$A116 = "end group")</formula>
    </cfRule>
    <cfRule type="expression" dxfId="3806" priority="8184">
      <formula>AND($J116="section",$A116="begin group")</formula>
    </cfRule>
  </conditionalFormatting>
  <conditionalFormatting sqref="K120">
    <cfRule type="expression" dxfId="3805" priority="8204">
      <formula xml:space="preserve"> AND($J120="gg",$A120 = "end group")</formula>
    </cfRule>
    <cfRule type="expression" dxfId="3804" priority="8205">
      <formula>$A120="calculate"</formula>
    </cfRule>
    <cfRule type="expression" dxfId="3803" priority="8203">
      <formula xml:space="preserve"> $A120 = "begin group"</formula>
    </cfRule>
  </conditionalFormatting>
  <conditionalFormatting sqref="K121:K122">
    <cfRule type="expression" dxfId="3802" priority="8186">
      <formula xml:space="preserve"> $A121 = "begin group"</formula>
    </cfRule>
    <cfRule type="expression" dxfId="3801" priority="8187">
      <formula xml:space="preserve"> AND($J121="gg",$A121 = "end group")</formula>
    </cfRule>
    <cfRule type="expression" dxfId="3800" priority="8188">
      <formula>$A121="calculate"</formula>
    </cfRule>
  </conditionalFormatting>
  <conditionalFormatting sqref="K123 H123:I123 H115:I115 K115 I116:I119">
    <cfRule type="expression" dxfId="3799" priority="8241">
      <formula>$A115="calculate"</formula>
    </cfRule>
  </conditionalFormatting>
  <conditionalFormatting sqref="K124 I125:I126 L125:W126 A125:D126 B127:B128 K201">
    <cfRule type="expression" dxfId="3798" priority="8230">
      <formula xml:space="preserve"> $A97 = "end repeat"</formula>
    </cfRule>
    <cfRule type="expression" dxfId="3797" priority="8228">
      <formula>AND($U$1="disabled",$U124="yes")</formula>
    </cfRule>
    <cfRule type="expression" dxfId="3796" priority="8229">
      <formula>$A124 = "begin repeat"</formula>
    </cfRule>
  </conditionalFormatting>
  <conditionalFormatting sqref="K124">
    <cfRule type="expression" dxfId="3795" priority="8496">
      <formula xml:space="preserve"> $A127 = "end repeat"</formula>
    </cfRule>
    <cfRule type="expression" dxfId="3794" priority="8323">
      <formula xml:space="preserve"> $J$1 = "appearance"</formula>
    </cfRule>
    <cfRule type="expression" dxfId="3793" priority="8495">
      <formula>$A124 = "begin repeat"</formula>
    </cfRule>
    <cfRule type="expression" dxfId="3792" priority="8494">
      <formula>AND($U$1="disabled",$U124="yes")</formula>
    </cfRule>
  </conditionalFormatting>
  <conditionalFormatting sqref="K129:K130">
    <cfRule type="expression" dxfId="3791" priority="8322">
      <formula xml:space="preserve"> $J$1 = "appearance"</formula>
    </cfRule>
  </conditionalFormatting>
  <conditionalFormatting sqref="K131 I131">
    <cfRule type="expression" dxfId="3790" priority="8309">
      <formula>$A131="calculate"</formula>
    </cfRule>
  </conditionalFormatting>
  <conditionalFormatting sqref="K132:K191 K195:K199">
    <cfRule type="expression" dxfId="3789" priority="8276">
      <formula>$A132="calculate"</formula>
    </cfRule>
    <cfRule type="expression" dxfId="3788" priority="8274">
      <formula xml:space="preserve"> $A132 = "begin group"</formula>
    </cfRule>
    <cfRule type="expression" dxfId="3787" priority="8275">
      <formula xml:space="preserve"> AND($J132="gg",$A132 = "end group")</formula>
    </cfRule>
  </conditionalFormatting>
  <conditionalFormatting sqref="K132:K199">
    <cfRule type="expression" dxfId="3786" priority="7812">
      <formula>AND($J132="section",$A132="begin group")</formula>
    </cfRule>
    <cfRule type="expression" dxfId="3785" priority="7813">
      <formula>AND($J132 = "section",$A132 = "end group")</formula>
    </cfRule>
  </conditionalFormatting>
  <conditionalFormatting sqref="K187:K188">
    <cfRule type="expression" dxfId="3784" priority="7802">
      <formula>AND($J187 = "section",$A187 = "end group")</formula>
    </cfRule>
    <cfRule type="expression" dxfId="3783" priority="7804">
      <formula xml:space="preserve"> AND($J187="gg",$A187 = "end group")</formula>
    </cfRule>
    <cfRule type="expression" dxfId="3782" priority="7803">
      <formula xml:space="preserve"> $A187 = "begin group"</formula>
    </cfRule>
    <cfRule type="expression" dxfId="3781" priority="7801">
      <formula>AND($J187="section",$A187="begin group")</formula>
    </cfRule>
    <cfRule type="expression" dxfId="3780" priority="7805">
      <formula>$A187="calculate"</formula>
    </cfRule>
  </conditionalFormatting>
  <conditionalFormatting sqref="K192:K193">
    <cfRule type="expression" dxfId="3779" priority="7842">
      <formula xml:space="preserve"> AND($J192="gg",$A192 = "end group")</formula>
    </cfRule>
    <cfRule type="expression" dxfId="3778" priority="7843">
      <formula>$A192="calculate"</formula>
    </cfRule>
    <cfRule type="expression" dxfId="3777" priority="7841">
      <formula xml:space="preserve"> $A192 = "begin group"</formula>
    </cfRule>
  </conditionalFormatting>
  <conditionalFormatting sqref="K194">
    <cfRule type="expression" dxfId="3776" priority="7814">
      <formula xml:space="preserve"> $A194 = "begin group"</formula>
    </cfRule>
    <cfRule type="expression" dxfId="3775" priority="7816">
      <formula>$A194="calculate"</formula>
    </cfRule>
    <cfRule type="expression" dxfId="3774" priority="7815">
      <formula xml:space="preserve"> AND($J194="gg",$A194 = "end group")</formula>
    </cfRule>
  </conditionalFormatting>
  <conditionalFormatting sqref="K201">
    <cfRule type="expression" dxfId="3773" priority="8164">
      <formula xml:space="preserve"> $J$1 = "appearance"</formula>
    </cfRule>
  </conditionalFormatting>
  <conditionalFormatting sqref="K202">
    <cfRule type="expression" dxfId="3772" priority="8149">
      <formula xml:space="preserve"> $A202 = "begin group"</formula>
    </cfRule>
    <cfRule type="expression" dxfId="3771" priority="8150">
      <formula xml:space="preserve"> AND($J202="gg",$A202 = "end group")</formula>
    </cfRule>
    <cfRule type="expression" dxfId="3770" priority="8151">
      <formula>$A202="calculate"</formula>
    </cfRule>
  </conditionalFormatting>
  <conditionalFormatting sqref="K202:K204">
    <cfRule type="expression" dxfId="3769" priority="8127">
      <formula>AND($J202 = "section",$A202 = "end group")</formula>
    </cfRule>
    <cfRule type="expression" dxfId="3768" priority="8126">
      <formula>AND($J202="section",$A202="begin group")</formula>
    </cfRule>
  </conditionalFormatting>
  <conditionalFormatting sqref="K203:K204">
    <cfRule type="expression" dxfId="3767" priority="8129">
      <formula xml:space="preserve"> AND($J203="gg",$A203 = "end group")</formula>
    </cfRule>
    <cfRule type="expression" dxfId="3766" priority="8128">
      <formula xml:space="preserve"> $A203 = "begin group"</formula>
    </cfRule>
    <cfRule type="expression" dxfId="3765" priority="8130">
      <formula>$A203="calculate"</formula>
    </cfRule>
  </conditionalFormatting>
  <conditionalFormatting sqref="K205 H205:I205 K201">
    <cfRule type="expression" dxfId="3764" priority="8171">
      <formula>$A201="calculate"</formula>
    </cfRule>
  </conditionalFormatting>
  <conditionalFormatting sqref="K208">
    <cfRule type="expression" dxfId="3763" priority="8892">
      <formula>$A208="calculate"</formula>
    </cfRule>
    <cfRule type="expression" dxfId="3762" priority="8891">
      <formula>$A208="calculate"</formula>
    </cfRule>
  </conditionalFormatting>
  <conditionalFormatting sqref="K211:K212">
    <cfRule type="expression" dxfId="3761" priority="7480">
      <formula xml:space="preserve"> $J$1 = "appearance"</formula>
    </cfRule>
  </conditionalFormatting>
  <conditionalFormatting sqref="K214:K237">
    <cfRule type="expression" dxfId="3760" priority="7390">
      <formula xml:space="preserve"> AND($J214="gg",$A214 = "end group")</formula>
    </cfRule>
    <cfRule type="expression" dxfId="3759" priority="7387">
      <formula>AND($J214="section",$A214="begin group")</formula>
    </cfRule>
    <cfRule type="expression" dxfId="3758" priority="7389">
      <formula xml:space="preserve"> $A214 = "begin group"</formula>
    </cfRule>
    <cfRule type="expression" dxfId="3757" priority="7380">
      <formula>$A214="calculate"</formula>
    </cfRule>
  </conditionalFormatting>
  <conditionalFormatting sqref="K214:K240">
    <cfRule type="expression" dxfId="3756" priority="7322">
      <formula>AND($J214 = "section",$A214 = "end group")</formula>
    </cfRule>
  </conditionalFormatting>
  <conditionalFormatting sqref="K238:K240">
    <cfRule type="expression" dxfId="3755" priority="7323">
      <formula xml:space="preserve"> $A238 = "begin group"</formula>
    </cfRule>
    <cfRule type="expression" dxfId="3754" priority="7320">
      <formula>$A238="calculate"</formula>
    </cfRule>
    <cfRule type="expression" dxfId="3753" priority="7324">
      <formula xml:space="preserve"> AND($J238="gg",$A238 = "end group")</formula>
    </cfRule>
  </conditionalFormatting>
  <conditionalFormatting sqref="K243:K244">
    <cfRule type="expression" dxfId="3752" priority="7479">
      <formula xml:space="preserve"> $J$1 = "appearance"</formula>
    </cfRule>
  </conditionalFormatting>
  <conditionalFormatting sqref="K249 A292 A280 A283 I280 L280:W280 I283 L283:W283 I292 L292:W292 L327 I249:I250 M249:W250 L284:L286 L293:L296 B355 J355 D320:D323 I324:I325 L324:W325 A324:A325">
    <cfRule type="expression" dxfId="3751" priority="7579">
      <formula>$A249 = "begin repeat"</formula>
    </cfRule>
    <cfRule type="expression" dxfId="3750" priority="7578">
      <formula>AND($U$1="disabled",$U249="yes")</formula>
    </cfRule>
    <cfRule type="expression" dxfId="3749" priority="7580">
      <formula xml:space="preserve"> $A256 = "end repeat"</formula>
    </cfRule>
  </conditionalFormatting>
  <conditionalFormatting sqref="K250:K268">
    <cfRule type="expression" dxfId="3748" priority="7400">
      <formula xml:space="preserve"> AND($J250="gg",$A250 = "end group")</formula>
    </cfRule>
    <cfRule type="expression" dxfId="3747" priority="7401">
      <formula>$A250="calculate"</formula>
    </cfRule>
    <cfRule type="expression" dxfId="3746" priority="7399">
      <formula xml:space="preserve"> $A250 = "begin group"</formula>
    </cfRule>
  </conditionalFormatting>
  <conditionalFormatting sqref="K250:K272">
    <cfRule type="expression" dxfId="3745" priority="7338">
      <formula>AND($J250 = "section",$A250 = "end group")</formula>
    </cfRule>
    <cfRule type="expression" dxfId="3744" priority="7337">
      <formula>AND($J250="section",$A250="begin group")</formula>
    </cfRule>
  </conditionalFormatting>
  <conditionalFormatting sqref="K269:K272">
    <cfRule type="expression" dxfId="3743" priority="7340">
      <formula xml:space="preserve"> AND($J269="gg",$A269 = "end group")</formula>
    </cfRule>
    <cfRule type="expression" dxfId="3742" priority="7339">
      <formula xml:space="preserve"> $A269 = "begin group"</formula>
    </cfRule>
    <cfRule type="expression" dxfId="3741" priority="7336">
      <formula>$A269="calculate"</formula>
    </cfRule>
  </conditionalFormatting>
  <conditionalFormatting sqref="K273">
    <cfRule type="expression" dxfId="3740" priority="7402">
      <formula xml:space="preserve"> $A273 = "begin group"</formula>
    </cfRule>
  </conditionalFormatting>
  <conditionalFormatting sqref="K278:K280 F308:F314 H308:H314">
    <cfRule type="expression" dxfId="3739" priority="7269">
      <formula>$A278 = "begin repeat"</formula>
    </cfRule>
    <cfRule type="expression" dxfId="3738" priority="7270">
      <formula xml:space="preserve"> $A315 = "end repeat"</formula>
    </cfRule>
    <cfRule type="expression" dxfId="3737" priority="7268">
      <formula>AND($U$1="disabled",$U278="yes")</formula>
    </cfRule>
  </conditionalFormatting>
  <conditionalFormatting sqref="K278:K305 K312:K314">
    <cfRule type="expression" dxfId="3736" priority="7446">
      <formula>AND($J278="section",$A278="begin group")</formula>
    </cfRule>
    <cfRule type="expression" dxfId="3735" priority="7447">
      <formula>AND($J278 = "section",$A278 = "end group")</formula>
    </cfRule>
    <cfRule type="expression" dxfId="3734" priority="7448">
      <formula xml:space="preserve"> $A278 = "begin group"</formula>
    </cfRule>
    <cfRule type="expression" dxfId="3733" priority="7449">
      <formula xml:space="preserve"> AND($J278="gg",$A278 = "end group")</formula>
    </cfRule>
    <cfRule type="expression" dxfId="3732" priority="7450">
      <formula>$A278="calculate"</formula>
    </cfRule>
  </conditionalFormatting>
  <conditionalFormatting sqref="K281:K286">
    <cfRule type="expression" dxfId="3731" priority="7179">
      <formula xml:space="preserve"> $A346 = "end repeat"</formula>
    </cfRule>
    <cfRule type="expression" dxfId="3730" priority="7177">
      <formula>AND($U$1="disabled",$U281="yes")</formula>
    </cfRule>
    <cfRule type="expression" dxfId="3729" priority="7178">
      <formula>$A281 = "begin repeat"</formula>
    </cfRule>
  </conditionalFormatting>
  <conditionalFormatting sqref="K306:K308">
    <cfRule type="expression" dxfId="3728" priority="7228">
      <formula xml:space="preserve"> AND($J306="gg",$A306 = "end group")</formula>
    </cfRule>
    <cfRule type="expression" dxfId="3727" priority="7227">
      <formula xml:space="preserve"> $A306 = "begin group"</formula>
    </cfRule>
    <cfRule type="expression" dxfId="3726" priority="7229">
      <formula>$A306="calculate"</formula>
    </cfRule>
  </conditionalFormatting>
  <conditionalFormatting sqref="K309:K311">
    <cfRule type="expression" dxfId="3725" priority="7251">
      <formula>$A309="calculate"</formula>
    </cfRule>
  </conditionalFormatting>
  <conditionalFormatting sqref="K318:K320">
    <cfRule type="expression" dxfId="3724" priority="7419">
      <formula xml:space="preserve"> $A356 = "end repeat"</formula>
    </cfRule>
    <cfRule type="expression" dxfId="3723" priority="7417">
      <formula>AND($U$1="disabled",$U318="yes")</formula>
    </cfRule>
    <cfRule type="expression" dxfId="3722" priority="7418">
      <formula>$A318 = "begin repeat"</formula>
    </cfRule>
  </conditionalFormatting>
  <conditionalFormatting sqref="K323 F323 H323">
    <cfRule type="expression" dxfId="3721" priority="7008">
      <formula>$A323="calculate"</formula>
    </cfRule>
  </conditionalFormatting>
  <conditionalFormatting sqref="K326">
    <cfRule type="expression" dxfId="3720" priority="6958">
      <formula xml:space="preserve"> $A393 = "end repeat"</formula>
    </cfRule>
    <cfRule type="expression" dxfId="3719" priority="6957">
      <formula>$A326 = "begin repeat"</formula>
    </cfRule>
    <cfRule type="expression" dxfId="3718" priority="6956">
      <formula>AND($U$1="disabled",$U326="yes")</formula>
    </cfRule>
  </conditionalFormatting>
  <conditionalFormatting sqref="K340 F340 H340">
    <cfRule type="expression" dxfId="3717" priority="7083">
      <formula>$A340="calculate"</formula>
    </cfRule>
  </conditionalFormatting>
  <conditionalFormatting sqref="K341 F341 H341">
    <cfRule type="expression" dxfId="3716" priority="7063">
      <formula>$A341="calculate"</formula>
    </cfRule>
  </conditionalFormatting>
  <conditionalFormatting sqref="K342:K344 F342:F344 H342:H344">
    <cfRule type="expression" dxfId="3715" priority="7046">
      <formula>$A342="calculate"</formula>
    </cfRule>
  </conditionalFormatting>
  <conditionalFormatting sqref="K344 K321:K323 K341">
    <cfRule type="expression" dxfId="3714" priority="7198">
      <formula>AND($U$1="disabled",$U321="yes")</formula>
    </cfRule>
    <cfRule type="expression" dxfId="3713" priority="7199">
      <formula>$A321 = "begin repeat"</formula>
    </cfRule>
    <cfRule type="expression" dxfId="3712" priority="7200">
      <formula xml:space="preserve"> $A390 = "end repeat"</formula>
    </cfRule>
  </conditionalFormatting>
  <conditionalFormatting sqref="K345">
    <cfRule type="expression" dxfId="3711" priority="7431">
      <formula xml:space="preserve"> #REF! = "appearance"</formula>
    </cfRule>
  </conditionalFormatting>
  <conditionalFormatting sqref="K352 I352">
    <cfRule type="expression" dxfId="3710" priority="7026">
      <formula>$A352="calculate"</formula>
    </cfRule>
  </conditionalFormatting>
  <conditionalFormatting sqref="K354 I354">
    <cfRule type="expression" dxfId="3709" priority="6941">
      <formula xml:space="preserve"> $A354 = "begin group"</formula>
    </cfRule>
    <cfRule type="expression" dxfId="3708" priority="6942">
      <formula xml:space="preserve"> AND($J354="gg",$A354 = "end group")</formula>
    </cfRule>
  </conditionalFormatting>
  <conditionalFormatting sqref="K361:K366 K426:K431 K491:K494 K537:K539 K554:K557">
    <cfRule type="expression" dxfId="3707" priority="6758">
      <formula>AND($U$1="disabled",$U361="yes")</formula>
    </cfRule>
    <cfRule type="expression" dxfId="3706" priority="6759">
      <formula>$A361 = "begin repeat"</formula>
    </cfRule>
    <cfRule type="expression" dxfId="3705" priority="6760">
      <formula xml:space="preserve"> $A386 = "end repeat"</formula>
    </cfRule>
  </conditionalFormatting>
  <conditionalFormatting sqref="K361:K369">
    <cfRule type="expression" dxfId="3704" priority="6493">
      <formula>$A361="calculate"</formula>
    </cfRule>
    <cfRule type="expression" dxfId="3703" priority="6491">
      <formula xml:space="preserve"> $A361 = "begin group"</formula>
    </cfRule>
    <cfRule type="expression" dxfId="3702" priority="6492">
      <formula xml:space="preserve"> AND($J361="gg",$A361 = "end group")</formula>
    </cfRule>
  </conditionalFormatting>
  <conditionalFormatting sqref="K361:K392">
    <cfRule type="expression" dxfId="3701" priority="6359">
      <formula>AND($J361 = "section",$A361 = "end group")</formula>
    </cfRule>
    <cfRule type="expression" dxfId="3700" priority="6358">
      <formula>AND($J361="section",$A361="begin group")</formula>
    </cfRule>
  </conditionalFormatting>
  <conditionalFormatting sqref="K369 K434">
    <cfRule type="expression" dxfId="3699" priority="6767">
      <formula>AND($U$1="disabled",$U369="yes")</formula>
    </cfRule>
    <cfRule type="expression" dxfId="3698" priority="6768">
      <formula>$A369 = "begin repeat"</formula>
    </cfRule>
    <cfRule type="expression" dxfId="3697" priority="6769">
      <formula xml:space="preserve"> $A391 = "end repeat"</formula>
    </cfRule>
  </conditionalFormatting>
  <conditionalFormatting sqref="K370:K391">
    <cfRule type="expression" dxfId="3696" priority="6488">
      <formula>$A370="calculate"</formula>
    </cfRule>
    <cfRule type="expression" dxfId="3695" priority="6486">
      <formula xml:space="preserve"> $A370 = "begin group"</formula>
    </cfRule>
    <cfRule type="expression" dxfId="3694" priority="6487">
      <formula xml:space="preserve"> AND($J370="gg",$A370 = "end group")</formula>
    </cfRule>
  </conditionalFormatting>
  <conditionalFormatting sqref="K392">
    <cfRule type="expression" dxfId="3693" priority="6360">
      <formula xml:space="preserve"> $A392 = "begin group"</formula>
    </cfRule>
    <cfRule type="expression" dxfId="3692" priority="6361">
      <formula xml:space="preserve"> AND($J392="gg",$A392 = "end group")</formula>
    </cfRule>
    <cfRule type="expression" dxfId="3691" priority="6362">
      <formula>$A392="calculate"</formula>
    </cfRule>
  </conditionalFormatting>
  <conditionalFormatting sqref="K394 F394 H394">
    <cfRule type="expression" dxfId="3690" priority="5759">
      <formula>$A394="calculate"</formula>
    </cfRule>
  </conditionalFormatting>
  <conditionalFormatting sqref="K395 F395 H395">
    <cfRule type="expression" dxfId="3689" priority="5738">
      <formula>$A395="calculate"</formula>
    </cfRule>
  </conditionalFormatting>
  <conditionalFormatting sqref="K396">
    <cfRule type="expression" dxfId="3688" priority="5974">
      <formula>$A396="calculate"</formula>
    </cfRule>
    <cfRule type="expression" dxfId="3687" priority="5972">
      <formula xml:space="preserve"> $A396 = "begin group"</formula>
    </cfRule>
    <cfRule type="expression" dxfId="3686" priority="5973">
      <formula xml:space="preserve"> AND($J396="gg",$A396 = "end group")</formula>
    </cfRule>
  </conditionalFormatting>
  <conditionalFormatting sqref="K397">
    <cfRule type="expression" dxfId="3685" priority="5702">
      <formula xml:space="preserve"> AND($J397="gg",$A397 = "end group")</formula>
    </cfRule>
    <cfRule type="expression" dxfId="3684" priority="5701">
      <formula xml:space="preserve"> $A397 = "begin group"</formula>
    </cfRule>
    <cfRule type="expression" dxfId="3683" priority="5703">
      <formula>$A397="calculate"</formula>
    </cfRule>
  </conditionalFormatting>
  <conditionalFormatting sqref="K398">
    <cfRule type="expression" dxfId="3682" priority="6304">
      <formula xml:space="preserve"> $A398 = "begin group"</formula>
    </cfRule>
    <cfRule type="expression" dxfId="3681" priority="6306">
      <formula>$A398="calculate"</formula>
    </cfRule>
    <cfRule type="expression" dxfId="3680" priority="6305">
      <formula xml:space="preserve"> AND($J398="gg",$A398 = "end group")</formula>
    </cfRule>
  </conditionalFormatting>
  <conditionalFormatting sqref="K399">
    <cfRule type="expression" dxfId="3679" priority="6274">
      <formula xml:space="preserve"> AND($J399="gg",$A399 = "end group")</formula>
    </cfRule>
    <cfRule type="expression" dxfId="3678" priority="6275">
      <formula>$A399="calculate"</formula>
    </cfRule>
    <cfRule type="expression" dxfId="3677" priority="6273">
      <formula xml:space="preserve"> $A399 = "begin group"</formula>
    </cfRule>
  </conditionalFormatting>
  <conditionalFormatting sqref="K400">
    <cfRule type="expression" dxfId="3676" priority="6244">
      <formula>$A400="calculate"</formula>
    </cfRule>
    <cfRule type="expression" dxfId="3675" priority="6243">
      <formula xml:space="preserve"> AND($J400="gg",$A400 = "end group")</formula>
    </cfRule>
    <cfRule type="expression" dxfId="3674" priority="6242">
      <formula xml:space="preserve"> $A400 = "begin group"</formula>
    </cfRule>
  </conditionalFormatting>
  <conditionalFormatting sqref="K401">
    <cfRule type="expression" dxfId="3673" priority="3430">
      <formula>$A401="calculate"</formula>
    </cfRule>
    <cfRule type="expression" dxfId="3672" priority="3429">
      <formula xml:space="preserve"> AND($J401="gg",$A401 = "end group")</formula>
    </cfRule>
    <cfRule type="expression" dxfId="3671" priority="3428">
      <formula xml:space="preserve"> $A401 = "begin group"</formula>
    </cfRule>
  </conditionalFormatting>
  <conditionalFormatting sqref="K402">
    <cfRule type="expression" dxfId="3670" priority="3396">
      <formula>$A402="calculate"</formula>
    </cfRule>
    <cfRule type="expression" dxfId="3669" priority="3394">
      <formula xml:space="preserve"> $A402 = "begin group"</formula>
    </cfRule>
    <cfRule type="expression" dxfId="3668" priority="3395">
      <formula xml:space="preserve"> AND($J402="gg",$A402 = "end group")</formula>
    </cfRule>
  </conditionalFormatting>
  <conditionalFormatting sqref="K403">
    <cfRule type="expression" dxfId="3667" priority="5939">
      <formula xml:space="preserve"> AND($J403="gg",$A403 = "end group")</formula>
    </cfRule>
    <cfRule type="expression" dxfId="3666" priority="5940">
      <formula>$A403="calculate"</formula>
    </cfRule>
    <cfRule type="expression" dxfId="3665" priority="5938">
      <formula xml:space="preserve"> $A403 = "begin group"</formula>
    </cfRule>
  </conditionalFormatting>
  <conditionalFormatting sqref="K404">
    <cfRule type="expression" dxfId="3664" priority="5778">
      <formula xml:space="preserve"> AND($J404="gg",$A404 = "end group")</formula>
    </cfRule>
    <cfRule type="expression" dxfId="3663" priority="5779">
      <formula>$A404="calculate"</formula>
    </cfRule>
    <cfRule type="expression" dxfId="3662" priority="5777">
      <formula xml:space="preserve"> $A404 = "begin group"</formula>
    </cfRule>
  </conditionalFormatting>
  <conditionalFormatting sqref="K404:K407 K469:K472 A475:A478 K483:K485 K418:K420">
    <cfRule type="expression" dxfId="3661" priority="6547">
      <formula>$A404 = "begin repeat"</formula>
    </cfRule>
    <cfRule type="expression" dxfId="3660" priority="6546">
      <formula>AND($U$1="disabled",$U404="yes")</formula>
    </cfRule>
    <cfRule type="expression" dxfId="3659" priority="6548">
      <formula xml:space="preserve"> $A448 = "end repeat"</formula>
    </cfRule>
  </conditionalFormatting>
  <conditionalFormatting sqref="K405">
    <cfRule type="expression" dxfId="3658" priority="6213">
      <formula>$A405="calculate"</formula>
    </cfRule>
    <cfRule type="expression" dxfId="3657" priority="6211">
      <formula xml:space="preserve"> $A405 = "begin group"</formula>
    </cfRule>
    <cfRule type="expression" dxfId="3656" priority="6212">
      <formula xml:space="preserve"> AND($J405="gg",$A405 = "end group")</formula>
    </cfRule>
  </conditionalFormatting>
  <conditionalFormatting sqref="K406">
    <cfRule type="expression" dxfId="3655" priority="6182">
      <formula>$A406="calculate"</formula>
    </cfRule>
    <cfRule type="expression" dxfId="3654" priority="6181">
      <formula xml:space="preserve"> AND($J406="gg",$A406 = "end group")</formula>
    </cfRule>
    <cfRule type="expression" dxfId="3653" priority="6180">
      <formula xml:space="preserve"> $A406 = "begin group"</formula>
    </cfRule>
  </conditionalFormatting>
  <conditionalFormatting sqref="K407">
    <cfRule type="expression" dxfId="3652" priority="5909">
      <formula>$A407="calculate"</formula>
    </cfRule>
    <cfRule type="expression" dxfId="3651" priority="5908">
      <formula xml:space="preserve"> AND($J407="gg",$A407 = "end group")</formula>
    </cfRule>
    <cfRule type="expression" dxfId="3650" priority="5907">
      <formula xml:space="preserve"> $A407 = "begin group"</formula>
    </cfRule>
  </conditionalFormatting>
  <conditionalFormatting sqref="K408">
    <cfRule type="expression" dxfId="3649" priority="5808">
      <formula xml:space="preserve"> $A408 = "begin group"</formula>
    </cfRule>
    <cfRule type="expression" dxfId="3648" priority="5809">
      <formula xml:space="preserve"> AND($J408="gg",$A408 = "end group")</formula>
    </cfRule>
    <cfRule type="expression" dxfId="3647" priority="5810">
      <formula>$A408="calculate"</formula>
    </cfRule>
  </conditionalFormatting>
  <conditionalFormatting sqref="K408:K409 K473:K474 K546:K548">
    <cfRule type="expression" dxfId="3646" priority="4372">
      <formula>$A408 = "begin repeat"</formula>
    </cfRule>
    <cfRule type="expression" dxfId="3645" priority="4371">
      <formula>AND($U$1="disabled",$U408="yes")</formula>
    </cfRule>
    <cfRule type="expression" dxfId="3644" priority="4373">
      <formula xml:space="preserve"> $A451 = "end repeat"</formula>
    </cfRule>
  </conditionalFormatting>
  <conditionalFormatting sqref="K409">
    <cfRule type="expression" dxfId="3643" priority="5878">
      <formula>$A409="calculate"</formula>
    </cfRule>
    <cfRule type="expression" dxfId="3642" priority="5877">
      <formula xml:space="preserve"> AND($J409="gg",$A409 = "end group")</formula>
    </cfRule>
    <cfRule type="expression" dxfId="3641" priority="5876">
      <formula xml:space="preserve"> $A409 = "begin group"</formula>
    </cfRule>
  </conditionalFormatting>
  <conditionalFormatting sqref="K410">
    <cfRule type="expression" dxfId="3640" priority="6140">
      <formula xml:space="preserve"> $A410 = "begin group"</formula>
    </cfRule>
    <cfRule type="expression" dxfId="3639" priority="6142">
      <formula>$A410="calculate"</formula>
    </cfRule>
    <cfRule type="expression" dxfId="3638" priority="6141">
      <formula xml:space="preserve"> AND($J410="gg",$A410 = "end group")</formula>
    </cfRule>
  </conditionalFormatting>
  <conditionalFormatting sqref="K411">
    <cfRule type="expression" dxfId="3637" priority="6110">
      <formula xml:space="preserve"> AND($J411="gg",$A411 = "end group")</formula>
    </cfRule>
    <cfRule type="expression" dxfId="3636" priority="6109">
      <formula xml:space="preserve"> $A411 = "begin group"</formula>
    </cfRule>
    <cfRule type="expression" dxfId="3635" priority="6111">
      <formula>$A411="calculate"</formula>
    </cfRule>
  </conditionalFormatting>
  <conditionalFormatting sqref="K412">
    <cfRule type="expression" dxfId="3634" priority="5845">
      <formula xml:space="preserve"> $A412 = "begin group"</formula>
    </cfRule>
    <cfRule type="expression" dxfId="3633" priority="5847">
      <formula>$A412="calculate"</formula>
    </cfRule>
    <cfRule type="expression" dxfId="3632" priority="5846">
      <formula xml:space="preserve"> AND($J412="gg",$A412 = "end group")</formula>
    </cfRule>
  </conditionalFormatting>
  <conditionalFormatting sqref="K413">
    <cfRule type="expression" dxfId="3631" priority="5669">
      <formula>$A413="calculate"</formula>
    </cfRule>
    <cfRule type="expression" dxfId="3630" priority="5668">
      <formula xml:space="preserve"> AND($J413="gg",$A413 = "end group")</formula>
    </cfRule>
    <cfRule type="expression" dxfId="3629" priority="5667">
      <formula xml:space="preserve"> $A413 = "begin group"</formula>
    </cfRule>
  </conditionalFormatting>
  <conditionalFormatting sqref="K414">
    <cfRule type="expression" dxfId="3628" priority="6079">
      <formula xml:space="preserve"> AND($J414="gg",$A414 = "end group")</formula>
    </cfRule>
    <cfRule type="expression" dxfId="3627" priority="6080">
      <formula>$A414="calculate"</formula>
    </cfRule>
    <cfRule type="expression" dxfId="3626" priority="6078">
      <formula xml:space="preserve"> $A414 = "begin group"</formula>
    </cfRule>
  </conditionalFormatting>
  <conditionalFormatting sqref="K415">
    <cfRule type="expression" dxfId="3625" priority="6048">
      <formula xml:space="preserve"> AND($J415="gg",$A415 = "end group")</formula>
    </cfRule>
    <cfRule type="expression" dxfId="3624" priority="6047">
      <formula xml:space="preserve"> $A415 = "begin group"</formula>
    </cfRule>
    <cfRule type="expression" dxfId="3623" priority="6049">
      <formula>$A415="calculate"</formula>
    </cfRule>
  </conditionalFormatting>
  <conditionalFormatting sqref="K416">
    <cfRule type="expression" dxfId="3622" priority="3357">
      <formula xml:space="preserve"> $A416 = "begin group"</formula>
    </cfRule>
    <cfRule type="expression" dxfId="3621" priority="3358">
      <formula xml:space="preserve"> AND($J416="gg",$A416 = "end group")</formula>
    </cfRule>
    <cfRule type="expression" dxfId="3620" priority="3359">
      <formula>$A416="calculate"</formula>
    </cfRule>
  </conditionalFormatting>
  <conditionalFormatting sqref="K417">
    <cfRule type="expression" dxfId="3619" priority="3238">
      <formula xml:space="preserve"> AND($J417="gg",$A417 = "end group")</formula>
    </cfRule>
    <cfRule type="expression" dxfId="3618" priority="3237">
      <formula xml:space="preserve"> $A417 = "begin group"</formula>
    </cfRule>
    <cfRule type="expression" dxfId="3617" priority="3239">
      <formula>$A417="calculate"</formula>
    </cfRule>
  </conditionalFormatting>
  <conditionalFormatting sqref="K418">
    <cfRule type="expression" dxfId="3616" priority="3208">
      <formula>$A418="calculate"</formula>
    </cfRule>
    <cfRule type="expression" dxfId="3615" priority="3207">
      <formula xml:space="preserve"> AND($J418="gg",$A418 = "end group")</formula>
    </cfRule>
    <cfRule type="expression" dxfId="3614" priority="3206">
      <formula xml:space="preserve"> $A418 = "begin group"</formula>
    </cfRule>
  </conditionalFormatting>
  <conditionalFormatting sqref="K419">
    <cfRule type="expression" dxfId="3613" priority="3301">
      <formula>$A419="calculate"</formula>
    </cfRule>
    <cfRule type="expression" dxfId="3612" priority="3299">
      <formula xml:space="preserve"> $A419 = "begin group"</formula>
    </cfRule>
    <cfRule type="expression" dxfId="3611" priority="3300">
      <formula xml:space="preserve"> AND($J419="gg",$A419 = "end group")</formula>
    </cfRule>
  </conditionalFormatting>
  <conditionalFormatting sqref="K420">
    <cfRule type="expression" dxfId="3610" priority="3269">
      <formula xml:space="preserve"> AND($J420="gg",$A420 = "end group")</formula>
    </cfRule>
    <cfRule type="expression" dxfId="3609" priority="3270">
      <formula>$A420="calculate"</formula>
    </cfRule>
    <cfRule type="expression" dxfId="3608" priority="3268">
      <formula xml:space="preserve"> $A420 = "begin group"</formula>
    </cfRule>
  </conditionalFormatting>
  <conditionalFormatting sqref="K421:K425 I372:I373 I360 I437 I425 I496:I503 H557:I558 I378:I379 I384:I385 H421:I424 I448 H486:I489 I390:I391 I454:I456 I490:I494 I509:I521 K393 F393 H393 K486:K490 H528:I528 K528 F528 H358:I359 K358:K360">
    <cfRule type="expression" dxfId="3607" priority="6856">
      <formula>$A358="calculate"</formula>
    </cfRule>
  </conditionalFormatting>
  <conditionalFormatting sqref="K426:K456">
    <cfRule type="expression" dxfId="3606" priority="6481">
      <formula xml:space="preserve"> $A426 = "begin group"</formula>
    </cfRule>
    <cfRule type="expression" dxfId="3605" priority="6482">
      <formula xml:space="preserve"> AND($J426="gg",$A426 = "end group")</formula>
    </cfRule>
    <cfRule type="expression" dxfId="3604" priority="6483">
      <formula>$A426="calculate"</formula>
    </cfRule>
  </conditionalFormatting>
  <conditionalFormatting sqref="K426:K457">
    <cfRule type="expression" dxfId="3603" priority="6334">
      <formula>AND($J426 = "section",$A426 = "end group")</formula>
    </cfRule>
    <cfRule type="expression" dxfId="3602" priority="6333">
      <formula>AND($J426="section",$A426="begin group")</formula>
    </cfRule>
  </conditionalFormatting>
  <conditionalFormatting sqref="K432 K367 L392 K435:K441 K444:K454 M381:W382 K370:K376 K379:K385 K388:K391">
    <cfRule type="expression" dxfId="3601" priority="6692">
      <formula xml:space="preserve"> $A421 = "end repeat"</formula>
    </cfRule>
    <cfRule type="expression" dxfId="3600" priority="6690">
      <formula>AND($U$1="disabled",$U367="yes")</formula>
    </cfRule>
    <cfRule type="expression" dxfId="3599" priority="6691">
      <formula>$A367 = "begin repeat"</formula>
    </cfRule>
  </conditionalFormatting>
  <conditionalFormatting sqref="K443 K456 K387 K378 K481 K416 L469:L471 L483:L485 L404:L406 L418:L420 K463:K467 K398:K402">
    <cfRule type="expression" dxfId="3598" priority="6757">
      <formula xml:space="preserve"> $A429 = "end repeat"</formula>
    </cfRule>
    <cfRule type="expression" dxfId="3597" priority="6756">
      <formula>$A378 = "begin repeat"</formula>
    </cfRule>
    <cfRule type="expression" dxfId="3596" priority="6755">
      <formula>AND($U$1="disabled",$U378="yes")</formula>
    </cfRule>
  </conditionalFormatting>
  <conditionalFormatting sqref="K455 K442 K433 K386 K377 K368 K393:K395 K458:K460">
    <cfRule type="expression" dxfId="3595" priority="6032">
      <formula>AND($U$1="disabled",$U368="yes")</formula>
    </cfRule>
    <cfRule type="expression" dxfId="3594" priority="6034">
      <formula xml:space="preserve"> $A421 = "end repeat"</formula>
    </cfRule>
    <cfRule type="expression" dxfId="3593" priority="6033">
      <formula>$A368 = "begin repeat"</formula>
    </cfRule>
  </conditionalFormatting>
  <conditionalFormatting sqref="K457 J481 J416 B481 B416 J463:J467 B463:B467 J398:J402 B398:B402">
    <cfRule type="expression" dxfId="3592" priority="6748">
      <formula xml:space="preserve"> $A453 = "end repeat"</formula>
    </cfRule>
    <cfRule type="expression" dxfId="3591" priority="6747">
      <formula>$A398 = "begin repeat"</formula>
    </cfRule>
    <cfRule type="expression" dxfId="3590" priority="6746">
      <formula>AND($U$1="disabled",$U398="yes")</formula>
    </cfRule>
  </conditionalFormatting>
  <conditionalFormatting sqref="K457">
    <cfRule type="expression" dxfId="3589" priority="6336">
      <formula xml:space="preserve"> AND($J457="gg",$A457 = "end group")</formula>
    </cfRule>
    <cfRule type="expression" dxfId="3588" priority="6335">
      <formula xml:space="preserve"> $A457 = "begin group"</formula>
    </cfRule>
    <cfRule type="expression" dxfId="3587" priority="6337">
      <formula>$A457="calculate"</formula>
    </cfRule>
  </conditionalFormatting>
  <conditionalFormatting sqref="K458 F458 H458">
    <cfRule type="expression" dxfId="3586" priority="5631">
      <formula>$A458="calculate"</formula>
    </cfRule>
  </conditionalFormatting>
  <conditionalFormatting sqref="K459 F459 H459">
    <cfRule type="expression" dxfId="3585" priority="5114">
      <formula>$A459="calculate"</formula>
    </cfRule>
  </conditionalFormatting>
  <conditionalFormatting sqref="K460 F460 H460">
    <cfRule type="expression" dxfId="3584" priority="5093">
      <formula>$A460="calculate"</formula>
    </cfRule>
  </conditionalFormatting>
  <conditionalFormatting sqref="K461">
    <cfRule type="expression" dxfId="3583" priority="5318">
      <formula xml:space="preserve"> $A461 = "begin group"</formula>
    </cfRule>
    <cfRule type="expression" dxfId="3582" priority="5320">
      <formula>$A461="calculate"</formula>
    </cfRule>
    <cfRule type="expression" dxfId="3581" priority="5319">
      <formula xml:space="preserve"> AND($J461="gg",$A461 = "end group")</formula>
    </cfRule>
  </conditionalFormatting>
  <conditionalFormatting sqref="K462">
    <cfRule type="expression" dxfId="3580" priority="5060">
      <formula xml:space="preserve"> AND($J462="gg",$A462 = "end group")</formula>
    </cfRule>
    <cfRule type="expression" dxfId="3579" priority="5059">
      <formula xml:space="preserve"> $A462 = "begin group"</formula>
    </cfRule>
    <cfRule type="expression" dxfId="3578" priority="5061">
      <formula>$A462="calculate"</formula>
    </cfRule>
  </conditionalFormatting>
  <conditionalFormatting sqref="K463">
    <cfRule type="expression" dxfId="3577" priority="5598">
      <formula xml:space="preserve"> AND($J463="gg",$A463 = "end group")</formula>
    </cfRule>
    <cfRule type="expression" dxfId="3576" priority="5597">
      <formula xml:space="preserve"> $A463 = "begin group"</formula>
    </cfRule>
    <cfRule type="expression" dxfId="3575" priority="5599">
      <formula>$A463="calculate"</formula>
    </cfRule>
  </conditionalFormatting>
  <conditionalFormatting sqref="K464">
    <cfRule type="expression" dxfId="3574" priority="5568">
      <formula>$A464="calculate"</formula>
    </cfRule>
    <cfRule type="expression" dxfId="3573" priority="5567">
      <formula xml:space="preserve"> AND($J464="gg",$A464 = "end group")</formula>
    </cfRule>
    <cfRule type="expression" dxfId="3572" priority="5566">
      <formula xml:space="preserve"> $A464 = "begin group"</formula>
    </cfRule>
  </conditionalFormatting>
  <conditionalFormatting sqref="K465">
    <cfRule type="expression" dxfId="3571" priority="5535">
      <formula xml:space="preserve"> $A465 = "begin group"</formula>
    </cfRule>
    <cfRule type="expression" dxfId="3570" priority="5537">
      <formula>$A465="calculate"</formula>
    </cfRule>
    <cfRule type="expression" dxfId="3569" priority="5536">
      <formula xml:space="preserve"> AND($J465="gg",$A465 = "end group")</formula>
    </cfRule>
  </conditionalFormatting>
  <conditionalFormatting sqref="K466">
    <cfRule type="expression" dxfId="3568" priority="3714">
      <formula xml:space="preserve"> $A466 = "begin group"</formula>
    </cfRule>
    <cfRule type="expression" dxfId="3567" priority="3715">
      <formula xml:space="preserve"> AND($J466="gg",$A466 = "end group")</formula>
    </cfRule>
    <cfRule type="expression" dxfId="3566" priority="3716">
      <formula>$A466="calculate"</formula>
    </cfRule>
  </conditionalFormatting>
  <conditionalFormatting sqref="K467">
    <cfRule type="expression" dxfId="3565" priority="3678">
      <formula>$A467="calculate"</formula>
    </cfRule>
    <cfRule type="expression" dxfId="3564" priority="3677">
      <formula xml:space="preserve"> AND($J467="gg",$A467 = "end group")</formula>
    </cfRule>
    <cfRule type="expression" dxfId="3563" priority="3676">
      <formula xml:space="preserve"> $A467 = "begin group"</formula>
    </cfRule>
  </conditionalFormatting>
  <conditionalFormatting sqref="K468">
    <cfRule type="expression" dxfId="3562" priority="5287">
      <formula xml:space="preserve"> $A468 = "begin group"</formula>
    </cfRule>
    <cfRule type="expression" dxfId="3561" priority="5288">
      <formula xml:space="preserve"> AND($J468="gg",$A468 = "end group")</formula>
    </cfRule>
    <cfRule type="expression" dxfId="3560" priority="5289">
      <formula>$A468="calculate"</formula>
    </cfRule>
  </conditionalFormatting>
  <conditionalFormatting sqref="K469">
    <cfRule type="expression" dxfId="3559" priority="5133">
      <formula xml:space="preserve"> AND($J469="gg",$A469 = "end group")</formula>
    </cfRule>
    <cfRule type="expression" dxfId="3558" priority="5132">
      <formula xml:space="preserve"> $A469 = "begin group"</formula>
    </cfRule>
    <cfRule type="expression" dxfId="3557" priority="5134">
      <formula>$A469="calculate"</formula>
    </cfRule>
  </conditionalFormatting>
  <conditionalFormatting sqref="K470">
    <cfRule type="expression" dxfId="3556" priority="5506">
      <formula>$A470="calculate"</formula>
    </cfRule>
    <cfRule type="expression" dxfId="3555" priority="5505">
      <formula xml:space="preserve"> AND($J470="gg",$A470 = "end group")</formula>
    </cfRule>
    <cfRule type="expression" dxfId="3554" priority="5504">
      <formula xml:space="preserve"> $A470 = "begin group"</formula>
    </cfRule>
  </conditionalFormatting>
  <conditionalFormatting sqref="K471">
    <cfRule type="expression" dxfId="3553" priority="5473">
      <formula xml:space="preserve"> $A471 = "begin group"</formula>
    </cfRule>
    <cfRule type="expression" dxfId="3552" priority="5474">
      <formula xml:space="preserve"> AND($J471="gg",$A471 = "end group")</formula>
    </cfRule>
    <cfRule type="expression" dxfId="3551" priority="5475">
      <formula>$A471="calculate"</formula>
    </cfRule>
  </conditionalFormatting>
  <conditionalFormatting sqref="K472">
    <cfRule type="expression" dxfId="3550" priority="5258">
      <formula>$A472="calculate"</formula>
    </cfRule>
    <cfRule type="expression" dxfId="3549" priority="5256">
      <formula xml:space="preserve"> $A472 = "begin group"</formula>
    </cfRule>
    <cfRule type="expression" dxfId="3548" priority="5257">
      <formula xml:space="preserve"> AND($J472="gg",$A472 = "end group")</formula>
    </cfRule>
  </conditionalFormatting>
  <conditionalFormatting sqref="K473">
    <cfRule type="expression" dxfId="3547" priority="5165">
      <formula>$A473="calculate"</formula>
    </cfRule>
    <cfRule type="expression" dxfId="3546" priority="5164">
      <formula xml:space="preserve"> AND($J473="gg",$A473 = "end group")</formula>
    </cfRule>
    <cfRule type="expression" dxfId="3545" priority="5163">
      <formula xml:space="preserve"> $A473 = "begin group"</formula>
    </cfRule>
  </conditionalFormatting>
  <conditionalFormatting sqref="K474">
    <cfRule type="expression" dxfId="3544" priority="5225">
      <formula xml:space="preserve"> $A474 = "begin group"</formula>
    </cfRule>
    <cfRule type="expression" dxfId="3543" priority="5226">
      <formula xml:space="preserve"> AND($J474="gg",$A474 = "end group")</formula>
    </cfRule>
    <cfRule type="expression" dxfId="3542" priority="5227">
      <formula>$A474="calculate"</formula>
    </cfRule>
  </conditionalFormatting>
  <conditionalFormatting sqref="K475">
    <cfRule type="expression" dxfId="3541" priority="5444">
      <formula>$A475="calculate"</formula>
    </cfRule>
    <cfRule type="expression" dxfId="3540" priority="5443">
      <formula xml:space="preserve"> AND($J475="gg",$A475 = "end group")</formula>
    </cfRule>
    <cfRule type="expression" dxfId="3539" priority="5442">
      <formula xml:space="preserve"> $A475 = "begin group"</formula>
    </cfRule>
  </conditionalFormatting>
  <conditionalFormatting sqref="K476">
    <cfRule type="expression" dxfId="3538" priority="5411">
      <formula xml:space="preserve"> $A476 = "begin group"</formula>
    </cfRule>
    <cfRule type="expression" dxfId="3537" priority="5412">
      <formula xml:space="preserve"> AND($J476="gg",$A476 = "end group")</formula>
    </cfRule>
    <cfRule type="expression" dxfId="3536" priority="5413">
      <formula>$A476="calculate"</formula>
    </cfRule>
  </conditionalFormatting>
  <conditionalFormatting sqref="K477">
    <cfRule type="expression" dxfId="3535" priority="5195">
      <formula xml:space="preserve"> AND($J477="gg",$A477 = "end group")</formula>
    </cfRule>
    <cfRule type="expression" dxfId="3534" priority="5196">
      <formula>$A477="calculate"</formula>
    </cfRule>
    <cfRule type="expression" dxfId="3533" priority="5194">
      <formula xml:space="preserve"> $A477 = "begin group"</formula>
    </cfRule>
  </conditionalFormatting>
  <conditionalFormatting sqref="K478">
    <cfRule type="expression" dxfId="3532" priority="5029">
      <formula xml:space="preserve"> AND($J478="gg",$A478 = "end group")</formula>
    </cfRule>
    <cfRule type="expression" dxfId="3531" priority="5030">
      <formula>$A478="calculate"</formula>
    </cfRule>
    <cfRule type="expression" dxfId="3530" priority="5028">
      <formula xml:space="preserve"> $A478 = "begin group"</formula>
    </cfRule>
  </conditionalFormatting>
  <conditionalFormatting sqref="K478:K480">
    <cfRule type="expression" dxfId="3529" priority="4221">
      <formula xml:space="preserve"> $A571 = "end repeat"</formula>
    </cfRule>
    <cfRule type="expression" dxfId="3528" priority="4220">
      <formula>$A478 = "begin repeat"</formula>
    </cfRule>
    <cfRule type="expression" dxfId="3527" priority="4219">
      <formula>AND($U$1="disabled",$U478="yes")</formula>
    </cfRule>
  </conditionalFormatting>
  <conditionalFormatting sqref="K479">
    <cfRule type="expression" dxfId="3526" priority="5380">
      <formula xml:space="preserve"> $A479 = "begin group"</formula>
    </cfRule>
    <cfRule type="expression" dxfId="3525" priority="5382">
      <formula>$A479="calculate"</formula>
    </cfRule>
    <cfRule type="expression" dxfId="3524" priority="5381">
      <formula xml:space="preserve"> AND($J479="gg",$A479 = "end group")</formula>
    </cfRule>
  </conditionalFormatting>
  <conditionalFormatting sqref="K480">
    <cfRule type="expression" dxfId="3523" priority="5350">
      <formula xml:space="preserve"> AND($J480="gg",$A480 = "end group")</formula>
    </cfRule>
    <cfRule type="expression" dxfId="3522" priority="5349">
      <formula xml:space="preserve"> $A480 = "begin group"</formula>
    </cfRule>
    <cfRule type="expression" dxfId="3521" priority="5351">
      <formula>$A480="calculate"</formula>
    </cfRule>
  </conditionalFormatting>
  <conditionalFormatting sqref="K481">
    <cfRule type="expression" dxfId="3520" priority="3632">
      <formula xml:space="preserve"> $A481 = "begin group"</formula>
    </cfRule>
    <cfRule type="expression" dxfId="3519" priority="3633">
      <formula xml:space="preserve"> AND($J481="gg",$A481 = "end group")</formula>
    </cfRule>
    <cfRule type="expression" dxfId="3518" priority="3634">
      <formula>$A481="calculate"</formula>
    </cfRule>
  </conditionalFormatting>
  <conditionalFormatting sqref="K482">
    <cfRule type="expression" dxfId="3517" priority="3490">
      <formula xml:space="preserve"> $A482 = "begin group"</formula>
    </cfRule>
    <cfRule type="expression" dxfId="3516" priority="3492">
      <formula>$A482="calculate"</formula>
    </cfRule>
    <cfRule type="expression" dxfId="3515" priority="3491">
      <formula xml:space="preserve"> AND($J482="gg",$A482 = "end group")</formula>
    </cfRule>
  </conditionalFormatting>
  <conditionalFormatting sqref="K483">
    <cfRule type="expression" dxfId="3514" priority="3460">
      <formula xml:space="preserve"> AND($J483="gg",$A483 = "end group")</formula>
    </cfRule>
    <cfRule type="expression" dxfId="3513" priority="3461">
      <formula>$A483="calculate"</formula>
    </cfRule>
    <cfRule type="expression" dxfId="3512" priority="3459">
      <formula xml:space="preserve"> $A483 = "begin group"</formula>
    </cfRule>
  </conditionalFormatting>
  <conditionalFormatting sqref="K484">
    <cfRule type="expression" dxfId="3511" priority="3553">
      <formula xml:space="preserve"> AND($J484="gg",$A484 = "end group")</formula>
    </cfRule>
    <cfRule type="expression" dxfId="3510" priority="3552">
      <formula xml:space="preserve"> $A484 = "begin group"</formula>
    </cfRule>
    <cfRule type="expression" dxfId="3509" priority="3554">
      <formula>$A484="calculate"</formula>
    </cfRule>
  </conditionalFormatting>
  <conditionalFormatting sqref="K485">
    <cfRule type="expression" dxfId="3508" priority="3521">
      <formula xml:space="preserve"> $A485 = "begin group"</formula>
    </cfRule>
    <cfRule type="expression" dxfId="3507" priority="3522">
      <formula xml:space="preserve"> AND($J485="gg",$A485 = "end group")</formula>
    </cfRule>
    <cfRule type="expression" dxfId="3506" priority="3523">
      <formula>$A485="calculate"</formula>
    </cfRule>
  </conditionalFormatting>
  <conditionalFormatting sqref="K486:K521">
    <cfRule type="expression" dxfId="3505" priority="6474">
      <formula>AND($J486="section",$A486="begin group")</formula>
    </cfRule>
    <cfRule type="expression" dxfId="3504" priority="6475">
      <formula>AND($J486 = "section",$A486 = "end group")</formula>
    </cfRule>
  </conditionalFormatting>
  <conditionalFormatting sqref="K491:K521 K557:K558">
    <cfRule type="expression" dxfId="3503" priority="6478">
      <formula>$A491="calculate"</formula>
    </cfRule>
    <cfRule type="expression" dxfId="3502" priority="6477">
      <formula xml:space="preserve"> AND($J491="gg",$A491 = "end group")</formula>
    </cfRule>
    <cfRule type="expression" dxfId="3501" priority="6476">
      <formula xml:space="preserve"> $A491 = "begin group"</formula>
    </cfRule>
  </conditionalFormatting>
  <conditionalFormatting sqref="K507 K498 L504 D457 K522 L389:L391 L511:L513">
    <cfRule type="expression" dxfId="3500" priority="6538">
      <formula>AND($U$1="disabled",$U389="yes")</formula>
    </cfRule>
    <cfRule type="expression" dxfId="3499" priority="6539">
      <formula>$A389 = "begin repeat"</formula>
    </cfRule>
    <cfRule type="expression" dxfId="3498" priority="6540">
      <formula xml:space="preserve"> $A450 = "end repeat"</formula>
    </cfRule>
  </conditionalFormatting>
  <conditionalFormatting sqref="K522">
    <cfRule type="expression" dxfId="3497" priority="6010">
      <formula xml:space="preserve"> AND($J522="gg",$A522 = "end group")</formula>
    </cfRule>
    <cfRule type="expression" dxfId="3496" priority="6009">
      <formula xml:space="preserve"> $A522 = "begin group"</formula>
    </cfRule>
    <cfRule type="expression" dxfId="3495" priority="6007">
      <formula>AND($J522="section",$A522="begin group")</formula>
    </cfRule>
    <cfRule type="expression" dxfId="3494" priority="6011">
      <formula>$A522="calculate"</formula>
    </cfRule>
  </conditionalFormatting>
  <conditionalFormatting sqref="K523 F523 H523">
    <cfRule type="expression" dxfId="3493" priority="4648">
      <formula>$A523="calculate"</formula>
    </cfRule>
  </conditionalFormatting>
  <conditionalFormatting sqref="K524 F524 H524">
    <cfRule type="expression" dxfId="3492" priority="5010">
      <formula>$A524="calculate"</formula>
    </cfRule>
  </conditionalFormatting>
  <conditionalFormatting sqref="K525 F525 H525">
    <cfRule type="expression" dxfId="3491" priority="4730">
      <formula>$A525="calculate"</formula>
    </cfRule>
  </conditionalFormatting>
  <conditionalFormatting sqref="K526">
    <cfRule type="expression" dxfId="3490" priority="4673">
      <formula>$A526="calculate"</formula>
    </cfRule>
    <cfRule type="expression" dxfId="3489" priority="4672">
      <formula xml:space="preserve"> AND($J526="gg",$A526 = "end group")</formula>
    </cfRule>
    <cfRule type="expression" dxfId="3488" priority="4671">
      <formula xml:space="preserve"> $A526 = "begin group"</formula>
    </cfRule>
  </conditionalFormatting>
  <conditionalFormatting sqref="K527">
    <cfRule type="expression" dxfId="3487" priority="4619">
      <formula xml:space="preserve"> AND($J527="gg",$A527 = "end group")</formula>
    </cfRule>
    <cfRule type="expression" dxfId="3486" priority="4618">
      <formula xml:space="preserve"> $A527 = "begin group"</formula>
    </cfRule>
    <cfRule type="expression" dxfId="3485" priority="4620">
      <formula>$A527="calculate"</formula>
    </cfRule>
  </conditionalFormatting>
  <conditionalFormatting sqref="K529">
    <cfRule type="expression" dxfId="3484" priority="4981">
      <formula xml:space="preserve"> AND($J529="gg",$A529 = "end group")</formula>
    </cfRule>
    <cfRule type="expression" dxfId="3483" priority="4980">
      <formula xml:space="preserve"> $A529 = "begin group"</formula>
    </cfRule>
    <cfRule type="expression" dxfId="3482" priority="4982">
      <formula>$A529="calculate"</formula>
    </cfRule>
  </conditionalFormatting>
  <conditionalFormatting sqref="K530">
    <cfRule type="expression" dxfId="3481" priority="4953">
      <formula>$A530="calculate"</formula>
    </cfRule>
    <cfRule type="expression" dxfId="3480" priority="4952">
      <formula xml:space="preserve"> AND($J530="gg",$A530 = "end group")</formula>
    </cfRule>
    <cfRule type="expression" dxfId="3479" priority="4951">
      <formula xml:space="preserve"> $A530 = "begin group"</formula>
    </cfRule>
  </conditionalFormatting>
  <conditionalFormatting sqref="K531">
    <cfRule type="expression" dxfId="3478" priority="3818">
      <formula>$A531="calculate"</formula>
    </cfRule>
    <cfRule type="expression" dxfId="3477" priority="3817">
      <formula xml:space="preserve"> AND($J531="gg",$A531 = "end group")</formula>
    </cfRule>
    <cfRule type="expression" dxfId="3476" priority="3816">
      <formula xml:space="preserve"> $A531 = "begin group"</formula>
    </cfRule>
  </conditionalFormatting>
  <conditionalFormatting sqref="K532">
    <cfRule type="expression" dxfId="3475" priority="4590">
      <formula xml:space="preserve"> AND($J532="gg",$A532 = "end group")</formula>
    </cfRule>
    <cfRule type="expression" dxfId="3474" priority="4589">
      <formula xml:space="preserve"> $A532 = "begin group"</formula>
    </cfRule>
    <cfRule type="expression" dxfId="3473" priority="4591">
      <formula>$A532="calculate"</formula>
    </cfRule>
  </conditionalFormatting>
  <conditionalFormatting sqref="K533">
    <cfRule type="expression" dxfId="3472" priority="3754">
      <formula xml:space="preserve"> $A533 = "begin group"</formula>
    </cfRule>
    <cfRule type="expression" dxfId="3471" priority="3755">
      <formula xml:space="preserve"> AND($J533="gg",$A533 = "end group")</formula>
    </cfRule>
    <cfRule type="expression" dxfId="3470" priority="3756">
      <formula>$A533="calculate"</formula>
    </cfRule>
  </conditionalFormatting>
  <conditionalFormatting sqref="K534 K550:K551">
    <cfRule type="expression" dxfId="3469" priority="6770">
      <formula>AND($U$1="disabled",$U534="yes")</formula>
    </cfRule>
    <cfRule type="expression" dxfId="3468" priority="6771">
      <formula>$A534 = "begin repeat"</formula>
    </cfRule>
    <cfRule type="expression" dxfId="3467" priority="6772">
      <formula xml:space="preserve"> $A561 = "end repeat"</formula>
    </cfRule>
  </conditionalFormatting>
  <conditionalFormatting sqref="K534">
    <cfRule type="expression" dxfId="3466" priority="4808">
      <formula>$A534="calculate"</formula>
    </cfRule>
    <cfRule type="expression" dxfId="3465" priority="4807">
      <formula xml:space="preserve"> AND($J534="gg",$A534 = "end group")</formula>
    </cfRule>
    <cfRule type="expression" dxfId="3464" priority="4806">
      <formula xml:space="preserve"> $A534 = "begin group"</formula>
    </cfRule>
  </conditionalFormatting>
  <conditionalFormatting sqref="K535">
    <cfRule type="expression" dxfId="3463" priority="4750">
      <formula>$A535="calculate"</formula>
    </cfRule>
    <cfRule type="expression" dxfId="3462" priority="4749">
      <formula xml:space="preserve"> AND($J535="gg",$A535 = "end group")</formula>
    </cfRule>
    <cfRule type="expression" dxfId="3461" priority="4748">
      <formula xml:space="preserve"> $A535 = "begin group"</formula>
    </cfRule>
  </conditionalFormatting>
  <conditionalFormatting sqref="K535:K536 K552:K553">
    <cfRule type="expression" dxfId="3460" priority="6705">
      <formula>AND($U$1="disabled",$U535="yes")</formula>
    </cfRule>
    <cfRule type="expression" dxfId="3459" priority="6706">
      <formula>$A535 = "begin repeat"</formula>
    </cfRule>
    <cfRule type="expression" dxfId="3458" priority="6707">
      <formula xml:space="preserve"> $A561 = "end repeat"</formula>
    </cfRule>
  </conditionalFormatting>
  <conditionalFormatting sqref="K536">
    <cfRule type="expression" dxfId="3457" priority="4924">
      <formula>$A536="calculate"</formula>
    </cfRule>
    <cfRule type="expression" dxfId="3456" priority="4922">
      <formula xml:space="preserve"> $A536 = "begin group"</formula>
    </cfRule>
    <cfRule type="expression" dxfId="3455" priority="4923">
      <formula xml:space="preserve"> AND($J536="gg",$A536 = "end group")</formula>
    </cfRule>
  </conditionalFormatting>
  <conditionalFormatting sqref="K537">
    <cfRule type="expression" dxfId="3454" priority="4561">
      <formula xml:space="preserve"> AND($J537="gg",$A537 = "end group")</formula>
    </cfRule>
    <cfRule type="expression" dxfId="3453" priority="4562">
      <formula>$A537="calculate"</formula>
    </cfRule>
    <cfRule type="expression" dxfId="3452" priority="4560">
      <formula xml:space="preserve"> $A537 = "begin group"</formula>
    </cfRule>
  </conditionalFormatting>
  <conditionalFormatting sqref="K538">
    <cfRule type="expression" dxfId="3451" priority="4532">
      <formula xml:space="preserve"> AND($J538="gg",$A538 = "end group")</formula>
    </cfRule>
    <cfRule type="expression" dxfId="3450" priority="4531">
      <formula xml:space="preserve"> $A538 = "begin group"</formula>
    </cfRule>
    <cfRule type="expression" dxfId="3449" priority="4533">
      <formula>$A538="calculate"</formula>
    </cfRule>
  </conditionalFormatting>
  <conditionalFormatting sqref="K539">
    <cfRule type="expression" dxfId="3448" priority="4502">
      <formula xml:space="preserve"> $A539 = "begin group"</formula>
    </cfRule>
    <cfRule type="expression" dxfId="3447" priority="4503">
      <formula xml:space="preserve"> AND($J539="gg",$A539 = "end group")</formula>
    </cfRule>
    <cfRule type="expression" dxfId="3446" priority="4504">
      <formula>$A539="calculate"</formula>
    </cfRule>
  </conditionalFormatting>
  <conditionalFormatting sqref="K540">
    <cfRule type="expression" dxfId="3445" priority="4895">
      <formula>$A540="calculate"</formula>
    </cfRule>
    <cfRule type="expression" dxfId="3444" priority="4894">
      <formula xml:space="preserve"> AND($J540="gg",$A540 = "end group")</formula>
    </cfRule>
    <cfRule type="expression" dxfId="3443" priority="4893">
      <formula xml:space="preserve"> $A540 = "begin group"</formula>
    </cfRule>
  </conditionalFormatting>
  <conditionalFormatting sqref="K540:K541 I542:I543 D542:D543">
    <cfRule type="expression" dxfId="3442" priority="4051">
      <formula>$A540 = "begin repeat"</formula>
    </cfRule>
    <cfRule type="expression" dxfId="3441" priority="4052">
      <formula xml:space="preserve"> $A676 = "end repeat"</formula>
    </cfRule>
    <cfRule type="expression" dxfId="3440" priority="4050">
      <formula>AND($U$1="disabled",$U540="yes")</formula>
    </cfRule>
  </conditionalFormatting>
  <conditionalFormatting sqref="K541">
    <cfRule type="expression" dxfId="3439" priority="4865">
      <formula xml:space="preserve"> AND($J541="gg",$A541 = "end group")</formula>
    </cfRule>
    <cfRule type="expression" dxfId="3438" priority="4866">
      <formula>$A541="calculate"</formula>
    </cfRule>
    <cfRule type="expression" dxfId="3437" priority="4864">
      <formula xml:space="preserve"> $A541 = "begin group"</formula>
    </cfRule>
  </conditionalFormatting>
  <conditionalFormatting sqref="K542">
    <cfRule type="expression" dxfId="3436" priority="4386">
      <formula xml:space="preserve"> $A542 = "begin group"</formula>
    </cfRule>
    <cfRule type="expression" dxfId="3435" priority="4388">
      <formula>$A542="calculate"</formula>
    </cfRule>
    <cfRule type="expression" dxfId="3434" priority="4387">
      <formula xml:space="preserve"> AND($J542="gg",$A542 = "end group")</formula>
    </cfRule>
  </conditionalFormatting>
  <conditionalFormatting sqref="K542:K543">
    <cfRule type="expression" dxfId="3433" priority="4056">
      <formula>AND($U$1="disabled",$U542="yes")</formula>
    </cfRule>
    <cfRule type="expression" dxfId="3432" priority="4057">
      <formula>$A542 = "begin repeat"</formula>
    </cfRule>
    <cfRule type="expression" dxfId="3431" priority="4058">
      <formula xml:space="preserve"> $A673 = "end repeat"</formula>
    </cfRule>
  </conditionalFormatting>
  <conditionalFormatting sqref="K543">
    <cfRule type="expression" dxfId="3430" priority="4779">
      <formula>$A543="calculate"</formula>
    </cfRule>
    <cfRule type="expression" dxfId="3429" priority="4778">
      <formula xml:space="preserve"> AND($J543="gg",$A543 = "end group")</formula>
    </cfRule>
    <cfRule type="expression" dxfId="3428" priority="4777">
      <formula xml:space="preserve"> $A543 = "begin group"</formula>
    </cfRule>
  </conditionalFormatting>
  <conditionalFormatting sqref="K544">
    <cfRule type="expression" dxfId="3427" priority="4702">
      <formula>$A544="calculate"</formula>
    </cfRule>
    <cfRule type="expression" dxfId="3426" priority="4701">
      <formula xml:space="preserve"> AND($J544="gg",$A544 = "end group")</formula>
    </cfRule>
    <cfRule type="expression" dxfId="3425" priority="4700">
      <formula xml:space="preserve"> $A544 = "begin group"</formula>
    </cfRule>
  </conditionalFormatting>
  <conditionalFormatting sqref="K544:K545">
    <cfRule type="expression" dxfId="3424" priority="4121">
      <formula>AND($U$1="disabled",$U544="yes")</formula>
    </cfRule>
    <cfRule type="expression" dxfId="3423" priority="4123">
      <formula xml:space="preserve"> $A674 = "end repeat"</formula>
    </cfRule>
    <cfRule type="expression" dxfId="3422" priority="4122">
      <formula>$A544 = "begin repeat"</formula>
    </cfRule>
  </conditionalFormatting>
  <conditionalFormatting sqref="K545">
    <cfRule type="expression" dxfId="3421" priority="4837">
      <formula>$A545="calculate"</formula>
    </cfRule>
    <cfRule type="expression" dxfId="3420" priority="4835">
      <formula xml:space="preserve"> $A545 = "begin group"</formula>
    </cfRule>
    <cfRule type="expression" dxfId="3419" priority="4836">
      <formula xml:space="preserve"> AND($J545="gg",$A545 = "end group")</formula>
    </cfRule>
  </conditionalFormatting>
  <conditionalFormatting sqref="K546">
    <cfRule type="expression" dxfId="3418" priority="4473">
      <formula xml:space="preserve"> $A546 = "begin group"</formula>
    </cfRule>
    <cfRule type="expression" dxfId="3417" priority="4475">
      <formula>$A546="calculate"</formula>
    </cfRule>
    <cfRule type="expression" dxfId="3416" priority="4474">
      <formula xml:space="preserve"> AND($J546="gg",$A546 = "end group")</formula>
    </cfRule>
  </conditionalFormatting>
  <conditionalFormatting sqref="K547">
    <cfRule type="expression" dxfId="3415" priority="4444">
      <formula xml:space="preserve"> $A547 = "begin group"</formula>
    </cfRule>
    <cfRule type="expression" dxfId="3414" priority="4445">
      <formula xml:space="preserve"> AND($J547="gg",$A547 = "end group")</formula>
    </cfRule>
    <cfRule type="expression" dxfId="3413" priority="4446">
      <formula>$A547="calculate"</formula>
    </cfRule>
  </conditionalFormatting>
  <conditionalFormatting sqref="K548">
    <cfRule type="expression" dxfId="3412" priority="4415">
      <formula xml:space="preserve"> $A548 = "begin group"</formula>
    </cfRule>
    <cfRule type="expression" dxfId="3411" priority="4416">
      <formula xml:space="preserve"> AND($J548="gg",$A548 = "end group")</formula>
    </cfRule>
    <cfRule type="expression" dxfId="3410" priority="4417">
      <formula>$A548="calculate"</formula>
    </cfRule>
  </conditionalFormatting>
  <conditionalFormatting sqref="K549">
    <cfRule type="expression" dxfId="3409" priority="4145">
      <formula xml:space="preserve"> AND($J549="gg",$A549 = "end group")</formula>
    </cfRule>
    <cfRule type="expression" dxfId="3408" priority="4144">
      <formula xml:space="preserve"> $A549 = "begin group"</formula>
    </cfRule>
    <cfRule type="expression" dxfId="3407" priority="4146">
      <formula>$A549="calculate"</formula>
    </cfRule>
  </conditionalFormatting>
  <conditionalFormatting sqref="K550">
    <cfRule type="expression" dxfId="3406" priority="4086">
      <formula xml:space="preserve"> AND($J550="gg",$A550 = "end group")</formula>
    </cfRule>
    <cfRule type="expression" dxfId="3405" priority="4087">
      <formula>$A550="calculate"</formula>
    </cfRule>
    <cfRule type="expression" dxfId="3404" priority="4085">
      <formula xml:space="preserve"> $A550 = "begin group"</formula>
    </cfRule>
  </conditionalFormatting>
  <conditionalFormatting sqref="K551">
    <cfRule type="expression" dxfId="3403" priority="3977">
      <formula xml:space="preserve"> AND($J551="gg",$A551 = "end group")</formula>
    </cfRule>
    <cfRule type="expression" dxfId="3402" priority="3978">
      <formula>$A551="calculate"</formula>
    </cfRule>
    <cfRule type="expression" dxfId="3401" priority="3976">
      <formula xml:space="preserve"> $A551 = "begin group"</formula>
    </cfRule>
  </conditionalFormatting>
  <conditionalFormatting sqref="K552">
    <cfRule type="expression" dxfId="3400" priority="3949">
      <formula>$A552="calculate"</formula>
    </cfRule>
    <cfRule type="expression" dxfId="3399" priority="3948">
      <formula xml:space="preserve"> AND($J552="gg",$A552 = "end group")</formula>
    </cfRule>
    <cfRule type="expression" dxfId="3398" priority="3947">
      <formula xml:space="preserve"> $A552 = "begin group"</formula>
    </cfRule>
  </conditionalFormatting>
  <conditionalFormatting sqref="K553">
    <cfRule type="expression" dxfId="3397" priority="4005">
      <formula xml:space="preserve"> $A553 = "begin group"</formula>
    </cfRule>
    <cfRule type="expression" dxfId="3396" priority="4007">
      <formula>$A553="calculate"</formula>
    </cfRule>
    <cfRule type="expression" dxfId="3395" priority="4006">
      <formula xml:space="preserve"> AND($J553="gg",$A553 = "end group")</formula>
    </cfRule>
  </conditionalFormatting>
  <conditionalFormatting sqref="K554">
    <cfRule type="expression" dxfId="3394" priority="3920">
      <formula>$A554="calculate"</formula>
    </cfRule>
    <cfRule type="expression" dxfId="3393" priority="3919">
      <formula xml:space="preserve"> AND($J554="gg",$A554 = "end group")</formula>
    </cfRule>
    <cfRule type="expression" dxfId="3392" priority="3918">
      <formula xml:space="preserve"> $A554 = "begin group"</formula>
    </cfRule>
  </conditionalFormatting>
  <conditionalFormatting sqref="K555">
    <cfRule type="expression" dxfId="3391" priority="3889">
      <formula xml:space="preserve"> $A555 = "begin group"</formula>
    </cfRule>
    <cfRule type="expression" dxfId="3390" priority="3890">
      <formula xml:space="preserve"> AND($J555="gg",$A555 = "end group")</formula>
    </cfRule>
    <cfRule type="expression" dxfId="3389" priority="3891">
      <formula>$A555="calculate"</formula>
    </cfRule>
  </conditionalFormatting>
  <conditionalFormatting sqref="K556">
    <cfRule type="expression" dxfId="3388" priority="3861">
      <formula xml:space="preserve"> AND($J556="gg",$A556 = "end group")</formula>
    </cfRule>
    <cfRule type="expression" dxfId="3387" priority="3862">
      <formula>$A556="calculate"</formula>
    </cfRule>
    <cfRule type="expression" dxfId="3386" priority="3860">
      <formula xml:space="preserve"> $A556 = "begin group"</formula>
    </cfRule>
  </conditionalFormatting>
  <conditionalFormatting sqref="K558">
    <cfRule type="expression" dxfId="3385" priority="6753">
      <formula>$A558 = "begin repeat"</formula>
    </cfRule>
    <cfRule type="expression" dxfId="3384" priority="6752">
      <formula>AND($U$1="disabled",$U558="yes")</formula>
    </cfRule>
    <cfRule type="expression" dxfId="3383" priority="6754">
      <formula xml:space="preserve"> $A581 = "end repeat"</formula>
    </cfRule>
  </conditionalFormatting>
  <conditionalFormatting sqref="K566">
    <cfRule type="expression" dxfId="3382" priority="1859">
      <formula xml:space="preserve"> $A566 = "begin group"</formula>
    </cfRule>
    <cfRule type="expression" dxfId="3381" priority="1857">
      <formula>AND($J639="section",$A566="begin group")</formula>
    </cfRule>
    <cfRule type="expression" dxfId="3380" priority="1860">
      <formula xml:space="preserve"> AND($J639="gg",$A566 = "end group")</formula>
    </cfRule>
    <cfRule type="expression" dxfId="3379" priority="1858">
      <formula>AND($J639 = "section",$A566 = "end group")</formula>
    </cfRule>
  </conditionalFormatting>
  <conditionalFormatting sqref="K567 D636 D699 F699 H699:W699 D829 A699:B699 D569:D574 M704:W705 B799:B807 C827:D828 K827:K829 C829:C837">
    <cfRule type="expression" dxfId="3378" priority="2737">
      <formula>$A567 = "begin repeat"</formula>
    </cfRule>
    <cfRule type="expression" dxfId="3377" priority="2736">
      <formula>AND($U$1="disabled",$U567="yes")</formula>
    </cfRule>
    <cfRule type="expression" dxfId="3376" priority="2738">
      <formula xml:space="preserve"> $A581 = "end repeat"</formula>
    </cfRule>
  </conditionalFormatting>
  <conditionalFormatting sqref="K568 A570:A571 I570:I571 M570:W571">
    <cfRule type="expression" dxfId="3375" priority="2722">
      <formula>$A568 = "begin repeat"</formula>
    </cfRule>
    <cfRule type="expression" dxfId="3374" priority="2723">
      <formula xml:space="preserve"> $A584 = "end repeat"</formula>
    </cfRule>
    <cfRule type="expression" dxfId="3373" priority="2721">
      <formula>AND($U$1="disabled",$U568="yes")</formula>
    </cfRule>
  </conditionalFormatting>
  <conditionalFormatting sqref="K575">
    <cfRule type="expression" dxfId="3372" priority="1875">
      <formula>AND($J640 = "section",$A575 = "end group")</formula>
    </cfRule>
    <cfRule type="expression" dxfId="3371" priority="1874">
      <formula>AND($J640="section",$A575="begin group")</formula>
    </cfRule>
    <cfRule type="expression" dxfId="3370" priority="1876">
      <formula xml:space="preserve"> $A575 = "begin group"</formula>
    </cfRule>
    <cfRule type="expression" dxfId="3369" priority="1877">
      <formula xml:space="preserve"> AND($J640="gg",$A575 = "end group")</formula>
    </cfRule>
  </conditionalFormatting>
  <conditionalFormatting sqref="K580">
    <cfRule type="expression" dxfId="3368" priority="1866">
      <formula xml:space="preserve"> $A580 = "begin group"</formula>
    </cfRule>
    <cfRule type="expression" dxfId="3367" priority="1865">
      <formula>AND($J642 = "section",$A580 = "end group")</formula>
    </cfRule>
    <cfRule type="expression" dxfId="3366" priority="1864">
      <formula>AND($J642="section",$A580="begin group")</formula>
    </cfRule>
    <cfRule type="expression" dxfId="3365" priority="1867">
      <formula xml:space="preserve"> AND($J642="gg",$A580 = "end group")</formula>
    </cfRule>
  </conditionalFormatting>
  <conditionalFormatting sqref="K581">
    <cfRule type="expression" dxfId="3364" priority="2334">
      <formula>$A581="calculate"</formula>
    </cfRule>
    <cfRule type="expression" dxfId="3363" priority="2579">
      <formula>$A581="calculate"</formula>
    </cfRule>
  </conditionalFormatting>
  <conditionalFormatting sqref="K582">
    <cfRule type="expression" dxfId="3362" priority="1854">
      <formula>AND($J641 = "section",$A582 = "end group")</formula>
    </cfRule>
    <cfRule type="expression" dxfId="3361" priority="1856">
      <formula xml:space="preserve"> AND($J641="gg",$A582 = "end group")</formula>
    </cfRule>
    <cfRule type="expression" dxfId="3360" priority="1853">
      <formula>AND($J641="section",$A582="begin group")</formula>
    </cfRule>
    <cfRule type="expression" dxfId="3359" priority="1855">
      <formula xml:space="preserve"> $A582 = "begin group"</formula>
    </cfRule>
  </conditionalFormatting>
  <conditionalFormatting sqref="K583">
    <cfRule type="expression" dxfId="3358" priority="3170">
      <formula>$A583="calculate"</formula>
    </cfRule>
    <cfRule type="expression" dxfId="3357" priority="2329">
      <formula>$A583="calculate"</formula>
    </cfRule>
  </conditionalFormatting>
  <conditionalFormatting sqref="K584">
    <cfRule type="expression" dxfId="3356" priority="2333">
      <formula>$A584="calculate"</formula>
    </cfRule>
    <cfRule type="expression" dxfId="3355" priority="2578">
      <formula>$A584="calculate"</formula>
    </cfRule>
  </conditionalFormatting>
  <conditionalFormatting sqref="K585">
    <cfRule type="expression" dxfId="3354" priority="2328">
      <formula>$A585="calculate"</formula>
    </cfRule>
    <cfRule type="expression" dxfId="3353" priority="3164">
      <formula>$A585="calculate"</formula>
    </cfRule>
  </conditionalFormatting>
  <conditionalFormatting sqref="K586">
    <cfRule type="expression" dxfId="3352" priority="2577">
      <formula>$A586="calculate"</formula>
    </cfRule>
  </conditionalFormatting>
  <conditionalFormatting sqref="K586:K588">
    <cfRule type="expression" dxfId="3351" priority="3158">
      <formula>$A586="calculate"</formula>
    </cfRule>
    <cfRule type="expression" dxfId="3350" priority="2576">
      <formula>$A586="calculate"</formula>
    </cfRule>
  </conditionalFormatting>
  <conditionalFormatting sqref="K588">
    <cfRule type="expression" dxfId="3349" priority="2327">
      <formula>$A588="calculate"</formula>
    </cfRule>
  </conditionalFormatting>
  <conditionalFormatting sqref="K589">
    <cfRule type="expression" dxfId="3348" priority="2332">
      <formula>$A589="calculate"</formula>
    </cfRule>
    <cfRule type="expression" dxfId="3347" priority="2575">
      <formula>$A589="calculate"</formula>
    </cfRule>
  </conditionalFormatting>
  <conditionalFormatting sqref="K590">
    <cfRule type="expression" dxfId="3346" priority="2331">
      <formula>$A590="calculate"</formula>
    </cfRule>
    <cfRule type="expression" dxfId="3345" priority="2326">
      <formula>$A590="calculate"</formula>
    </cfRule>
    <cfRule type="expression" dxfId="3344" priority="3152">
      <formula>$A590="calculate"</formula>
    </cfRule>
  </conditionalFormatting>
  <conditionalFormatting sqref="K591">
    <cfRule type="expression" dxfId="3343" priority="3146">
      <formula>$A591="calculate"</formula>
    </cfRule>
    <cfRule type="expression" dxfId="3342" priority="2574">
      <formula>$A591="calculate"</formula>
    </cfRule>
  </conditionalFormatting>
  <conditionalFormatting sqref="K592">
    <cfRule type="expression" dxfId="3341" priority="2330">
      <formula>$A592="calculate"</formula>
    </cfRule>
  </conditionalFormatting>
  <conditionalFormatting sqref="K592:K594">
    <cfRule type="expression" dxfId="3340" priority="2573">
      <formula>$A592="calculate"</formula>
    </cfRule>
  </conditionalFormatting>
  <conditionalFormatting sqref="K593">
    <cfRule type="expression" dxfId="3339" priority="3140">
      <formula>$A593="calculate"</formula>
    </cfRule>
  </conditionalFormatting>
  <conditionalFormatting sqref="K594:K598">
    <cfRule type="expression" dxfId="3338" priority="2011">
      <formula>AND($J639 = "section",$A594 = "end group")</formula>
    </cfRule>
    <cfRule type="expression" dxfId="3337" priority="2012">
      <formula xml:space="preserve"> $A594 = "begin group"</formula>
    </cfRule>
    <cfRule type="expression" dxfId="3336" priority="2013">
      <formula xml:space="preserve"> AND($J639="gg",$A594 = "end group")</formula>
    </cfRule>
    <cfRule type="expression" dxfId="3335" priority="2010">
      <formula>AND($J639="section",$A594="begin group")</formula>
    </cfRule>
  </conditionalFormatting>
  <conditionalFormatting sqref="K597 A761 M761:W761 I761 K761 J587:J596 B587:B596">
    <cfRule type="expression" dxfId="3334" priority="2563">
      <formula xml:space="preserve"> $A639 = "end repeat"</formula>
    </cfRule>
    <cfRule type="expression" dxfId="3333" priority="2561">
      <formula>AND($U$1="disabled",$U587="yes")</formula>
    </cfRule>
    <cfRule type="expression" dxfId="3332" priority="2562">
      <formula>$A587 = "begin repeat"</formula>
    </cfRule>
  </conditionalFormatting>
  <conditionalFormatting sqref="K599:K603 K597">
    <cfRule type="expression" dxfId="3331" priority="1889">
      <formula xml:space="preserve"> $A597 = "begin group"</formula>
    </cfRule>
    <cfRule type="expression" dxfId="3330" priority="1890">
      <formula xml:space="preserve"> AND($J641="gg",$A597 = "end group")</formula>
    </cfRule>
    <cfRule type="expression" dxfId="3329" priority="1887">
      <formula>AND($J641="section",$A597="begin group")</formula>
    </cfRule>
    <cfRule type="expression" dxfId="3328" priority="1888">
      <formula>AND($J641 = "section",$A597 = "end group")</formula>
    </cfRule>
  </conditionalFormatting>
  <conditionalFormatting sqref="K604:K605 I604:I605">
    <cfRule type="expression" dxfId="3327" priority="2141">
      <formula>$A604="calculate"</formula>
    </cfRule>
  </conditionalFormatting>
  <conditionalFormatting sqref="K604:K607">
    <cfRule type="expression" dxfId="3326" priority="1843">
      <formula>AND($J646="section",$A604="begin group")</formula>
    </cfRule>
    <cfRule type="expression" dxfId="3325" priority="1845">
      <formula xml:space="preserve"> $A604 = "begin group"</formula>
    </cfRule>
    <cfRule type="expression" dxfId="3324" priority="1846">
      <formula xml:space="preserve"> AND($J646="gg",$A604 = "end group")</formula>
    </cfRule>
    <cfRule type="expression" dxfId="3323" priority="1844">
      <formula>AND($J646 = "section",$A604 = "end group")</formula>
    </cfRule>
  </conditionalFormatting>
  <conditionalFormatting sqref="K606">
    <cfRule type="expression" dxfId="3322" priority="2116">
      <formula>$A606="calculate"</formula>
    </cfRule>
  </conditionalFormatting>
  <conditionalFormatting sqref="K612">
    <cfRule type="expression" dxfId="3321" priority="1716">
      <formula xml:space="preserve"> $A612 = "begin group"</formula>
    </cfRule>
    <cfRule type="expression" dxfId="3320" priority="1717">
      <formula xml:space="preserve"> AND($J709="gg",$A612 = "end group")</formula>
    </cfRule>
    <cfRule type="expression" dxfId="3319" priority="1715">
      <formula>AND($J709 = "section",$A612 = "end group")</formula>
    </cfRule>
    <cfRule type="expression" dxfId="3318" priority="1714">
      <formula>AND($J709="section",$A612="begin group")</formula>
    </cfRule>
    <cfRule type="expression" dxfId="3317" priority="1900">
      <formula xml:space="preserve"> $A717 = "end repeat"</formula>
    </cfRule>
    <cfRule type="expression" dxfId="3316" priority="1898">
      <formula>AND($U$1="disabled",$U612="yes")</formula>
    </cfRule>
    <cfRule type="expression" dxfId="3315" priority="1899">
      <formula>$A612 = "begin repeat"</formula>
    </cfRule>
  </conditionalFormatting>
  <conditionalFormatting sqref="K617 K625 K632 K628 K613 L714 A733 A615:A616 I615:I616 M615:W616 A718:A719 A714:A716 I718:I720 M718:W719 M714:W716 I714:I716 K714:K716 K718:K719 I734:I738">
    <cfRule type="expression" dxfId="3314" priority="2674">
      <formula>$A613 = "begin repeat"</formula>
    </cfRule>
    <cfRule type="expression" dxfId="3313" priority="2675">
      <formula xml:space="preserve"> $A641 = "end repeat"</formula>
    </cfRule>
    <cfRule type="expression" dxfId="3312" priority="2673">
      <formula>AND($U$1="disabled",$U613="yes")</formula>
    </cfRule>
  </conditionalFormatting>
  <conditionalFormatting sqref="K617 M617:W617 I617 A617 D617 K631:K632 K626:K628 M622:W623 I622:I623 A622:A623 D622:D623">
    <cfRule type="expression" dxfId="3311" priority="1959">
      <formula xml:space="preserve"> $A617 = "begin group"</formula>
    </cfRule>
    <cfRule type="expression" dxfId="3310" priority="1960">
      <formula xml:space="preserve"> AND($J635="gg",$A617 = "end group")</formula>
    </cfRule>
    <cfRule type="expression" dxfId="3309" priority="1958">
      <formula>AND($J635 = "section",$A617 = "end group")</formula>
    </cfRule>
    <cfRule type="expression" dxfId="3308" priority="1957">
      <formula>AND($J635="section",$A617="begin group")</formula>
    </cfRule>
  </conditionalFormatting>
  <conditionalFormatting sqref="K618 K627:K628 K622:K624">
    <cfRule type="expression" dxfId="3307" priority="2156">
      <formula xml:space="preserve"> AND($J635="gg",$A618 = "end group")</formula>
    </cfRule>
    <cfRule type="expression" dxfId="3306" priority="2155">
      <formula xml:space="preserve"> $A618 = "begin group"</formula>
    </cfRule>
    <cfRule type="expression" dxfId="3305" priority="2153">
      <formula>AND($J635="section",$A618="begin group")</formula>
    </cfRule>
    <cfRule type="expression" dxfId="3304" priority="2154">
      <formula>AND($J635 = "section",$A618 = "end group")</formula>
    </cfRule>
  </conditionalFormatting>
  <conditionalFormatting sqref="K619:K620">
    <cfRule type="expression" dxfId="3303" priority="2785">
      <formula xml:space="preserve"> AND($J621="gg",$A619 = "end group")</formula>
    </cfRule>
    <cfRule type="expression" dxfId="3302" priority="2784">
      <formula xml:space="preserve"> $A619 = "begin group"</formula>
    </cfRule>
    <cfRule type="expression" dxfId="3301" priority="2782">
      <formula>AND($J621="section",$A619="begin group")</formula>
    </cfRule>
    <cfRule type="expression" dxfId="3300" priority="2783">
      <formula>AND($J621 = "section",$A619 = "end group")</formula>
    </cfRule>
  </conditionalFormatting>
  <conditionalFormatting sqref="K620">
    <cfRule type="expression" dxfId="3299" priority="1990">
      <formula>$A620 = "begin repeat"</formula>
    </cfRule>
    <cfRule type="expression" dxfId="3298" priority="1723">
      <formula xml:space="preserve"> $A620 = "begin group"</formula>
    </cfRule>
    <cfRule type="expression" dxfId="3297" priority="1991">
      <formula xml:space="preserve"> $A742 = "end repeat"</formula>
    </cfRule>
    <cfRule type="expression" dxfId="3296" priority="1989">
      <formula>AND($U$1="disabled",$U620="yes")</formula>
    </cfRule>
    <cfRule type="expression" dxfId="3295" priority="1722">
      <formula>AND($J710 = "section",$A620 = "end group")</formula>
    </cfRule>
    <cfRule type="expression" dxfId="3294" priority="1721">
      <formula>AND($J710="section",$A620="begin group")</formula>
    </cfRule>
    <cfRule type="expression" dxfId="3293" priority="1724">
      <formula xml:space="preserve"> AND($J710="gg",$A620 = "end group")</formula>
    </cfRule>
  </conditionalFormatting>
  <conditionalFormatting sqref="K621 K629 K632 I617 L617:W617 A617 K710:W710 D710 L727 A710 I710 K614:K615 K618:K619 A731:A732 A727:A729 I731:I733 M731:W732 M727:W729 I727:I729 K727:K729 K731:K732 A775:A778 A763:A766">
    <cfRule type="expression" dxfId="3292" priority="2417">
      <formula>$A614 = "begin repeat"</formula>
    </cfRule>
    <cfRule type="expression" dxfId="3291" priority="2418">
      <formula xml:space="preserve"> $A643 = "end repeat"</formula>
    </cfRule>
    <cfRule type="expression" dxfId="3290" priority="2416">
      <formula>AND($U$1="disabled",$U614="yes")</formula>
    </cfRule>
  </conditionalFormatting>
  <conditionalFormatting sqref="K621:K624">
    <cfRule type="expression" dxfId="3289" priority="2014">
      <formula>$A621="calculate"</formula>
    </cfRule>
  </conditionalFormatting>
  <conditionalFormatting sqref="K622">
    <cfRule type="expression" dxfId="3288" priority="2158">
      <formula>AND($J636 = "section",$A622 = "end group")</formula>
    </cfRule>
    <cfRule type="expression" dxfId="3287" priority="2157">
      <formula>AND($J636="section",$A622="begin group")</formula>
    </cfRule>
    <cfRule type="expression" dxfId="3286" priority="2159">
      <formula xml:space="preserve"> $A622 = "begin group"</formula>
    </cfRule>
    <cfRule type="expression" dxfId="3285" priority="2160">
      <formula xml:space="preserve"> AND($J636="gg",$A622 = "end group")</formula>
    </cfRule>
  </conditionalFormatting>
  <conditionalFormatting sqref="K623:K624">
    <cfRule type="expression" dxfId="3284" priority="1894">
      <formula>AND($J639="section",$A623="begin group")</formula>
    </cfRule>
    <cfRule type="expression" dxfId="3283" priority="1895">
      <formula>AND($J639 = "section",$A623 = "end group")</formula>
    </cfRule>
    <cfRule type="expression" dxfId="3282" priority="1897">
      <formula xml:space="preserve"> AND($J639="gg",$A623 = "end group")</formula>
    </cfRule>
    <cfRule type="expression" dxfId="3281" priority="1896">
      <formula xml:space="preserve"> $A623 = "begin group"</formula>
    </cfRule>
  </conditionalFormatting>
  <conditionalFormatting sqref="K624">
    <cfRule type="expression" dxfId="3280" priority="1726">
      <formula>AND($J715 = "section",$A624 = "end group")</formula>
    </cfRule>
    <cfRule type="expression" dxfId="3279" priority="1725">
      <formula>AND($J715="section",$A624="begin group")</formula>
    </cfRule>
    <cfRule type="expression" dxfId="3278" priority="1727">
      <formula xml:space="preserve"> $A624 = "begin group"</formula>
    </cfRule>
    <cfRule type="expression" dxfId="3277" priority="1728">
      <formula xml:space="preserve"> AND($J715="gg",$A624 = "end group")</formula>
    </cfRule>
  </conditionalFormatting>
  <conditionalFormatting sqref="K625 D721 K787:W787 K614:K616 K618:K620 K622:K623 I763:I766 I775:I777 G815:G817 E815:E817">
    <cfRule type="expression" dxfId="3276" priority="2567">
      <formula>AND($U$1="disabled",$U614="yes")</formula>
    </cfRule>
    <cfRule type="expression" dxfId="3275" priority="2569">
      <formula xml:space="preserve"> $A644 = "end repeat"</formula>
    </cfRule>
    <cfRule type="expression" dxfId="3274" priority="2568">
      <formula>$A614 = "begin repeat"</formula>
    </cfRule>
  </conditionalFormatting>
  <conditionalFormatting sqref="K625:K628">
    <cfRule type="expression" dxfId="3273" priority="1992">
      <formula>$A625="calculate"</formula>
    </cfRule>
  </conditionalFormatting>
  <conditionalFormatting sqref="K626">
    <cfRule type="expression" dxfId="3272" priority="2756">
      <formula xml:space="preserve"> $A626 = "begin group"</formula>
    </cfRule>
    <cfRule type="expression" dxfId="3271" priority="2754">
      <formula>AND($J637="section",$A626="begin group")</formula>
    </cfRule>
    <cfRule type="expression" dxfId="3270" priority="2755">
      <formula>AND($J637 = "section",$A626 = "end group")</formula>
    </cfRule>
    <cfRule type="expression" dxfId="3269" priority="2757">
      <formula xml:space="preserve"> AND($J637="gg",$A626 = "end group")</formula>
    </cfRule>
  </conditionalFormatting>
  <conditionalFormatting sqref="K628">
    <cfRule type="expression" dxfId="3268" priority="1730">
      <formula>AND($J720 = "section",$A628 = "end group")</formula>
    </cfRule>
    <cfRule type="expression" dxfId="3267" priority="1407">
      <formula xml:space="preserve"> $A752 = "end repeat"</formula>
    </cfRule>
    <cfRule type="expression" dxfId="3266" priority="1729">
      <formula>AND($J720="section",$A628="begin group")</formula>
    </cfRule>
    <cfRule type="expression" dxfId="3265" priority="1731">
      <formula xml:space="preserve"> $A628 = "begin group"</formula>
    </cfRule>
    <cfRule type="expression" dxfId="3264" priority="1732">
      <formula xml:space="preserve"> AND($J720="gg",$A628 = "end group")</formula>
    </cfRule>
    <cfRule type="expression" dxfId="3263" priority="1405">
      <formula>AND($U$1="disabled",$U628="yes")</formula>
    </cfRule>
    <cfRule type="expression" dxfId="3262" priority="1406">
      <formula>$A628 = "begin repeat"</formula>
    </cfRule>
  </conditionalFormatting>
  <conditionalFormatting sqref="K630:K632">
    <cfRule type="expression" dxfId="3261" priority="2109">
      <formula xml:space="preserve"> AND($J649="gg",$A630 = "end group")</formula>
    </cfRule>
    <cfRule type="expression" dxfId="3260" priority="2106">
      <formula>AND($J649="section",$A630="begin group")</formula>
    </cfRule>
    <cfRule type="expression" dxfId="3259" priority="2107">
      <formula>AND($J649 = "section",$A630 = "end group")</formula>
    </cfRule>
    <cfRule type="expression" dxfId="3258" priority="2108">
      <formula xml:space="preserve"> $A630 = "begin group"</formula>
    </cfRule>
  </conditionalFormatting>
  <conditionalFormatting sqref="K632 K678 I676 K676 M676:W676 E708 J703 K629:K630 K625:K627 A676:A677 K771:K772 K712:W713 G706:G708">
    <cfRule type="expression" dxfId="3257" priority="2534">
      <formula>AND($U$1="disabled",$U625="yes")</formula>
    </cfRule>
    <cfRule type="expression" dxfId="3256" priority="2535">
      <formula>$A625 = "begin repeat"</formula>
    </cfRule>
    <cfRule type="expression" dxfId="3255" priority="2536">
      <formula xml:space="preserve"> $A661 = "end repeat"</formula>
    </cfRule>
  </conditionalFormatting>
  <conditionalFormatting sqref="K632">
    <cfRule type="expression" dxfId="3254" priority="1351">
      <formula>AND($J741="section",$A632="begin group")</formula>
    </cfRule>
    <cfRule type="expression" dxfId="3253" priority="1354">
      <formula xml:space="preserve"> AND($J741="gg",$A632 = "end group")</formula>
    </cfRule>
    <cfRule type="expression" dxfId="3252" priority="1353">
      <formula xml:space="preserve"> $A632 = "begin group"</formula>
    </cfRule>
    <cfRule type="expression" dxfId="3251" priority="1352">
      <formula>AND($J741 = "section",$A632 = "end group")</formula>
    </cfRule>
  </conditionalFormatting>
  <conditionalFormatting sqref="K633">
    <cfRule type="expression" dxfId="3250" priority="2686">
      <formula>$A633 = "begin repeat"</formula>
    </cfRule>
    <cfRule type="expression" dxfId="3249" priority="2687">
      <formula xml:space="preserve"> $A636 = "end repeat"</formula>
    </cfRule>
    <cfRule type="expression" dxfId="3248" priority="2685">
      <formula>AND($U$1="disabled",$U633="yes")</formula>
    </cfRule>
  </conditionalFormatting>
  <conditionalFormatting sqref="K637 K629">
    <cfRule type="expression" dxfId="3247" priority="2793">
      <formula xml:space="preserve"> AND($J638="gg",$A629 = "end group")</formula>
    </cfRule>
    <cfRule type="expression" dxfId="3246" priority="2792">
      <formula xml:space="preserve"> $A629 = "begin group"</formula>
    </cfRule>
    <cfRule type="expression" dxfId="3245" priority="2790">
      <formula>AND($J638="section",$A629="begin group")</formula>
    </cfRule>
    <cfRule type="expression" dxfId="3244" priority="2791">
      <formula>AND($J638 = "section",$A629 = "end group")</formula>
    </cfRule>
  </conditionalFormatting>
  <conditionalFormatting sqref="K638">
    <cfRule type="expression" dxfId="3243" priority="2794">
      <formula>AND($J651="section",$A638="begin group")</formula>
    </cfRule>
    <cfRule type="expression" dxfId="3242" priority="2795">
      <formula>AND($J651 = "section",$A638 = "end group")</formula>
    </cfRule>
    <cfRule type="expression" dxfId="3241" priority="2796">
      <formula xml:space="preserve"> $A638 = "begin group"</formula>
    </cfRule>
    <cfRule type="expression" dxfId="3240" priority="2797">
      <formula xml:space="preserve"> AND($J651="gg",$A638 = "end group")</formula>
    </cfRule>
  </conditionalFormatting>
  <conditionalFormatting sqref="K644:K654">
    <cfRule type="expression" dxfId="3239" priority="3109">
      <formula>$A644="calculate"</formula>
    </cfRule>
  </conditionalFormatting>
  <conditionalFormatting sqref="K655">
    <cfRule type="expression" dxfId="3238" priority="3103">
      <formula>$A655="calculate"</formula>
    </cfRule>
  </conditionalFormatting>
  <conditionalFormatting sqref="K665 F590:F596 H590:H596 A756:A757">
    <cfRule type="expression" dxfId="3237" priority="2152">
      <formula xml:space="preserve"> $A639 = "end repeat"</formula>
    </cfRule>
    <cfRule type="expression" dxfId="3236" priority="2151">
      <formula>$A590 = "begin repeat"</formula>
    </cfRule>
    <cfRule type="expression" dxfId="3235" priority="2150">
      <formula>AND($U$1="disabled",$U590="yes")</formula>
    </cfRule>
  </conditionalFormatting>
  <conditionalFormatting sqref="K667:K668 I667:I668">
    <cfRule type="expression" dxfId="3234" priority="2518">
      <formula>$A667="calculate"</formula>
    </cfRule>
  </conditionalFormatting>
  <conditionalFormatting sqref="K669 K671 K673 K667 B657:B666 J657:J675">
    <cfRule type="expression" dxfId="3233" priority="2147">
      <formula>AND($U$1="disabled",$U657="yes")</formula>
    </cfRule>
    <cfRule type="expression" dxfId="3232" priority="2149">
      <formula xml:space="preserve"> $A704 = "end repeat"</formula>
    </cfRule>
    <cfRule type="expression" dxfId="3231" priority="2148">
      <formula>$A657 = "begin repeat"</formula>
    </cfRule>
  </conditionalFormatting>
  <conditionalFormatting sqref="K672 K668 K670 K674:K675">
    <cfRule type="expression" dxfId="3230" priority="2081">
      <formula xml:space="preserve"> $A714 = "end repeat"</formula>
    </cfRule>
    <cfRule type="expression" dxfId="3229" priority="2079">
      <formula>AND($U$1="disabled",$U668="yes")</formula>
    </cfRule>
    <cfRule type="expression" dxfId="3228" priority="2080">
      <formula>$A668 = "begin repeat"</formula>
    </cfRule>
  </conditionalFormatting>
  <conditionalFormatting sqref="K676 K659:K660">
    <cfRule type="expression" dxfId="3227" priority="2321">
      <formula>$A659 = "begin repeat"</formula>
    </cfRule>
    <cfRule type="expression" dxfId="3226" priority="2320">
      <formula>AND($U$1="disabled",$U659="yes")</formula>
    </cfRule>
    <cfRule type="expression" dxfId="3225" priority="2322">
      <formula xml:space="preserve"> $A704 = "end repeat"</formula>
    </cfRule>
  </conditionalFormatting>
  <conditionalFormatting sqref="K677 D673 D667 D669 D671 K662:K664 D660:D661">
    <cfRule type="expression" dxfId="3224" priority="2340">
      <formula xml:space="preserve"> $A704 = "end repeat"</formula>
    </cfRule>
    <cfRule type="expression" dxfId="3223" priority="2339">
      <formula>$A660 = "begin repeat"</formula>
    </cfRule>
    <cfRule type="expression" dxfId="3222" priority="2338">
      <formula>AND($U$1="disabled",$U660="yes")</formula>
    </cfRule>
  </conditionalFormatting>
  <conditionalFormatting sqref="K677">
    <cfRule type="expression" dxfId="3221" priority="2287">
      <formula>AND($U$1="disabled",$U677="yes")</formula>
    </cfRule>
    <cfRule type="expression" dxfId="3220" priority="2288">
      <formula>$A677 = "begin repeat"</formula>
    </cfRule>
    <cfRule type="expression" dxfId="3219" priority="2289">
      <formula xml:space="preserve"> $A739 = "end repeat"</formula>
    </cfRule>
  </conditionalFormatting>
  <conditionalFormatting sqref="K678 L604:L607">
    <cfRule type="expression" dxfId="3218" priority="2337">
      <formula xml:space="preserve"> $A665 = "end repeat"</formula>
    </cfRule>
    <cfRule type="expression" dxfId="3217" priority="2336">
      <formula>$A604 = "begin repeat"</formula>
    </cfRule>
    <cfRule type="expression" dxfId="3216" priority="2335">
      <formula>AND($U$1="disabled",$U604="yes")</formula>
    </cfRule>
  </conditionalFormatting>
  <conditionalFormatting sqref="K679 K677 M677:W677 I677 R706 K631:K632 K625:K626 K621:K623 K628:K629 A677:A679 K763:W766 K758:K761">
    <cfRule type="expression" dxfId="3215" priority="2566">
      <formula xml:space="preserve"> $A656 = "end repeat"</formula>
    </cfRule>
    <cfRule type="expression" dxfId="3214" priority="2564">
      <formula>AND($U$1="disabled",$U621="yes")</formula>
    </cfRule>
    <cfRule type="expression" dxfId="3213" priority="2565">
      <formula>$A621 = "begin repeat"</formula>
    </cfRule>
  </conditionalFormatting>
  <conditionalFormatting sqref="K679">
    <cfRule type="expression" dxfId="3212" priority="2409">
      <formula xml:space="preserve"> $A739 = "end repeat"</formula>
    </cfRule>
    <cfRule type="expression" dxfId="3211" priority="2408">
      <formula>$A679 = "begin repeat"</formula>
    </cfRule>
    <cfRule type="expression" dxfId="3210" priority="2407">
      <formula>AND($U$1="disabled",$U679="yes")</formula>
    </cfRule>
  </conditionalFormatting>
  <conditionalFormatting sqref="K680 K682:K691">
    <cfRule type="expression" dxfId="3209" priority="1828">
      <formula>$A680="calculate"</formula>
    </cfRule>
  </conditionalFormatting>
  <conditionalFormatting sqref="K681">
    <cfRule type="expression" dxfId="3208" priority="1757">
      <formula>$A681="calculate"</formula>
    </cfRule>
  </conditionalFormatting>
  <conditionalFormatting sqref="K692">
    <cfRule type="expression" dxfId="3207" priority="1822">
      <formula>$A692="calculate"</formula>
    </cfRule>
  </conditionalFormatting>
  <conditionalFormatting sqref="K699">
    <cfRule type="expression" dxfId="3206" priority="1690">
      <formula>$A699="calculate"</formula>
    </cfRule>
  </conditionalFormatting>
  <conditionalFormatting sqref="K700">
    <cfRule type="expression" dxfId="3205" priority="1663">
      <formula>$A700="calculate"</formula>
    </cfRule>
  </conditionalFormatting>
  <conditionalFormatting sqref="K701">
    <cfRule type="expression" dxfId="3204" priority="1629">
      <formula>$A701="calculate"</formula>
    </cfRule>
  </conditionalFormatting>
  <conditionalFormatting sqref="K702">
    <cfRule type="expression" dxfId="3203" priority="1590">
      <formula>$A702="calculate"</formula>
    </cfRule>
  </conditionalFormatting>
  <conditionalFormatting sqref="K703 F703 H703:I703">
    <cfRule type="expression" dxfId="3202" priority="1560">
      <formula>$A703="calculate"</formula>
    </cfRule>
  </conditionalFormatting>
  <conditionalFormatting sqref="K711">
    <cfRule type="expression" dxfId="3201" priority="3078">
      <formula>$A711="calculate"</formula>
    </cfRule>
  </conditionalFormatting>
  <conditionalFormatting sqref="K712">
    <cfRule type="expression" dxfId="3200" priority="3072">
      <formula>$A712="calculate"</formula>
    </cfRule>
  </conditionalFormatting>
  <conditionalFormatting sqref="K713">
    <cfRule type="expression" dxfId="3199" priority="3084">
      <formula>$A713="calculate"</formula>
    </cfRule>
  </conditionalFormatting>
  <conditionalFormatting sqref="K720">
    <cfRule type="expression" dxfId="3198" priority="3094">
      <formula>$A720="calculate"</formula>
    </cfRule>
  </conditionalFormatting>
  <conditionalFormatting sqref="K721">
    <cfRule type="expression" dxfId="3197" priority="2807">
      <formula>$A721="calculate"</formula>
    </cfRule>
  </conditionalFormatting>
  <conditionalFormatting sqref="K722">
    <cfRule type="expression" dxfId="3196" priority="3130">
      <formula>$A722="calculate"</formula>
    </cfRule>
  </conditionalFormatting>
  <conditionalFormatting sqref="K724">
    <cfRule type="expression" dxfId="3195" priority="1493">
      <formula>$A724="calculate"</formula>
    </cfRule>
  </conditionalFormatting>
  <conditionalFormatting sqref="K725">
    <cfRule type="expression" dxfId="3194" priority="1487">
      <formula>$A725="calculate"</formula>
    </cfRule>
  </conditionalFormatting>
  <conditionalFormatting sqref="K726">
    <cfRule type="expression" dxfId="3193" priority="1499">
      <formula>$A726="calculate"</formula>
    </cfRule>
  </conditionalFormatting>
  <conditionalFormatting sqref="K733">
    <cfRule type="expression" dxfId="3192" priority="1509">
      <formula>$A733="calculate"</formula>
    </cfRule>
  </conditionalFormatting>
  <conditionalFormatting sqref="K734">
    <cfRule type="expression" dxfId="3191" priority="1481">
      <formula>$A734="calculate"</formula>
    </cfRule>
  </conditionalFormatting>
  <conditionalFormatting sqref="K735">
    <cfRule type="expression" dxfId="3190" priority="1519">
      <formula>$A735="calculate"</formula>
    </cfRule>
  </conditionalFormatting>
  <conditionalFormatting sqref="K736">
    <cfRule type="expression" dxfId="3189" priority="1416">
      <formula>$A736="calculate"</formula>
    </cfRule>
  </conditionalFormatting>
  <conditionalFormatting sqref="K737">
    <cfRule type="expression" dxfId="3188" priority="1422">
      <formula>$A737="calculate"</formula>
    </cfRule>
  </conditionalFormatting>
  <conditionalFormatting sqref="K738">
    <cfRule type="expression" dxfId="3187" priority="1394">
      <formula>$A738="calculate"</formula>
    </cfRule>
  </conditionalFormatting>
  <conditionalFormatting sqref="K756">
    <cfRule type="expression" dxfId="3186" priority="3066">
      <formula>$A756="calculate"</formula>
    </cfRule>
  </conditionalFormatting>
  <conditionalFormatting sqref="K757">
    <cfRule type="expression" dxfId="3185" priority="3124">
      <formula>$A757="calculate"</formula>
    </cfRule>
  </conditionalFormatting>
  <conditionalFormatting sqref="K758">
    <cfRule type="expression" dxfId="3184" priority="2438">
      <formula>$A758="calculate"</formula>
    </cfRule>
  </conditionalFormatting>
  <conditionalFormatting sqref="K759">
    <cfRule type="expression" dxfId="3183" priority="2439">
      <formula>$A759="calculate"</formula>
    </cfRule>
  </conditionalFormatting>
  <conditionalFormatting sqref="K760">
    <cfRule type="expression" dxfId="3182" priority="2440">
      <formula>$A760="calculate"</formula>
    </cfRule>
  </conditionalFormatting>
  <conditionalFormatting sqref="K761">
    <cfRule type="expression" dxfId="3181" priority="2441">
      <formula>$A761="calculate"</formula>
    </cfRule>
  </conditionalFormatting>
  <conditionalFormatting sqref="K762">
    <cfRule type="expression" dxfId="3180" priority="2434">
      <formula>$A762="calculate"</formula>
    </cfRule>
    <cfRule type="expression" dxfId="3179" priority="3042">
      <formula>$A762="calculate"</formula>
    </cfRule>
  </conditionalFormatting>
  <conditionalFormatting sqref="K763">
    <cfRule type="expression" dxfId="3178" priority="2862">
      <formula>$A763="calculate"</formula>
    </cfRule>
    <cfRule type="expression" dxfId="3177" priority="2435">
      <formula>$A763="calculate"</formula>
    </cfRule>
  </conditionalFormatting>
  <conditionalFormatting sqref="K764">
    <cfRule type="expression" dxfId="3176" priority="2436">
      <formula>$A764="calculate"</formula>
    </cfRule>
    <cfRule type="expression" dxfId="3175" priority="2872">
      <formula>$A764="calculate"</formula>
    </cfRule>
  </conditionalFormatting>
  <conditionalFormatting sqref="K765">
    <cfRule type="expression" dxfId="3174" priority="2882">
      <formula>$A765="calculate"</formula>
    </cfRule>
    <cfRule type="expression" dxfId="3173" priority="2437">
      <formula>$A765="calculate"</formula>
    </cfRule>
  </conditionalFormatting>
  <conditionalFormatting sqref="K766">
    <cfRule type="expression" dxfId="3172" priority="2892">
      <formula>$A766="calculate"</formula>
    </cfRule>
    <cfRule type="expression" dxfId="3171" priority="2442">
      <formula>$A766="calculate"</formula>
    </cfRule>
  </conditionalFormatting>
  <conditionalFormatting sqref="K767">
    <cfRule type="expression" dxfId="3170" priority="2822">
      <formula>$A767="calculate"</formula>
    </cfRule>
    <cfRule type="expression" dxfId="3169" priority="2443">
      <formula>$A767="calculate"</formula>
    </cfRule>
  </conditionalFormatting>
  <conditionalFormatting sqref="K768">
    <cfRule type="expression" dxfId="3168" priority="2444">
      <formula>$A768="calculate"</formula>
    </cfRule>
    <cfRule type="expression" dxfId="3167" priority="2832">
      <formula>$A768="calculate"</formula>
    </cfRule>
  </conditionalFormatting>
  <conditionalFormatting sqref="K769">
    <cfRule type="expression" dxfId="3166" priority="2445">
      <formula>$A769="calculate"</formula>
    </cfRule>
    <cfRule type="expression" dxfId="3165" priority="2842">
      <formula>$A769="calculate"</formula>
    </cfRule>
  </conditionalFormatting>
  <conditionalFormatting sqref="K770">
    <cfRule type="expression" dxfId="3164" priority="2450">
      <formula>$A770="calculate"</formula>
    </cfRule>
    <cfRule type="expression" dxfId="3163" priority="2852">
      <formula>$A770="calculate"</formula>
    </cfRule>
  </conditionalFormatting>
  <conditionalFormatting sqref="K771">
    <cfRule type="expression" dxfId="3162" priority="2902">
      <formula>$A771="calculate"</formula>
    </cfRule>
    <cfRule type="expression" dxfId="3161" priority="2451">
      <formula>$A771="calculate"</formula>
    </cfRule>
  </conditionalFormatting>
  <conditionalFormatting sqref="K772">
    <cfRule type="expression" dxfId="3160" priority="2912">
      <formula>$A772="calculate"</formula>
    </cfRule>
    <cfRule type="expression" dxfId="3159" priority="2452">
      <formula>$A772="calculate"</formula>
    </cfRule>
  </conditionalFormatting>
  <conditionalFormatting sqref="K773">
    <cfRule type="expression" dxfId="3158" priority="2922">
      <formula>$A773="calculate"</formula>
    </cfRule>
    <cfRule type="expression" dxfId="3157" priority="2453">
      <formula>$A773="calculate"</formula>
    </cfRule>
  </conditionalFormatting>
  <conditionalFormatting sqref="K774">
    <cfRule type="expression" dxfId="3156" priority="2932">
      <formula>$A774="calculate"</formula>
    </cfRule>
    <cfRule type="expression" dxfId="3155" priority="2446">
      <formula>$A774="calculate"</formula>
    </cfRule>
  </conditionalFormatting>
  <conditionalFormatting sqref="K775">
    <cfRule type="expression" dxfId="3154" priority="2447">
      <formula>$A775="calculate"</formula>
    </cfRule>
    <cfRule type="expression" dxfId="3153" priority="2982">
      <formula>$A775="calculate"</formula>
    </cfRule>
  </conditionalFormatting>
  <conditionalFormatting sqref="K776">
    <cfRule type="expression" dxfId="3152" priority="2992">
      <formula>$A776="calculate"</formula>
    </cfRule>
    <cfRule type="expression" dxfId="3151" priority="2448">
      <formula>$A776="calculate"</formula>
    </cfRule>
  </conditionalFormatting>
  <conditionalFormatting sqref="K777">
    <cfRule type="expression" dxfId="3150" priority="3002">
      <formula>$A777="calculate"</formula>
    </cfRule>
    <cfRule type="expression" dxfId="3149" priority="2449">
      <formula>$A777="calculate"</formula>
    </cfRule>
  </conditionalFormatting>
  <conditionalFormatting sqref="K778">
    <cfRule type="expression" dxfId="3148" priority="3012">
      <formula>$A778="calculate"</formula>
    </cfRule>
    <cfRule type="expression" dxfId="3147" priority="2454">
      <formula>$A778="calculate"</formula>
    </cfRule>
  </conditionalFormatting>
  <conditionalFormatting sqref="K779">
    <cfRule type="expression" dxfId="3146" priority="2455">
      <formula>$A779="calculate"</formula>
    </cfRule>
    <cfRule type="expression" dxfId="3145" priority="2942">
      <formula>$A779="calculate"</formula>
    </cfRule>
  </conditionalFormatting>
  <conditionalFormatting sqref="K780">
    <cfRule type="expression" dxfId="3144" priority="2952">
      <formula>$A780="calculate"</formula>
    </cfRule>
    <cfRule type="expression" dxfId="3143" priority="2456">
      <formula>$A780="calculate"</formula>
    </cfRule>
  </conditionalFormatting>
  <conditionalFormatting sqref="K781">
    <cfRule type="expression" dxfId="3142" priority="2457">
      <formula>$A781="calculate"</formula>
    </cfRule>
    <cfRule type="expression" dxfId="3141" priority="2962">
      <formula>$A781="calculate"</formula>
    </cfRule>
  </conditionalFormatting>
  <conditionalFormatting sqref="K781:K787">
    <cfRule type="expression" dxfId="3140" priority="2318">
      <formula>$A781="calculate"</formula>
    </cfRule>
    <cfRule type="expression" dxfId="3139" priority="2319">
      <formula>$A781="calculate"</formula>
    </cfRule>
  </conditionalFormatting>
  <conditionalFormatting sqref="K782">
    <cfRule type="expression" dxfId="3138" priority="2972">
      <formula>$A782="calculate"</formula>
    </cfRule>
  </conditionalFormatting>
  <conditionalFormatting sqref="K782:K787">
    <cfRule type="expression" dxfId="3137" priority="2430">
      <formula>AND($J782="section",$A782="begin group")</formula>
    </cfRule>
    <cfRule type="expression" dxfId="3136" priority="2431">
      <formula>AND($J782 = "section",$A782 = "end group")</formula>
    </cfRule>
    <cfRule type="expression" dxfId="3135" priority="2433">
      <formula xml:space="preserve"> AND($J782="gg",$A782 = "end group")</formula>
    </cfRule>
    <cfRule type="expression" dxfId="3134" priority="2432">
      <formula xml:space="preserve"> $A782 = "begin group"</formula>
    </cfRule>
  </conditionalFormatting>
  <conditionalFormatting sqref="K783">
    <cfRule type="expression" dxfId="3133" priority="3022">
      <formula>$A783="calculate"</formula>
    </cfRule>
  </conditionalFormatting>
  <conditionalFormatting sqref="K784:K787">
    <cfRule type="expression" dxfId="3132" priority="3032">
      <formula>$A784="calculate"</formula>
    </cfRule>
  </conditionalFormatting>
  <conditionalFormatting sqref="K801">
    <cfRule type="expression" dxfId="3131" priority="3048">
      <formula>$A801="calculate"</formula>
    </cfRule>
  </conditionalFormatting>
  <conditionalFormatting sqref="K808 I808:I809">
    <cfRule type="expression" dxfId="3130" priority="2468">
      <formula>$A808="calculate"</formula>
    </cfRule>
  </conditionalFormatting>
  <conditionalFormatting sqref="K809">
    <cfRule type="expression" dxfId="3129" priority="2310">
      <formula>$A809="calculate"</formula>
    </cfRule>
    <cfRule type="expression" dxfId="3128" priority="2309">
      <formula>$A809="calculate"</formula>
    </cfRule>
  </conditionalFormatting>
  <conditionalFormatting sqref="K809:K812">
    <cfRule type="expression" dxfId="3127" priority="2315">
      <formula>AND(#REF! = "section",$A809 = "end group")</formula>
    </cfRule>
    <cfRule type="expression" dxfId="3126" priority="2314">
      <formula>AND(#REF!="section",$A809="begin group")</formula>
    </cfRule>
    <cfRule type="expression" dxfId="3125" priority="2303">
      <formula>$A809="calculate"</formula>
    </cfRule>
    <cfRule type="expression" dxfId="3124" priority="2316">
      <formula xml:space="preserve"> $A809 = "begin group"</formula>
    </cfRule>
    <cfRule type="expression" dxfId="3123" priority="2304">
      <formula>$A809="calculate"</formula>
    </cfRule>
    <cfRule type="expression" dxfId="3122" priority="2317">
      <formula xml:space="preserve"> AND(#REF!="gg",$A809 = "end group")</formula>
    </cfRule>
  </conditionalFormatting>
  <conditionalFormatting sqref="K810">
    <cfRule type="expression" dxfId="3121" priority="2311">
      <formula>$A810="calculate"</formula>
    </cfRule>
  </conditionalFormatting>
  <conditionalFormatting sqref="K810:K812">
    <cfRule type="expression" dxfId="3120" priority="2307">
      <formula xml:space="preserve"> $A810 = "begin group"</formula>
    </cfRule>
    <cfRule type="expression" dxfId="3119" priority="2306">
      <formula>AND($J810 = "section",$A810 = "end group")</formula>
    </cfRule>
    <cfRule type="expression" dxfId="3118" priority="2308">
      <formula xml:space="preserve"> AND($J810="gg",$A810 = "end group")</formula>
    </cfRule>
    <cfRule type="expression" dxfId="3117" priority="2305">
      <formula>AND($J810="section",$A810="begin group")</formula>
    </cfRule>
  </conditionalFormatting>
  <conditionalFormatting sqref="K811">
    <cfRule type="expression" dxfId="3116" priority="2312">
      <formula>$A811="calculate"</formula>
    </cfRule>
  </conditionalFormatting>
  <conditionalFormatting sqref="K812">
    <cfRule type="expression" dxfId="3115" priority="2313">
      <formula>$A812="calculate"</formula>
    </cfRule>
  </conditionalFormatting>
  <conditionalFormatting sqref="K832:K836">
    <cfRule type="expression" dxfId="3114" priority="2370">
      <formula>$A832="calculate"</formula>
    </cfRule>
  </conditionalFormatting>
  <conditionalFormatting sqref="K837">
    <cfRule type="expression" dxfId="3113" priority="2356">
      <formula>$A837="calculate"</formula>
    </cfRule>
  </conditionalFormatting>
  <conditionalFormatting sqref="K838">
    <cfRule type="expression" dxfId="3112" priority="2365">
      <formula>$A838="calculate"</formula>
    </cfRule>
  </conditionalFormatting>
  <conditionalFormatting sqref="K846 K850 K855">
    <cfRule type="expression" dxfId="3111" priority="773">
      <formula>$A846="calculate"</formula>
    </cfRule>
    <cfRule type="expression" dxfId="3110" priority="774">
      <formula>$A846="calculate"</formula>
    </cfRule>
  </conditionalFormatting>
  <conditionalFormatting sqref="K846:K851 K853:K856">
    <cfRule type="expression" dxfId="3109" priority="778">
      <formula>AND(#REF!="section",$A846="begin group")</formula>
    </cfRule>
    <cfRule type="expression" dxfId="3108" priority="767">
      <formula>$A846="calculate"</formula>
    </cfRule>
    <cfRule type="expression" dxfId="3107" priority="780">
      <formula xml:space="preserve"> $A846 = "begin group"</formula>
    </cfRule>
    <cfRule type="expression" dxfId="3106" priority="781">
      <formula xml:space="preserve"> AND(#REF!="gg",$A846 = "end group")</formula>
    </cfRule>
    <cfRule type="expression" dxfId="3105" priority="779">
      <formula>AND(#REF! = "section",$A846 = "end group")</formula>
    </cfRule>
    <cfRule type="expression" dxfId="3104" priority="768">
      <formula>$A846="calculate"</formula>
    </cfRule>
  </conditionalFormatting>
  <conditionalFormatting sqref="K847 K851 K856">
    <cfRule type="expression" dxfId="3103" priority="775">
      <formula>$A847="calculate"</formula>
    </cfRule>
  </conditionalFormatting>
  <conditionalFormatting sqref="K847:K849">
    <cfRule type="expression" dxfId="3102" priority="772">
      <formula xml:space="preserve"> AND($J847="gg",$A847 = "end group")</formula>
    </cfRule>
    <cfRule type="expression" dxfId="3101" priority="771">
      <formula xml:space="preserve"> $A847 = "begin group"</formula>
    </cfRule>
    <cfRule type="expression" dxfId="3100" priority="770">
      <formula>AND($J847 = "section",$A847 = "end group")</formula>
    </cfRule>
    <cfRule type="expression" dxfId="3099" priority="769">
      <formula>AND($J847="section",$A847="begin group")</formula>
    </cfRule>
  </conditionalFormatting>
  <conditionalFormatting sqref="K848 K853">
    <cfRule type="expression" dxfId="3098" priority="776">
      <formula>$A848="calculate"</formula>
    </cfRule>
  </conditionalFormatting>
  <conditionalFormatting sqref="K849 K854">
    <cfRule type="expression" dxfId="3097" priority="777">
      <formula>$A849="calculate"</formula>
    </cfRule>
  </conditionalFormatting>
  <conditionalFormatting sqref="K850 K846 K852 J921:J922">
    <cfRule type="expression" dxfId="3096" priority="917">
      <formula xml:space="preserve"> $A880 = "end repeat"</formula>
    </cfRule>
    <cfRule type="expression" dxfId="3095" priority="915">
      <formula>AND($U$1="disabled",$U846="yes")</formula>
    </cfRule>
    <cfRule type="expression" dxfId="3094" priority="916">
      <formula>$A846 = "begin repeat"</formula>
    </cfRule>
  </conditionalFormatting>
  <conditionalFormatting sqref="K852">
    <cfRule type="expression" dxfId="3093" priority="16">
      <formula>$A852="calculate"</formula>
    </cfRule>
    <cfRule type="expression" dxfId="3092" priority="17">
      <formula>$A852="calculate"</formula>
    </cfRule>
    <cfRule type="expression" dxfId="3091" priority="19">
      <formula>AND(#REF! = "section",$A852 = "end group")</formula>
    </cfRule>
    <cfRule type="expression" dxfId="3090" priority="20">
      <formula xml:space="preserve"> $A852 = "begin group"</formula>
    </cfRule>
    <cfRule type="expression" dxfId="3089" priority="21">
      <formula xml:space="preserve"> AND(#REF!="gg",$A852 = "end group")</formula>
    </cfRule>
    <cfRule type="expression" dxfId="3088" priority="15">
      <formula>$A852="calculate"</formula>
    </cfRule>
    <cfRule type="expression" dxfId="3087" priority="18">
      <formula>AND(#REF!="section",$A852="begin group")</formula>
    </cfRule>
    <cfRule type="expression" dxfId="3086" priority="14">
      <formula>$A852="calculate"</formula>
    </cfRule>
  </conditionalFormatting>
  <conditionalFormatting sqref="K855 K846 K852 K848:K850">
    <cfRule type="expression" dxfId="3085" priority="912">
      <formula>AND($U$1="disabled",$U846="yes")</formula>
    </cfRule>
    <cfRule type="expression" dxfId="3084" priority="914">
      <formula xml:space="preserve"> $A879 = "end repeat"</formula>
    </cfRule>
    <cfRule type="expression" dxfId="3083" priority="913">
      <formula>$A846 = "begin repeat"</formula>
    </cfRule>
  </conditionalFormatting>
  <conditionalFormatting sqref="K857 K859">
    <cfRule type="expression" dxfId="3082" priority="1115">
      <formula xml:space="preserve"> $A908 = "begin group"</formula>
    </cfRule>
    <cfRule type="expression" dxfId="3081" priority="1114">
      <formula>AND($J908 = "section",$A908 = "end group")</formula>
    </cfRule>
    <cfRule type="expression" dxfId="3080" priority="1113">
      <formula>AND($J908="section",$A908="begin group")</formula>
    </cfRule>
    <cfRule type="expression" dxfId="3079" priority="1116">
      <formula xml:space="preserve"> AND($J908="gg",$A908 = "end group")</formula>
    </cfRule>
  </conditionalFormatting>
  <conditionalFormatting sqref="K857">
    <cfRule type="expression" dxfId="3078" priority="75">
      <formula xml:space="preserve"> $A990 = "end repeat"</formula>
    </cfRule>
    <cfRule type="expression" dxfId="3077" priority="73">
      <formula>AND($U$1="disabled",$U908="yes")</formula>
    </cfRule>
    <cfRule type="expression" dxfId="3076" priority="74">
      <formula>$A908 = "begin repeat"</formula>
    </cfRule>
  </conditionalFormatting>
  <conditionalFormatting sqref="K857:K858">
    <cfRule type="expression" dxfId="3075" priority="1160">
      <formula>$A908="calculate"</formula>
    </cfRule>
  </conditionalFormatting>
  <conditionalFormatting sqref="K858">
    <cfRule type="expression" dxfId="3074" priority="1169">
      <formula>AND(#REF!="section",$A909="begin group")</formula>
    </cfRule>
    <cfRule type="expression" dxfId="3073" priority="1170">
      <formula>AND(#REF! = "section",$A909 = "end group")</formula>
    </cfRule>
    <cfRule type="expression" dxfId="3072" priority="1171">
      <formula xml:space="preserve"> $A909 = "begin group"</formula>
    </cfRule>
    <cfRule type="expression" dxfId="3071" priority="82">
      <formula>AND($U$1="disabled",$U909="yes")</formula>
    </cfRule>
    <cfRule type="expression" dxfId="3070" priority="83">
      <formula>$A909 = "begin repeat"</formula>
    </cfRule>
    <cfRule type="expression" dxfId="3069" priority="1172">
      <formula xml:space="preserve"> AND(#REF!="gg",$A909 = "end group")</formula>
    </cfRule>
    <cfRule type="expression" dxfId="3068" priority="84">
      <formula xml:space="preserve"> $A970 = "end repeat"</formula>
    </cfRule>
  </conditionalFormatting>
  <conditionalFormatting sqref="K859">
    <cfRule type="expression" dxfId="3067" priority="1173">
      <formula>$A910="calculate"</formula>
    </cfRule>
    <cfRule type="expression" dxfId="3066" priority="956">
      <formula xml:space="preserve"> #REF! = "end repeat"</formula>
    </cfRule>
    <cfRule type="expression" dxfId="3065" priority="955">
      <formula>$A910 = "begin repeat"</formula>
    </cfRule>
    <cfRule type="expression" dxfId="3064" priority="954">
      <formula>AND($U$1="disabled",$U910="yes")</formula>
    </cfRule>
  </conditionalFormatting>
  <conditionalFormatting sqref="K860 K862:K863">
    <cfRule type="expression" dxfId="3063" priority="1158">
      <formula>$A912="calculate"</formula>
    </cfRule>
  </conditionalFormatting>
  <conditionalFormatting sqref="K860">
    <cfRule type="expression" dxfId="3062" priority="77">
      <formula>$A912 = "begin repeat"</formula>
    </cfRule>
    <cfRule type="expression" dxfId="3061" priority="78">
      <formula xml:space="preserve"> $A974 = "end repeat"</formula>
    </cfRule>
    <cfRule type="expression" dxfId="3060" priority="900">
      <formula xml:space="preserve"> AND($K918="gg",$A912 = "end group")</formula>
    </cfRule>
    <cfRule type="expression" dxfId="3059" priority="897">
      <formula>AND($K918="section",$A912="begin group")</formula>
    </cfRule>
    <cfRule type="expression" dxfId="3058" priority="898">
      <formula>AND($K918 = "section",$A912 = "end group")</formula>
    </cfRule>
    <cfRule type="expression" dxfId="3057" priority="899">
      <formula xml:space="preserve"> $A912 = "begin group"</formula>
    </cfRule>
    <cfRule type="expression" dxfId="3056" priority="76">
      <formula>AND($U$1="disabled",$U912="yes")</formula>
    </cfRule>
  </conditionalFormatting>
  <conditionalFormatting sqref="K861">
    <cfRule type="expression" dxfId="3055" priority="79">
      <formula>AND($U$1="disabled",$U911="yes")</formula>
    </cfRule>
    <cfRule type="expression" dxfId="3054" priority="908">
      <formula xml:space="preserve"> AND($K863="gg",$A911 = "end group")</formula>
    </cfRule>
    <cfRule type="expression" dxfId="3053" priority="907">
      <formula xml:space="preserve"> $A911 = "begin group"</formula>
    </cfRule>
    <cfRule type="expression" dxfId="3052" priority="1202">
      <formula>$A911="calculate"</formula>
    </cfRule>
    <cfRule type="expression" dxfId="3051" priority="906">
      <formula>AND($K863 = "section",$A911 = "end group")</formula>
    </cfRule>
    <cfRule type="expression" dxfId="3050" priority="81">
      <formula xml:space="preserve"> $A972 = "end repeat"</formula>
    </cfRule>
    <cfRule type="expression" dxfId="3049" priority="80">
      <formula>$A911 = "begin repeat"</formula>
    </cfRule>
    <cfRule type="expression" dxfId="3048" priority="905">
      <formula>AND($K863="section",$A911="begin group")</formula>
    </cfRule>
  </conditionalFormatting>
  <conditionalFormatting sqref="K862:K863">
    <cfRule type="expression" dxfId="3047" priority="995">
      <formula>AND($J914="section",$A914="begin group")</formula>
    </cfRule>
    <cfRule type="expression" dxfId="3046" priority="996">
      <formula>AND($J914 = "section",$A914 = "end group")</formula>
    </cfRule>
    <cfRule type="expression" dxfId="3045" priority="65">
      <formula>$A914 = "begin repeat"</formula>
    </cfRule>
    <cfRule type="expression" dxfId="3044" priority="997">
      <formula xml:space="preserve"> $A914 = "begin group"</formula>
    </cfRule>
    <cfRule type="expression" dxfId="3043" priority="64">
      <formula>AND($U$1="disabled",$U914="yes")</formula>
    </cfRule>
    <cfRule type="expression" dxfId="3042" priority="998">
      <formula xml:space="preserve"> AND($J914="gg",$A914 = "end group")</formula>
    </cfRule>
    <cfRule type="expression" dxfId="3041" priority="66">
      <formula xml:space="preserve"> $A971 = "end repeat"</formula>
    </cfRule>
  </conditionalFormatting>
  <conditionalFormatting sqref="K864 K876:K877 K868:K874">
    <cfRule type="expression" dxfId="3040" priority="960">
      <formula>AND($U$1="disabled",$U854="yes")</formula>
    </cfRule>
    <cfRule type="expression" dxfId="3039" priority="962">
      <formula xml:space="preserve"> #REF! = "end repeat"</formula>
    </cfRule>
    <cfRule type="expression" dxfId="3038" priority="961">
      <formula>$A854 = "begin repeat"</formula>
    </cfRule>
    <cfRule type="expression" dxfId="3037" priority="992">
      <formula>AND($J854 = "section",$A854 = "end group")</formula>
    </cfRule>
    <cfRule type="expression" dxfId="3036" priority="994">
      <formula xml:space="preserve"> AND($J854="gg",$A854 = "end group")</formula>
    </cfRule>
    <cfRule type="expression" dxfId="3035" priority="993">
      <formula xml:space="preserve"> $A854 = "begin group"</formula>
    </cfRule>
    <cfRule type="expression" dxfId="3034" priority="991">
      <formula>AND($J854="section",$A854="begin group")</formula>
    </cfRule>
  </conditionalFormatting>
  <conditionalFormatting sqref="K864">
    <cfRule type="expression" dxfId="3033" priority="985">
      <formula>AND($U$1="disabled",$U854="yes")</formula>
    </cfRule>
    <cfRule type="expression" dxfId="3032" priority="986">
      <formula>$A854 = "begin repeat"</formula>
    </cfRule>
    <cfRule type="expression" dxfId="3031" priority="987">
      <formula xml:space="preserve"> $A878 = "end repeat"</formula>
    </cfRule>
    <cfRule type="expression" dxfId="3030" priority="1153">
      <formula>#REF!="calculate"</formula>
    </cfRule>
  </conditionalFormatting>
  <conditionalFormatting sqref="K865 K878 K875">
    <cfRule type="expression" dxfId="3029" priority="1111">
      <formula xml:space="preserve"> $A854 = "begin group"</formula>
    </cfRule>
    <cfRule type="expression" dxfId="3028" priority="1110">
      <formula>AND($J854 = "section",$A854 = "end group")</formula>
    </cfRule>
    <cfRule type="expression" dxfId="3027" priority="1109">
      <formula>AND($J854="section",$A854="begin group")</formula>
    </cfRule>
    <cfRule type="expression" dxfId="3026" priority="1004">
      <formula xml:space="preserve"> #REF! = "end repeat"</formula>
    </cfRule>
    <cfRule type="expression" dxfId="3025" priority="1002">
      <formula>AND($U$1="disabled",$U854="yes")</formula>
    </cfRule>
    <cfRule type="expression" dxfId="3024" priority="1003">
      <formula>$A854 = "begin repeat"</formula>
    </cfRule>
    <cfRule type="expression" dxfId="3023" priority="1112">
      <formula xml:space="preserve"> AND($J854="gg",$A854 = "end group")</formula>
    </cfRule>
  </conditionalFormatting>
  <conditionalFormatting sqref="K865">
    <cfRule type="expression" dxfId="3022" priority="1192">
      <formula>$A854="calculate"</formula>
    </cfRule>
    <cfRule type="expression" dxfId="3021" priority="1011">
      <formula>AND($U$1="disabled",$U854="yes")</formula>
    </cfRule>
    <cfRule type="expression" dxfId="3020" priority="1012">
      <formula>$A854 = "begin repeat"</formula>
    </cfRule>
    <cfRule type="expression" dxfId="3019" priority="1013">
      <formula xml:space="preserve"> $A878 = "end repeat"</formula>
    </cfRule>
  </conditionalFormatting>
  <conditionalFormatting sqref="K866:K867 K906:K917">
    <cfRule type="expression" dxfId="3018" priority="1104">
      <formula xml:space="preserve"> AND($J854="gg",$A854 = "end group")</formula>
    </cfRule>
    <cfRule type="expression" dxfId="3017" priority="1101">
      <formula>AND($J854="section",$A854="begin group")</formula>
    </cfRule>
    <cfRule type="expression" dxfId="3016" priority="1103">
      <formula xml:space="preserve"> $A854 = "begin group"</formula>
    </cfRule>
    <cfRule type="expression" dxfId="3015" priority="1102">
      <formula>AND($J854 = "section",$A854 = "end group")</formula>
    </cfRule>
    <cfRule type="expression" dxfId="3014" priority="1007">
      <formula xml:space="preserve"> #REF! = "end repeat"</formula>
    </cfRule>
    <cfRule type="expression" dxfId="3013" priority="1006">
      <formula>$A854 = "begin repeat"</formula>
    </cfRule>
    <cfRule type="expression" dxfId="3012" priority="1005">
      <formula>AND($U$1="disabled",$U854="yes")</formula>
    </cfRule>
  </conditionalFormatting>
  <conditionalFormatting sqref="K866:K867">
    <cfRule type="expression" dxfId="3011" priority="1193">
      <formula>$A854="calculate"</formula>
    </cfRule>
    <cfRule type="expression" dxfId="3010" priority="1010">
      <formula xml:space="preserve"> $A878 = "end repeat"</formula>
    </cfRule>
    <cfRule type="expression" dxfId="3009" priority="1008">
      <formula>AND($U$1="disabled",$U854="yes")</formula>
    </cfRule>
    <cfRule type="expression" dxfId="3008" priority="1009">
      <formula>$A854 = "begin repeat"</formula>
    </cfRule>
  </conditionalFormatting>
  <conditionalFormatting sqref="K868:K872 K876">
    <cfRule type="expression" dxfId="3007" priority="1261">
      <formula>$A858="calculate"</formula>
    </cfRule>
  </conditionalFormatting>
  <conditionalFormatting sqref="K869:K871">
    <cfRule type="expression" dxfId="3006" priority="983">
      <formula>$A859 = "begin repeat"</formula>
    </cfRule>
    <cfRule type="expression" dxfId="3005" priority="984">
      <formula xml:space="preserve"> $A866 = "end repeat"</formula>
    </cfRule>
    <cfRule type="expression" dxfId="3004" priority="982">
      <formula>AND($U$1="disabled",$U859="yes")</formula>
    </cfRule>
  </conditionalFormatting>
  <conditionalFormatting sqref="K873">
    <cfRule type="expression" dxfId="3003" priority="1175">
      <formula>$A863="calculate"</formula>
    </cfRule>
  </conditionalFormatting>
  <conditionalFormatting sqref="K873:K874 K876:K877">
    <cfRule type="expression" dxfId="3002" priority="989">
      <formula>$A863 = "begin repeat"</formula>
    </cfRule>
    <cfRule type="expression" dxfId="3001" priority="990">
      <formula xml:space="preserve"> $A884 = "end repeat"</formula>
    </cfRule>
    <cfRule type="expression" dxfId="3000" priority="988">
      <formula>AND($U$1="disabled",$U863="yes")</formula>
    </cfRule>
  </conditionalFormatting>
  <conditionalFormatting sqref="K874:K875">
    <cfRule type="expression" dxfId="2999" priority="1176">
      <formula>$A863="calculate"</formula>
    </cfRule>
  </conditionalFormatting>
  <conditionalFormatting sqref="K876">
    <cfRule type="expression" dxfId="2998" priority="1174">
      <formula>$A865="calculate"</formula>
    </cfRule>
  </conditionalFormatting>
  <conditionalFormatting sqref="K877:K878">
    <cfRule type="expression" dxfId="2997" priority="1182">
      <formula>$A866="calculate"</formula>
    </cfRule>
  </conditionalFormatting>
  <conditionalFormatting sqref="K878 K875">
    <cfRule type="expression" dxfId="2996" priority="1015">
      <formula>$A864 = "begin repeat"</formula>
    </cfRule>
    <cfRule type="expression" dxfId="2995" priority="1014">
      <formula>AND($U$1="disabled",$U864="yes")</formula>
    </cfRule>
    <cfRule type="expression" dxfId="2994" priority="1016">
      <formula xml:space="preserve"> $A885 = "end repeat"</formula>
    </cfRule>
  </conditionalFormatting>
  <conditionalFormatting sqref="K879:K899">
    <cfRule type="expression" dxfId="2993" priority="947">
      <formula xml:space="preserve"> $A883 = "end repeat"</formula>
    </cfRule>
    <cfRule type="expression" dxfId="2992" priority="945">
      <formula>AND($U$1="disabled",$U873="yes")</formula>
    </cfRule>
    <cfRule type="expression" dxfId="2991" priority="958">
      <formula>$A873 = "begin repeat"</formula>
    </cfRule>
    <cfRule type="expression" dxfId="2990" priority="959">
      <formula xml:space="preserve"> #REF! = "end repeat"</formula>
    </cfRule>
    <cfRule type="expression" dxfId="2989" priority="1154">
      <formula>$A873="calculate"</formula>
    </cfRule>
    <cfRule type="expression" dxfId="2988" priority="980">
      <formula xml:space="preserve"> $A873 = "begin group"</formula>
    </cfRule>
    <cfRule type="expression" dxfId="2987" priority="981">
      <formula xml:space="preserve"> AND($J873="gg",$A873 = "end group")</formula>
    </cfRule>
    <cfRule type="expression" dxfId="2986" priority="979">
      <formula>AND($J873 = "section",$A873 = "end group")</formula>
    </cfRule>
    <cfRule type="expression" dxfId="2985" priority="957">
      <formula>AND($U$1="disabled",$U873="yes")</formula>
    </cfRule>
    <cfRule type="expression" dxfId="2984" priority="978">
      <formula>AND($J873="section",$A873="begin group")</formula>
    </cfRule>
    <cfRule type="expression" dxfId="2983" priority="946">
      <formula>$A873 = "begin repeat"</formula>
    </cfRule>
  </conditionalFormatting>
  <conditionalFormatting sqref="K900">
    <cfRule type="expression" dxfId="2982" priority="937">
      <formula>$A856 = "begin repeat"</formula>
    </cfRule>
    <cfRule type="expression" dxfId="2981" priority="936">
      <formula>AND($U$1="disabled",$U856="yes")</formula>
    </cfRule>
    <cfRule type="expression" dxfId="2980" priority="938">
      <formula xml:space="preserve"> $A880 = "end repeat"</formula>
    </cfRule>
  </conditionalFormatting>
  <conditionalFormatting sqref="K900:K901">
    <cfRule type="expression" dxfId="2979" priority="951">
      <formula>AND($U$1="disabled",$U856="yes")</formula>
    </cfRule>
    <cfRule type="expression" dxfId="2978" priority="1187">
      <formula>$A856="calculate"</formula>
    </cfRule>
    <cfRule type="expression" dxfId="2977" priority="974">
      <formula>AND($J856="section",$A856="begin group")</formula>
    </cfRule>
    <cfRule type="expression" dxfId="2976" priority="977">
      <formula xml:space="preserve"> AND($J856="gg",$A856 = "end group")</formula>
    </cfRule>
    <cfRule type="expression" dxfId="2975" priority="953">
      <formula xml:space="preserve"> #REF! = "end repeat"</formula>
    </cfRule>
    <cfRule type="expression" dxfId="2974" priority="976">
      <formula xml:space="preserve"> $A856 = "begin group"</formula>
    </cfRule>
    <cfRule type="expression" dxfId="2973" priority="952">
      <formula>$A856 = "begin repeat"</formula>
    </cfRule>
    <cfRule type="expression" dxfId="2972" priority="975">
      <formula>AND($J856 = "section",$A856 = "end group")</formula>
    </cfRule>
  </conditionalFormatting>
  <conditionalFormatting sqref="K901">
    <cfRule type="expression" dxfId="2971" priority="934">
      <formula>$A857 = "begin repeat"</formula>
    </cfRule>
    <cfRule type="expression" dxfId="2970" priority="935">
      <formula xml:space="preserve"> $A880 = "end repeat"</formula>
    </cfRule>
    <cfRule type="expression" dxfId="2969" priority="933">
      <formula>AND($U$1="disabled",$U857="yes")</formula>
    </cfRule>
  </conditionalFormatting>
  <conditionalFormatting sqref="K902:K905">
    <cfRule type="expression" dxfId="2968" priority="972">
      <formula xml:space="preserve"> $A869 = "begin group"</formula>
    </cfRule>
    <cfRule type="expression" dxfId="2967" priority="939">
      <formula>AND($U$1="disabled",$U869="yes")</formula>
    </cfRule>
    <cfRule type="expression" dxfId="2966" priority="1155">
      <formula>$A869="calculate"</formula>
    </cfRule>
    <cfRule type="expression" dxfId="2965" priority="970">
      <formula>AND($J869="section",$A869="begin group")</formula>
    </cfRule>
    <cfRule type="expression" dxfId="2964" priority="973">
      <formula xml:space="preserve"> AND($J869="gg",$A869 = "end group")</formula>
    </cfRule>
    <cfRule type="expression" dxfId="2963" priority="940">
      <formula>$A869 = "begin repeat"</formula>
    </cfRule>
    <cfRule type="expression" dxfId="2962" priority="944">
      <formula xml:space="preserve"> #REF! = "end repeat"</formula>
    </cfRule>
    <cfRule type="expression" dxfId="2961" priority="971">
      <formula>AND($J869 = "section",$A869 = "end group")</formula>
    </cfRule>
    <cfRule type="expression" dxfId="2960" priority="943">
      <formula>$A869 = "begin repeat"</formula>
    </cfRule>
    <cfRule type="expression" dxfId="2959" priority="942">
      <formula>AND($U$1="disabled",$U869="yes")</formula>
    </cfRule>
    <cfRule type="expression" dxfId="2958" priority="941">
      <formula xml:space="preserve"> $A881 = "end repeat"</formula>
    </cfRule>
  </conditionalFormatting>
  <conditionalFormatting sqref="K906:K909">
    <cfRule type="expression" dxfId="2957" priority="950">
      <formula xml:space="preserve"> $A904 = "end repeat"</formula>
    </cfRule>
    <cfRule type="expression" dxfId="2956" priority="949">
      <formula>$A894 = "begin repeat"</formula>
    </cfRule>
    <cfRule type="expression" dxfId="2955" priority="948">
      <formula>AND($U$1="disabled",$U894="yes")</formula>
    </cfRule>
  </conditionalFormatting>
  <conditionalFormatting sqref="K906:K917">
    <cfRule type="expression" dxfId="2954" priority="1156">
      <formula>$A894="calculate"</formula>
    </cfRule>
  </conditionalFormatting>
  <conditionalFormatting sqref="K910">
    <cfRule type="expression" dxfId="2953" priority="68">
      <formula>$A898 = "begin repeat"</formula>
    </cfRule>
    <cfRule type="expression" dxfId="2952" priority="67">
      <formula>AND($U$1="disabled",$U898="yes")</formula>
    </cfRule>
    <cfRule type="expression" dxfId="2951" priority="69">
      <formula xml:space="preserve"> $A972 = "end repeat"</formula>
    </cfRule>
  </conditionalFormatting>
  <conditionalFormatting sqref="K911:K917">
    <cfRule type="expression" dxfId="2950" priority="95">
      <formula>$A899 = "begin repeat"</formula>
    </cfRule>
    <cfRule type="expression" dxfId="2949" priority="96">
      <formula xml:space="preserve"> $A974 = "end repeat"</formula>
    </cfRule>
    <cfRule type="expression" dxfId="2948" priority="94">
      <formula>AND($U$1="disabled",$U899="yes")</formula>
    </cfRule>
  </conditionalFormatting>
  <conditionalFormatting sqref="K918 K974 K1005 K988">
    <cfRule type="expression" dxfId="2947" priority="1120">
      <formula xml:space="preserve"> AND($J916="gg",$A916 = "end group")</formula>
    </cfRule>
    <cfRule type="expression" dxfId="2946" priority="1117">
      <formula>AND($J916="section",$A916="begin group")</formula>
    </cfRule>
    <cfRule type="expression" dxfId="2945" priority="1118">
      <formula>AND($J916 = "section",$A916 = "end group")</formula>
    </cfRule>
    <cfRule type="expression" dxfId="2944" priority="1119">
      <formula xml:space="preserve"> $A916 = "begin group"</formula>
    </cfRule>
  </conditionalFormatting>
  <conditionalFormatting sqref="K918">
    <cfRule type="expression" dxfId="2943" priority="1159">
      <formula>$A916="calculate"</formula>
    </cfRule>
    <cfRule type="expression" dxfId="2942" priority="70">
      <formula>AND($U$1="disabled",$U916="yes")</formula>
    </cfRule>
    <cfRule type="expression" dxfId="2941" priority="71">
      <formula>$A916 = "begin repeat"</formula>
    </cfRule>
    <cfRule type="expression" dxfId="2940" priority="72">
      <formula xml:space="preserve"> $A974 = "end repeat"</formula>
    </cfRule>
  </conditionalFormatting>
  <conditionalFormatting sqref="K919:K942">
    <cfRule type="expression" dxfId="2939" priority="1157">
      <formula>$A919="calculate"</formula>
    </cfRule>
  </conditionalFormatting>
  <conditionalFormatting sqref="K923:K924">
    <cfRule type="expression" dxfId="2938" priority="50">
      <formula xml:space="preserve"> $A1008 = "end repeat"</formula>
    </cfRule>
    <cfRule type="expression" dxfId="2937" priority="49">
      <formula>$A923 = "begin repeat"</formula>
    </cfRule>
    <cfRule type="expression" dxfId="2936" priority="48">
      <formula>AND($U$1="disabled",$U923="yes")</formula>
    </cfRule>
  </conditionalFormatting>
  <conditionalFormatting sqref="K925">
    <cfRule type="expression" dxfId="2935" priority="903">
      <formula xml:space="preserve"> $A925 = "begin group"</formula>
    </cfRule>
    <cfRule type="expression" dxfId="2934" priority="901">
      <formula>AND($K929="section",$A925="begin group")</formula>
    </cfRule>
    <cfRule type="expression" dxfId="2933" priority="902">
      <formula>AND($K929 = "section",$A925 = "end group")</formula>
    </cfRule>
    <cfRule type="expression" dxfId="2932" priority="904">
      <formula xml:space="preserve"> AND($K929="gg",$A925 = "end group")</formula>
    </cfRule>
  </conditionalFormatting>
  <conditionalFormatting sqref="K925:K928">
    <cfRule type="expression" dxfId="2931" priority="707">
      <formula xml:space="preserve"> $A991 = "end repeat"</formula>
    </cfRule>
    <cfRule type="expression" dxfId="2930" priority="705">
      <formula>AND($U$1="disabled",$U925="yes")</formula>
    </cfRule>
    <cfRule type="expression" dxfId="2929" priority="706">
      <formula>$A925 = "begin repeat"</formula>
    </cfRule>
  </conditionalFormatting>
  <conditionalFormatting sqref="K926:K928">
    <cfRule type="expression" dxfId="2928" priority="1190">
      <formula xml:space="preserve"> $A926 = "begin group"</formula>
    </cfRule>
    <cfRule type="expression" dxfId="2927" priority="1188">
      <formula>AND(#REF!="section",$A926="begin group")</formula>
    </cfRule>
    <cfRule type="expression" dxfId="2926" priority="1191">
      <formula xml:space="preserve"> AND(#REF!="gg",$A926 = "end group")</formula>
    </cfRule>
    <cfRule type="expression" dxfId="2925" priority="1189">
      <formula>AND(#REF! = "section",$A926 = "end group")</formula>
    </cfRule>
  </conditionalFormatting>
  <conditionalFormatting sqref="K932">
    <cfRule type="expression" dxfId="2924" priority="787">
      <formula xml:space="preserve"> $A993 = "end repeat"</formula>
    </cfRule>
    <cfRule type="expression" dxfId="2923" priority="785">
      <formula>AND($U$1="disabled",$U932="yes")</formula>
    </cfRule>
    <cfRule type="expression" dxfId="2922" priority="786">
      <formula>$A932 = "begin repeat"</formula>
    </cfRule>
  </conditionalFormatting>
  <conditionalFormatting sqref="K933:K935">
    <cfRule type="expression" dxfId="2921" priority="797">
      <formula>AND($U$1="disabled",$U933="yes")</formula>
    </cfRule>
    <cfRule type="expression" dxfId="2920" priority="798">
      <formula>$A933 = "begin repeat"</formula>
    </cfRule>
    <cfRule type="expression" dxfId="2919" priority="799">
      <formula xml:space="preserve"> $A993 = "end repeat"</formula>
    </cfRule>
  </conditionalFormatting>
  <conditionalFormatting sqref="K936 K929:K931">
    <cfRule type="expression" dxfId="2918" priority="690">
      <formula>$A929 = "begin repeat"</formula>
    </cfRule>
    <cfRule type="expression" dxfId="2917" priority="689">
      <formula>AND($U$1="disabled",$U929="yes")</formula>
    </cfRule>
    <cfRule type="expression" dxfId="2916" priority="691">
      <formula xml:space="preserve"> $A991 = "end repeat"</formula>
    </cfRule>
  </conditionalFormatting>
  <conditionalFormatting sqref="K938 K941:K942 K944:K948">
    <cfRule type="expression" dxfId="2915" priority="910">
      <formula>$A938 = "begin repeat"</formula>
    </cfRule>
    <cfRule type="expression" dxfId="2914" priority="911">
      <formula xml:space="preserve"> $A995 = "end repeat"</formula>
    </cfRule>
    <cfRule type="expression" dxfId="2913" priority="909">
      <formula>AND($U$1="disabled",$U938="yes")</formula>
    </cfRule>
  </conditionalFormatting>
  <conditionalFormatting sqref="K939">
    <cfRule type="expression" dxfId="2912" priority="791">
      <formula>AND($U$1="disabled",$U939="yes")</formula>
    </cfRule>
    <cfRule type="expression" dxfId="2911" priority="793">
      <formula xml:space="preserve"> $A995 = "end repeat"</formula>
    </cfRule>
    <cfRule type="expression" dxfId="2910" priority="792">
      <formula>$A939 = "begin repeat"</formula>
    </cfRule>
  </conditionalFormatting>
  <conditionalFormatting sqref="K943 K937 K919:K922">
    <cfRule type="expression" dxfId="2909" priority="1034">
      <formula xml:space="preserve"> $A977 = "end repeat"</formula>
    </cfRule>
    <cfRule type="expression" dxfId="2908" priority="1033">
      <formula>$A919 = "begin repeat"</formula>
    </cfRule>
    <cfRule type="expression" dxfId="2907" priority="1032">
      <formula>AND($U$1="disabled",$U919="yes")</formula>
    </cfRule>
  </conditionalFormatting>
  <conditionalFormatting sqref="K943:K952">
    <cfRule type="expression" dxfId="2906" priority="856">
      <formula>$A943="calculate"</formula>
    </cfRule>
  </conditionalFormatting>
  <conditionalFormatting sqref="K953 K940 K949:K951">
    <cfRule type="expression" dxfId="2905" priority="1031">
      <formula xml:space="preserve"> $A995 = "end repeat"</formula>
    </cfRule>
    <cfRule type="expression" dxfId="2904" priority="1030">
      <formula>$A940 = "begin repeat"</formula>
    </cfRule>
    <cfRule type="expression" dxfId="2903" priority="1029">
      <formula>AND($U$1="disabled",$U940="yes")</formula>
    </cfRule>
  </conditionalFormatting>
  <conditionalFormatting sqref="K953:K954">
    <cfRule type="expression" dxfId="2902" priority="829">
      <formula>$A953="calculate"</formula>
    </cfRule>
  </conditionalFormatting>
  <conditionalFormatting sqref="K954 K952">
    <cfRule type="expression" dxfId="2901" priority="872">
      <formula xml:space="preserve"> $A1006 = "end repeat"</formula>
    </cfRule>
    <cfRule type="expression" dxfId="2900" priority="871">
      <formula>$A952 = "begin repeat"</formula>
    </cfRule>
    <cfRule type="expression" dxfId="2899" priority="870">
      <formula>AND($U$1="disabled",$U952="yes")</formula>
    </cfRule>
  </conditionalFormatting>
  <conditionalFormatting sqref="K972:K973">
    <cfRule type="expression" dxfId="2898" priority="804">
      <formula>$A979 = "begin repeat"</formula>
    </cfRule>
    <cfRule type="expression" dxfId="2897" priority="803">
      <formula>AND($U$1="disabled",$U979="yes")</formula>
    </cfRule>
    <cfRule type="expression" dxfId="2896" priority="805">
      <formula xml:space="preserve"> $A993 = "end repeat"</formula>
    </cfRule>
  </conditionalFormatting>
  <conditionalFormatting sqref="K974 K1005 K988">
    <cfRule type="expression" dxfId="2895" priority="1247">
      <formula>$A972="calculate"</formula>
    </cfRule>
  </conditionalFormatting>
  <conditionalFormatting sqref="K974">
    <cfRule type="expression" dxfId="2894" priority="928">
      <formula>$A972 = "begin repeat"</formula>
    </cfRule>
    <cfRule type="expression" dxfId="2893" priority="927">
      <formula>AND($U$1="disabled",$U972="yes")</formula>
    </cfRule>
    <cfRule type="expression" dxfId="2892" priority="929">
      <formula xml:space="preserve"> $A986 = "end repeat"</formula>
    </cfRule>
  </conditionalFormatting>
  <conditionalFormatting sqref="K975:K979 K989:K993 K1006:K1010">
    <cfRule type="expression" dxfId="2891" priority="1274">
      <formula>$A974="calculate"</formula>
    </cfRule>
  </conditionalFormatting>
  <conditionalFormatting sqref="K975:K979 K1006:K1010 K989:K993">
    <cfRule type="expression" dxfId="2890" priority="1108">
      <formula xml:space="preserve"> AND($J974="gg",$A974 = "end group")</formula>
    </cfRule>
    <cfRule type="expression" dxfId="2889" priority="1106">
      <formula>AND($J974 = "section",$A974 = "end group")</formula>
    </cfRule>
    <cfRule type="expression" dxfId="2888" priority="1105">
      <formula>AND($J974="section",$A974="begin group")</formula>
    </cfRule>
    <cfRule type="expression" dxfId="2887" priority="1107">
      <formula xml:space="preserve"> $A974 = "begin group"</formula>
    </cfRule>
  </conditionalFormatting>
  <conditionalFormatting sqref="K975:K979">
    <cfRule type="expression" dxfId="2886" priority="800">
      <formula>AND($U$1="disabled",$U974="yes")</formula>
    </cfRule>
    <cfRule type="expression" dxfId="2885" priority="802">
      <formula xml:space="preserve"> $A988 = "end repeat"</formula>
    </cfRule>
    <cfRule type="expression" dxfId="2884" priority="801">
      <formula>$A974 = "begin repeat"</formula>
    </cfRule>
  </conditionalFormatting>
  <conditionalFormatting sqref="K986:K987 K972:K973 K1003:K1004">
    <cfRule type="expression" dxfId="2883" priority="1252">
      <formula>$A979="calculate"</formula>
    </cfRule>
  </conditionalFormatting>
  <conditionalFormatting sqref="K986:K987 K1003:K1004 K972:K973">
    <cfRule type="expression" dxfId="2882" priority="967">
      <formula>AND($J979 = "section",$A979 = "end group")</formula>
    </cfRule>
    <cfRule type="expression" dxfId="2881" priority="968">
      <formula xml:space="preserve"> $A979 = "begin group"</formula>
    </cfRule>
    <cfRule type="expression" dxfId="2880" priority="969">
      <formula xml:space="preserve"> AND($J979="gg",$A979 = "end group")</formula>
    </cfRule>
    <cfRule type="expression" dxfId="2879" priority="966">
      <formula>AND($J979="section",$A979="begin group")</formula>
    </cfRule>
  </conditionalFormatting>
  <conditionalFormatting sqref="K986:K987 K1003:K1004">
    <cfRule type="expression" dxfId="2878" priority="923">
      <formula xml:space="preserve"> #REF! = "end repeat"</formula>
    </cfRule>
    <cfRule type="expression" dxfId="2877" priority="922">
      <formula>$A993 = "begin repeat"</formula>
    </cfRule>
    <cfRule type="expression" dxfId="2876" priority="921">
      <formula>AND($U$1="disabled",$U993="yes")</formula>
    </cfRule>
  </conditionalFormatting>
  <conditionalFormatting sqref="K988">
    <cfRule type="expression" dxfId="2875" priority="896">
      <formula xml:space="preserve"> $A1003 = "end repeat"</formula>
    </cfRule>
    <cfRule type="expression" dxfId="2874" priority="895">
      <formula>$A986 = "begin repeat"</formula>
    </cfRule>
    <cfRule type="expression" dxfId="2873" priority="894">
      <formula>AND($U$1="disabled",$U986="yes")</formula>
    </cfRule>
  </conditionalFormatting>
  <conditionalFormatting sqref="K989:K991">
    <cfRule type="expression" dxfId="2872" priority="818">
      <formula>AND($U$1="disabled",$U988="yes")</formula>
    </cfRule>
    <cfRule type="expression" dxfId="2871" priority="819">
      <formula>$A988 = "begin repeat"</formula>
    </cfRule>
    <cfRule type="expression" dxfId="2870" priority="820">
      <formula xml:space="preserve"> $A1005 = "end repeat"</formula>
    </cfRule>
  </conditionalFormatting>
  <conditionalFormatting sqref="K992:K993">
    <cfRule type="expression" dxfId="2869" priority="806">
      <formula>AND($U$1="disabled",$U991="yes")</formula>
    </cfRule>
    <cfRule type="expression" dxfId="2868" priority="807">
      <formula>$A991 = "begin repeat"</formula>
    </cfRule>
    <cfRule type="expression" dxfId="2867" priority="808">
      <formula xml:space="preserve"> $A1017 = "end repeat"</formula>
    </cfRule>
  </conditionalFormatting>
  <conditionalFormatting sqref="K1005">
    <cfRule type="expression" dxfId="2866" priority="919">
      <formula>$A1003 = "begin repeat"</formula>
    </cfRule>
    <cfRule type="expression" dxfId="2865" priority="920">
      <formula xml:space="preserve"> #REF! = "end repeat"</formula>
    </cfRule>
    <cfRule type="expression" dxfId="2864" priority="918">
      <formula>AND($U$1="disabled",$U1003="yes")</formula>
    </cfRule>
  </conditionalFormatting>
  <conditionalFormatting sqref="K1006:K1010">
    <cfRule type="expression" dxfId="2863" priority="965">
      <formula xml:space="preserve"> #REF! = "end repeat"</formula>
    </cfRule>
    <cfRule type="expression" dxfId="2862" priority="963">
      <formula>AND($U$1="disabled",$U1005="yes")</formula>
    </cfRule>
    <cfRule type="expression" dxfId="2861" priority="964">
      <formula>$A1005 = "begin repeat"</formula>
    </cfRule>
  </conditionalFormatting>
  <conditionalFormatting sqref="K624:L624">
    <cfRule type="expression" dxfId="2860" priority="1987">
      <formula>$A624 = "begin repeat"</formula>
    </cfRule>
    <cfRule type="expression" dxfId="2859" priority="1988">
      <formula xml:space="preserve"> $A747 = "end repeat"</formula>
    </cfRule>
    <cfRule type="expression" dxfId="2858" priority="1986">
      <formula>AND($U$1="disabled",$U624="yes")</formula>
    </cfRule>
  </conditionalFormatting>
  <conditionalFormatting sqref="K34:N35 R34:S35 U34:V35 A34:E34 G34 P34:P35 A35:I35">
    <cfRule type="expression" dxfId="2857" priority="742974">
      <formula>AND($V$1="disabled",$V34="yes")</formula>
    </cfRule>
  </conditionalFormatting>
  <conditionalFormatting sqref="K345:N345 P345 A345 R345:S345 U345:V345 D345">
    <cfRule type="expression" dxfId="2856" priority="7498">
      <formula>$A345 = "begin repeat"</formula>
    </cfRule>
    <cfRule type="expression" dxfId="2855" priority="7499">
      <formula xml:space="preserve"> #REF! = "end repeat"</formula>
    </cfRule>
  </conditionalFormatting>
  <conditionalFormatting sqref="K123:W123 A123:I123 K205:W205 K201 A205:I205">
    <cfRule type="expression" dxfId="2854" priority="8552">
      <formula>$A123 = "begin repeat"</formula>
    </cfRule>
    <cfRule type="expression" dxfId="2853" priority="8553">
      <formula xml:space="preserve"> $A127 = "end repeat"</formula>
    </cfRule>
    <cfRule type="expression" dxfId="2852" priority="8551">
      <formula>AND($U$1="disabled",$U123="yes")</formula>
    </cfRule>
  </conditionalFormatting>
  <conditionalFormatting sqref="K310:W310 D312:D313 K342:K343 K340">
    <cfRule type="expression" dxfId="2851" priority="7451">
      <formula>AND($U$1="disabled",$U310="yes")</formula>
    </cfRule>
    <cfRule type="expression" dxfId="2850" priority="7453">
      <formula xml:space="preserve"> $A346 = "end repeat"</formula>
    </cfRule>
    <cfRule type="expression" dxfId="2849" priority="7452">
      <formula>$A310 = "begin repeat"</formula>
    </cfRule>
  </conditionalFormatting>
  <conditionalFormatting sqref="K311:W311">
    <cfRule type="expression" dxfId="2848" priority="7459">
      <formula xml:space="preserve"> $A346 = "end repeat"</formula>
    </cfRule>
    <cfRule type="expression" dxfId="2847" priority="7458">
      <formula>$A311 = "begin repeat"</formula>
    </cfRule>
    <cfRule type="expression" dxfId="2846" priority="7457">
      <formula>AND($U$1="disabled",$U311="yes")</formula>
    </cfRule>
  </conditionalFormatting>
  <conditionalFormatting sqref="K317:W317">
    <cfRule type="expression" dxfId="2845" priority="7517">
      <formula xml:space="preserve"> $A356 = "end repeat"</formula>
    </cfRule>
    <cfRule type="expression" dxfId="2844" priority="7516">
      <formula>$A317 = "begin repeat"</formula>
    </cfRule>
    <cfRule type="expression" dxfId="2843" priority="7515">
      <formula>AND($U$1="disabled",$U317="yes")</formula>
    </cfRule>
  </conditionalFormatting>
  <conditionalFormatting sqref="K762:W762">
    <cfRule type="expression" dxfId="2842" priority="2652">
      <formula>AND($U$1="disabled",$U762="yes")</formula>
    </cfRule>
    <cfRule type="expression" dxfId="2841" priority="2653">
      <formula>$A762 = "begin repeat"</formula>
    </cfRule>
    <cfRule type="expression" dxfId="2840" priority="2654">
      <formula xml:space="preserve"> $A817 = "end repeat"</formula>
    </cfRule>
  </conditionalFormatting>
  <conditionalFormatting sqref="L28:L32">
    <cfRule type="expression" dxfId="2839" priority="31909">
      <formula xml:space="preserve"> #REF! = "appearance"</formula>
    </cfRule>
  </conditionalFormatting>
  <conditionalFormatting sqref="L163 Q163 O163 I163">
    <cfRule type="expression" dxfId="2838" priority="8754">
      <formula xml:space="preserve"> $A166 = "end repeat"</formula>
    </cfRule>
    <cfRule type="expression" dxfId="2837" priority="8753">
      <formula>$A163 = "begin repeat"</formula>
    </cfRule>
  </conditionalFormatting>
  <conditionalFormatting sqref="L359:L360 M358:W360 I360 I370:I371 L370:W371 D363 B362 I376:I377 I382:I383 I388:I389 N379:W380 M379 M374:W375 A368:A371 A374:A377 A380:A383 A386:A389 B369:B373 J369:J372 D366:D371 B375:B379 B381:B385 B387:B391 J375:J378 J381:J384 J387:J390 D374:D377 D380:D383 D386:D389 J358:K360 L367:W367 M383:W383 G358:G360 F358:F359 H358:I359 A358:E360 M453:W453 M421:W423 D434 B427 M443:W443 D445 L435:L436 L432:W432 B437:B438 J437 D452 D455 I425 A425 K425:W425 B447:B448 J447 G425 C425:E425 E423:E424 I458:J460 D457:D460 L472:L474 A491:A492 I491:I492 N486:W492 M486:M491 B492 A504:A505 I504:I505 N504:W505 M504 B505 E488:E489 C491:D491 I524:J525 A479:A480 H523:J523 H542:H544 F542:F544 D492:D525 I393:J395 A393:A395 D392:D395 L407:L409 C492:C556 A520:B520 I521:J522 M521:W521 B519 H546:H556 F546:F556 F523:F539 H524:H539 B458:B485 B393:B420">
    <cfRule type="expression" dxfId="2836" priority="6802">
      <formula xml:space="preserve"> #REF! = "end repeat"</formula>
    </cfRule>
    <cfRule type="expression" dxfId="2835" priority="6801">
      <formula>$A358 = "begin repeat"</formula>
    </cfRule>
    <cfRule type="expression" dxfId="2834" priority="6800">
      <formula>AND($U$1="disabled",$U358="yes")</formula>
    </cfRule>
  </conditionalFormatting>
  <conditionalFormatting sqref="L393:L395 L454:L456 L458:L460">
    <cfRule type="expression" dxfId="2833" priority="6667">
      <formula>$A393 = "begin repeat"</formula>
    </cfRule>
    <cfRule type="expression" dxfId="2832" priority="6666">
      <formula>AND($U$1="disabled",$U393="yes")</formula>
    </cfRule>
    <cfRule type="expression" dxfId="2831" priority="6668">
      <formula xml:space="preserve"> $A453 = "end repeat"</formula>
    </cfRule>
  </conditionalFormatting>
  <conditionalFormatting sqref="L400:L402">
    <cfRule type="expression" dxfId="2830" priority="5686">
      <formula>AND($U$1="disabled",$U400="yes")</formula>
    </cfRule>
    <cfRule type="expression" dxfId="2829" priority="5687">
      <formula>$A400 = "begin repeat"</formula>
    </cfRule>
    <cfRule type="expression" dxfId="2828" priority="5688">
      <formula xml:space="preserve"> $A486 = "end repeat"</formula>
    </cfRule>
  </conditionalFormatting>
  <conditionalFormatting sqref="L410:L411">
    <cfRule type="expression" dxfId="2827" priority="5828">
      <formula>$A410 = "begin repeat"</formula>
    </cfRule>
    <cfRule type="expression" dxfId="2826" priority="5829">
      <formula xml:space="preserve"> $A495 = "end repeat"</formula>
    </cfRule>
    <cfRule type="expression" dxfId="2825" priority="5827">
      <formula>AND($U$1="disabled",$U410="yes")</formula>
    </cfRule>
  </conditionalFormatting>
  <conditionalFormatting sqref="L412 G488:G490 E488:E490">
    <cfRule type="expression" dxfId="2824" priority="4227">
      <formula xml:space="preserve"> $A493 = "end repeat"</formula>
    </cfRule>
    <cfRule type="expression" dxfId="2823" priority="4226">
      <formula>$A412 = "begin repeat"</formula>
    </cfRule>
    <cfRule type="expression" dxfId="2822" priority="4225">
      <formula>AND($U$1="disabled",$U412="yes")</formula>
    </cfRule>
  </conditionalFormatting>
  <conditionalFormatting sqref="L441:L442">
    <cfRule type="expression" dxfId="2821" priority="5720">
      <formula>AND($U$1="disabled",$U441="yes")</formula>
    </cfRule>
    <cfRule type="expression" dxfId="2820" priority="5722">
      <formula xml:space="preserve"> $A487 = "end repeat"</formula>
    </cfRule>
    <cfRule type="expression" dxfId="2819" priority="5721">
      <formula>$A441 = "begin repeat"</formula>
    </cfRule>
  </conditionalFormatting>
  <conditionalFormatting sqref="L457 I461:I462 D461:D462 I396:I397 A396:A397 D396:D397">
    <cfRule type="expression" dxfId="2818" priority="6720">
      <formula>$A396 = "begin repeat"</formula>
    </cfRule>
    <cfRule type="expression" dxfId="2817" priority="6719">
      <formula>AND($U$1="disabled",$U396="yes")</formula>
    </cfRule>
    <cfRule type="expression" dxfId="2816" priority="6721">
      <formula xml:space="preserve"> $A453 = "end repeat"</formula>
    </cfRule>
  </conditionalFormatting>
  <conditionalFormatting sqref="L468 L403 K392 L482 L417 K461:K462 K396:K397">
    <cfRule type="expression" dxfId="2815" priority="6696">
      <formula>AND($U$1="disabled",$U392="yes")</formula>
    </cfRule>
    <cfRule type="expression" dxfId="2814" priority="6698">
      <formula xml:space="preserve"> $A444 = "end repeat"</formula>
    </cfRule>
    <cfRule type="expression" dxfId="2813" priority="6697">
      <formula>$A392 = "begin repeat"</formula>
    </cfRule>
  </conditionalFormatting>
  <conditionalFormatting sqref="L475:L476 L465:L467">
    <cfRule type="expression" dxfId="2812" priority="4290">
      <formula>AND($U$1="disabled",$U465="yes")</formula>
    </cfRule>
    <cfRule type="expression" dxfId="2811" priority="4292">
      <formula xml:space="preserve"> $A571 = "end repeat"</formula>
    </cfRule>
    <cfRule type="expression" dxfId="2810" priority="4291">
      <formula>$A465 = "begin repeat"</formula>
    </cfRule>
  </conditionalFormatting>
  <conditionalFormatting sqref="L503 M508:W510 L413:L415">
    <cfRule type="expression" dxfId="2809" priority="4370">
      <formula xml:space="preserve"> $A493 = "end repeat"</formula>
    </cfRule>
    <cfRule type="expression" dxfId="2808" priority="4369">
      <formula>$A413 = "begin repeat"</formula>
    </cfRule>
    <cfRule type="expression" dxfId="2807" priority="4368">
      <formula>AND($U$1="disabled",$U413="yes")</formula>
    </cfRule>
  </conditionalFormatting>
  <conditionalFormatting sqref="L514 L519:L520">
    <cfRule type="expression" dxfId="2806" priority="4337">
      <formula xml:space="preserve"> $A579 = "end repeat"</formula>
    </cfRule>
    <cfRule type="expression" dxfId="2805" priority="4335">
      <formula>AND($U$1="disabled",$U514="yes")</formula>
    </cfRule>
    <cfRule type="expression" dxfId="2804" priority="4336">
      <formula>$A514 = "begin repeat"</formula>
    </cfRule>
  </conditionalFormatting>
  <conditionalFormatting sqref="L518 L515 D501:D503 D511:D513">
    <cfRule type="expression" dxfId="2803" priority="6468">
      <formula>AND($U$1="disabled",$U501="yes")</formula>
    </cfRule>
    <cfRule type="expression" dxfId="2802" priority="6469">
      <formula>$A501 = "begin repeat"</formula>
    </cfRule>
    <cfRule type="expression" dxfId="2801" priority="6470">
      <formula xml:space="preserve"> $A567 = "end repeat"</formula>
    </cfRule>
  </conditionalFormatting>
  <conditionalFormatting sqref="L521 D500 L505:L510 K495:K497 K500:K506 K509:K517">
    <cfRule type="expression" dxfId="2800" priority="6460">
      <formula xml:space="preserve"> $A557 = "end repeat"</formula>
    </cfRule>
    <cfRule type="expression" dxfId="2799" priority="6459">
      <formula>$A495 = "begin repeat"</formula>
    </cfRule>
    <cfRule type="expression" dxfId="2798" priority="6458">
      <formula>AND($U$1="disabled",$U495="yes")</formula>
    </cfRule>
  </conditionalFormatting>
  <conditionalFormatting sqref="L522">
    <cfRule type="expression" dxfId="2797" priority="6028">
      <formula xml:space="preserve"> $A590 = "end repeat"</formula>
    </cfRule>
    <cfRule type="expression" dxfId="2796" priority="6027">
      <formula>$A522 = "begin repeat"</formula>
    </cfRule>
    <cfRule type="expression" dxfId="2795" priority="6026">
      <formula>AND($U$1="disabled",$U522="yes")</formula>
    </cfRule>
  </conditionalFormatting>
  <conditionalFormatting sqref="L523:L527">
    <cfRule type="expression" dxfId="2794" priority="6660">
      <formula>AND($U$1="disabled",$U523="yes")</formula>
    </cfRule>
    <cfRule type="expression" dxfId="2793" priority="6661">
      <formula>$A523 = "begin repeat"</formula>
    </cfRule>
    <cfRule type="expression" dxfId="2792" priority="6662">
      <formula xml:space="preserve"> $A565 = "end repeat"</formula>
    </cfRule>
  </conditionalFormatting>
  <conditionalFormatting sqref="L528:L529">
    <cfRule type="expression" dxfId="2791" priority="5640">
      <formula>AND($U$1="disabled",$U528="yes")</formula>
    </cfRule>
    <cfRule type="expression" dxfId="2790" priority="5641">
      <formula>$A528 = "begin repeat"</formula>
    </cfRule>
    <cfRule type="expression" dxfId="2789" priority="5642">
      <formula xml:space="preserve"> $A569 = "end repeat"</formula>
    </cfRule>
  </conditionalFormatting>
  <conditionalFormatting sqref="L530:L531">
    <cfRule type="expression" dxfId="2788" priority="4228">
      <formula>AND($U$1="disabled",$U530="yes")</formula>
    </cfRule>
    <cfRule type="expression" dxfId="2787" priority="4229">
      <formula>$A530 = "begin repeat"</formula>
    </cfRule>
    <cfRule type="expression" dxfId="2786" priority="4230">
      <formula xml:space="preserve"> $A674 = "end repeat"</formula>
    </cfRule>
  </conditionalFormatting>
  <conditionalFormatting sqref="L534 L550:L551 K528:K531">
    <cfRule type="expression" dxfId="2785" priority="6726">
      <formula>$A528 = "begin repeat"</formula>
    </cfRule>
    <cfRule type="expression" dxfId="2784" priority="6727">
      <formula xml:space="preserve"> $A562 = "end repeat"</formula>
    </cfRule>
    <cfRule type="expression" dxfId="2783" priority="6725">
      <formula>AND($U$1="disabled",$U528="yes")</formula>
    </cfRule>
  </conditionalFormatting>
  <conditionalFormatting sqref="L535:L536 L552:L553 D453:D454 I532:I533 D532:D533">
    <cfRule type="expression" dxfId="2782" priority="6724">
      <formula xml:space="preserve"> $A486 = "end repeat"</formula>
    </cfRule>
    <cfRule type="expression" dxfId="2781" priority="6723">
      <formula>$A453 = "begin repeat"</formula>
    </cfRule>
    <cfRule type="expression" dxfId="2780" priority="6722">
      <formula>AND($U$1="disabled",$U453="yes")</formula>
    </cfRule>
  </conditionalFormatting>
  <conditionalFormatting sqref="L537:L539 L554:L556 A506:A507 I506:I507 M506:W507 D509:D510 L516:L517">
    <cfRule type="expression" dxfId="2779" priority="3192">
      <formula>$A506 = "begin repeat"</formula>
    </cfRule>
    <cfRule type="expression" dxfId="2778" priority="3193">
      <formula xml:space="preserve"> $A573 = "end repeat"</formula>
    </cfRule>
    <cfRule type="expression" dxfId="2777" priority="3191">
      <formula>AND($U$1="disabled",$U506="yes")</formula>
    </cfRule>
  </conditionalFormatting>
  <conditionalFormatting sqref="L540:L541">
    <cfRule type="expression" dxfId="2776" priority="4113">
      <formula>$A540 = "begin repeat"</formula>
    </cfRule>
    <cfRule type="expression" dxfId="2775" priority="4112">
      <formula>AND($U$1="disabled",$U540="yes")</formula>
    </cfRule>
    <cfRule type="expression" dxfId="2774" priority="4114">
      <formula xml:space="preserve"> $A707 = "end repeat"</formula>
    </cfRule>
  </conditionalFormatting>
  <conditionalFormatting sqref="L542:L543">
    <cfRule type="expression" dxfId="2773" priority="4045">
      <formula>$A542 = "begin repeat"</formula>
    </cfRule>
    <cfRule type="expression" dxfId="2772" priority="4046">
      <formula xml:space="preserve"> $A704 = "end repeat"</formula>
    </cfRule>
    <cfRule type="expression" dxfId="2771" priority="4044">
      <formula>AND($U$1="disabled",$U542="yes")</formula>
    </cfRule>
  </conditionalFormatting>
  <conditionalFormatting sqref="L544:L545">
    <cfRule type="expression" dxfId="2770" priority="4110">
      <formula>$A544 = "begin repeat"</formula>
    </cfRule>
    <cfRule type="expression" dxfId="2769" priority="4109">
      <formula>AND($U$1="disabled",$U544="yes")</formula>
    </cfRule>
    <cfRule type="expression" dxfId="2768" priority="4111">
      <formula xml:space="preserve"> $A705 = "end repeat"</formula>
    </cfRule>
  </conditionalFormatting>
  <conditionalFormatting sqref="L546:L548">
    <cfRule type="expression" dxfId="2767" priority="4185">
      <formula xml:space="preserve"> $A661 = "end repeat"</formula>
    </cfRule>
    <cfRule type="expression" dxfId="2766" priority="4183">
      <formula>AND($U$1="disabled",$U546="yes")</formula>
    </cfRule>
    <cfRule type="expression" dxfId="2765" priority="4184">
      <formula>$A546 = "begin repeat"</formula>
    </cfRule>
  </conditionalFormatting>
  <conditionalFormatting sqref="L566">
    <cfRule type="expression" dxfId="2764" priority="1869">
      <formula>$A566 = "begin repeat"</formula>
    </cfRule>
    <cfRule type="expression" dxfId="2763" priority="1870">
      <formula xml:space="preserve"> $A659 = "end repeat"</formula>
    </cfRule>
    <cfRule type="expression" dxfId="2762" priority="1868">
      <formula>AND($U$1="disabled",$U566="yes")</formula>
    </cfRule>
  </conditionalFormatting>
  <conditionalFormatting sqref="L575">
    <cfRule type="expression" dxfId="2761" priority="2067">
      <formula>AND($U$1="disabled",$U575="yes")</formula>
    </cfRule>
    <cfRule type="expression" dxfId="2760" priority="2069">
      <formula xml:space="preserve"> $A659 = "end repeat"</formula>
    </cfRule>
    <cfRule type="expression" dxfId="2759" priority="2068">
      <formula>$A575 = "begin repeat"</formula>
    </cfRule>
  </conditionalFormatting>
  <conditionalFormatting sqref="L580 K575 K566">
    <cfRule type="expression" dxfId="2758" priority="1903">
      <formula xml:space="preserve"> $A647 = "end repeat"</formula>
    </cfRule>
    <cfRule type="expression" dxfId="2757" priority="1902">
      <formula>$A566 = "begin repeat"</formula>
    </cfRule>
    <cfRule type="expression" dxfId="2756" priority="1901">
      <formula>AND($U$1="disabled",$U566="yes")</formula>
    </cfRule>
  </conditionalFormatting>
  <conditionalFormatting sqref="L582">
    <cfRule type="expression" dxfId="2755" priority="2165">
      <formula>$A582 = "begin repeat"</formula>
    </cfRule>
    <cfRule type="expression" dxfId="2754" priority="2164">
      <formula>AND($U$1="disabled",$U582="yes")</formula>
    </cfRule>
    <cfRule type="expression" dxfId="2753" priority="2166">
      <formula xml:space="preserve"> $A660 = "end repeat"</formula>
    </cfRule>
  </conditionalFormatting>
  <conditionalFormatting sqref="L598">
    <cfRule type="expression" dxfId="2752" priority="2095">
      <formula>$A598 = "begin repeat"</formula>
    </cfRule>
    <cfRule type="expression" dxfId="2751" priority="2096">
      <formula xml:space="preserve"> $A662 = "end repeat"</formula>
    </cfRule>
    <cfRule type="expression" dxfId="2750" priority="2094">
      <formula>AND($U$1="disabled",$U598="yes")</formula>
    </cfRule>
  </conditionalFormatting>
  <conditionalFormatting sqref="L599:L603 J676:J679">
    <cfRule type="expression" dxfId="2749" priority="2541">
      <formula>$A599 = "begin repeat"</formula>
    </cfRule>
    <cfRule type="expression" dxfId="2748" priority="2542">
      <formula xml:space="preserve"> $A662 = "end repeat"</formula>
    </cfRule>
    <cfRule type="expression" dxfId="2747" priority="2540">
      <formula>AND($U$1="disabled",$U599="yes")</formula>
    </cfRule>
  </conditionalFormatting>
  <conditionalFormatting sqref="L612">
    <cfRule type="expression" dxfId="2746" priority="1356">
      <formula>$A612 = "begin repeat"</formula>
    </cfRule>
    <cfRule type="expression" dxfId="2745" priority="1355">
      <formula>AND($U$1="disabled",$U612="yes")</formula>
    </cfRule>
    <cfRule type="expression" dxfId="2744" priority="1357">
      <formula xml:space="preserve"> $A745 = "end repeat"</formula>
    </cfRule>
  </conditionalFormatting>
  <conditionalFormatting sqref="L620 K632">
    <cfRule type="expression" dxfId="2743" priority="1403">
      <formula>$A620 = "begin repeat"</formula>
    </cfRule>
    <cfRule type="expression" dxfId="2742" priority="1404">
      <formula xml:space="preserve"> $A745 = "end repeat"</formula>
    </cfRule>
    <cfRule type="expression" dxfId="2741" priority="1402">
      <formula>AND($U$1="disabled",$U620="yes")</formula>
    </cfRule>
  </conditionalFormatting>
  <conditionalFormatting sqref="L628">
    <cfRule type="expression" dxfId="2740" priority="1339">
      <formula>AND($U$1="disabled",$U628="yes")</formula>
    </cfRule>
    <cfRule type="expression" dxfId="2739" priority="1340">
      <formula>$A628 = "begin repeat"</formula>
    </cfRule>
    <cfRule type="expression" dxfId="2738" priority="1341">
      <formula xml:space="preserve"> $A765 = "end repeat"</formula>
    </cfRule>
  </conditionalFormatting>
  <conditionalFormatting sqref="L650:L654">
    <cfRule type="expression" dxfId="2737" priority="2527">
      <formula>AND($J650="section",$A650="begin group")</formula>
    </cfRule>
    <cfRule type="expression" dxfId="2736" priority="2528">
      <formula>AND($J650 = "section",$A650 = "end group")</formula>
    </cfRule>
    <cfRule type="expression" dxfId="2735" priority="2529">
      <formula xml:space="preserve"> $A650 = "begin group"</formula>
    </cfRule>
    <cfRule type="expression" dxfId="2734" priority="2530">
      <formula xml:space="preserve"> AND($J650="gg",$A650 = "end group")</formula>
    </cfRule>
  </conditionalFormatting>
  <conditionalFormatting sqref="L662:L666">
    <cfRule type="expression" dxfId="2733" priority="2524">
      <formula>AND($J662 = "section",$A662 = "end group")</formula>
    </cfRule>
    <cfRule type="expression" dxfId="2732" priority="2525">
      <formula xml:space="preserve"> $A662 = "begin group"</formula>
    </cfRule>
    <cfRule type="expression" dxfId="2731" priority="2523">
      <formula>AND($J662="section",$A662="begin group")</formula>
    </cfRule>
    <cfRule type="expression" dxfId="2730" priority="2526">
      <formula xml:space="preserve"> AND($J662="gg",$A662 = "end group")</formula>
    </cfRule>
  </conditionalFormatting>
  <conditionalFormatting sqref="L671 L673 L677:L678">
    <cfRule type="expression" dxfId="2729" priority="1698">
      <formula>$A671 = "begin repeat"</formula>
    </cfRule>
    <cfRule type="expression" dxfId="2728" priority="1697">
      <formula>AND($U$1="disabled",$U671="yes")</formula>
    </cfRule>
    <cfRule type="expression" dxfId="2727" priority="1699">
      <formula xml:space="preserve"> $A788 = "end repeat"</formula>
    </cfRule>
  </conditionalFormatting>
  <conditionalFormatting sqref="L671">
    <cfRule type="expression" dxfId="2726" priority="2492">
      <formula xml:space="preserve"> AND($J671="gg",$A671 = "end group")</formula>
    </cfRule>
    <cfRule type="expression" dxfId="2725" priority="2491">
      <formula xml:space="preserve"> $A671 = "begin group"</formula>
    </cfRule>
    <cfRule type="expression" dxfId="2724" priority="2489">
      <formula>AND($J671="section",$A671="begin group")</formula>
    </cfRule>
    <cfRule type="expression" dxfId="2723" priority="2490">
      <formula>AND($J671 = "section",$A671 = "end group")</formula>
    </cfRule>
  </conditionalFormatting>
  <conditionalFormatting sqref="L673">
    <cfRule type="expression" dxfId="2722" priority="2488">
      <formula xml:space="preserve"> AND($J673="gg",$A673 = "end group")</formula>
    </cfRule>
    <cfRule type="expression" dxfId="2721" priority="2486">
      <formula>AND($J673 = "section",$A673 = "end group")</formula>
    </cfRule>
    <cfRule type="expression" dxfId="2720" priority="2485">
      <formula>AND($J673="section",$A673="begin group")</formula>
    </cfRule>
    <cfRule type="expression" dxfId="2719" priority="2487">
      <formula xml:space="preserve"> $A673 = "begin group"</formula>
    </cfRule>
  </conditionalFormatting>
  <conditionalFormatting sqref="L677">
    <cfRule type="expression" dxfId="2718" priority="2483">
      <formula xml:space="preserve"> $A677 = "begin group"</formula>
    </cfRule>
    <cfRule type="expression" dxfId="2717" priority="2484">
      <formula xml:space="preserve"> AND($J677="gg",$A677 = "end group")</formula>
    </cfRule>
  </conditionalFormatting>
  <conditionalFormatting sqref="L677:L678">
    <cfRule type="expression" dxfId="2716" priority="2478">
      <formula>AND($J677 = "section",$A677 = "end group")</formula>
    </cfRule>
    <cfRule type="expression" dxfId="2715" priority="2477">
      <formula>AND($J677="section",$A677="begin group")</formula>
    </cfRule>
  </conditionalFormatting>
  <conditionalFormatting sqref="L678">
    <cfRule type="expression" dxfId="2714" priority="2479">
      <formula xml:space="preserve"> $A678 = "begin group"</formula>
    </cfRule>
    <cfRule type="expression" dxfId="2713" priority="2480">
      <formula xml:space="preserve"> AND($J678="gg",$A678 = "end group")</formula>
    </cfRule>
  </conditionalFormatting>
  <conditionalFormatting sqref="L681 L687:L691 L700:L702">
    <cfRule type="expression" dxfId="2712" priority="1348">
      <formula>AND($U$1="disabled",$U681="yes")</formula>
    </cfRule>
    <cfRule type="expression" dxfId="2711" priority="1349">
      <formula>$A681 = "begin repeat"</formula>
    </cfRule>
    <cfRule type="expression" dxfId="2710" priority="1350">
      <formula xml:space="preserve"> $A796 = "end repeat"</formula>
    </cfRule>
  </conditionalFormatting>
  <conditionalFormatting sqref="L681">
    <cfRule type="expression" dxfId="2709" priority="1744">
      <formula>AND($J681 = "section",$A681 = "end group")</formula>
    </cfRule>
    <cfRule type="expression" dxfId="2708" priority="1745">
      <formula xml:space="preserve"> $A681 = "begin group"</formula>
    </cfRule>
    <cfRule type="expression" dxfId="2707" priority="1746">
      <formula xml:space="preserve"> AND($J681="gg",$A681 = "end group")</formula>
    </cfRule>
    <cfRule type="expression" dxfId="2706" priority="1743">
      <formula>AND($J681="section",$A681="begin group")</formula>
    </cfRule>
  </conditionalFormatting>
  <conditionalFormatting sqref="L687:L691">
    <cfRule type="expression" dxfId="2705" priority="1810">
      <formula xml:space="preserve"> $A687 = "begin group"</formula>
    </cfRule>
    <cfRule type="expression" dxfId="2704" priority="1811">
      <formula xml:space="preserve"> AND($J687="gg",$A687 = "end group")</formula>
    </cfRule>
    <cfRule type="expression" dxfId="2703" priority="1808">
      <formula>AND($J687="section",$A687="begin group")</formula>
    </cfRule>
    <cfRule type="expression" dxfId="2702" priority="1809">
      <formula>AND($J687 = "section",$A687 = "end group")</formula>
    </cfRule>
  </conditionalFormatting>
  <conditionalFormatting sqref="L700">
    <cfRule type="expression" dxfId="2701" priority="1652">
      <formula xml:space="preserve"> AND($J700="gg",$A700 = "end group")</formula>
    </cfRule>
    <cfRule type="expression" dxfId="2700" priority="1651">
      <formula xml:space="preserve"> $A700 = "begin group"</formula>
    </cfRule>
  </conditionalFormatting>
  <conditionalFormatting sqref="L700:L701">
    <cfRule type="expression" dxfId="2699" priority="1615">
      <formula>AND($J700="section",$A700="begin group")</formula>
    </cfRule>
  </conditionalFormatting>
  <conditionalFormatting sqref="L700:L702">
    <cfRule type="expression" dxfId="2698" priority="1577">
      <formula>AND($J700 = "section",$A700 = "end group")</formula>
    </cfRule>
  </conditionalFormatting>
  <conditionalFormatting sqref="L701">
    <cfRule type="expression" dxfId="2697" priority="1617">
      <formula xml:space="preserve"> $A701 = "begin group"</formula>
    </cfRule>
    <cfRule type="expression" dxfId="2696" priority="1618">
      <formula xml:space="preserve"> AND($J701="gg",$A701 = "end group")</formula>
    </cfRule>
  </conditionalFormatting>
  <conditionalFormatting sqref="L702">
    <cfRule type="expression" dxfId="2695" priority="1576">
      <formula>AND($J702="section",$A702="begin group")</formula>
    </cfRule>
    <cfRule type="expression" dxfId="2694" priority="1578">
      <formula xml:space="preserve"> $A702 = "begin group"</formula>
    </cfRule>
    <cfRule type="expression" dxfId="2693" priority="1579">
      <formula xml:space="preserve"> AND($J702="gg",$A702 = "end group")</formula>
    </cfRule>
  </conditionalFormatting>
  <conditionalFormatting sqref="L745">
    <cfRule type="expression" dxfId="2692" priority="2382">
      <formula xml:space="preserve"> AND($J745="gg",$A745 = "end group")</formula>
    </cfRule>
    <cfRule type="expression" dxfId="2691" priority="2381">
      <formula xml:space="preserve"> $A745 = "begin group"</formula>
    </cfRule>
    <cfRule type="expression" dxfId="2690" priority="2380">
      <formula>AND($J745 = "section",$A745 = "end group")</formula>
    </cfRule>
    <cfRule type="expression" dxfId="2689" priority="2379">
      <formula>AND($J745="section",$A745="begin group")</formula>
    </cfRule>
  </conditionalFormatting>
  <conditionalFormatting sqref="L750">
    <cfRule type="expression" dxfId="2688" priority="2375">
      <formula>AND($J750="section",$A750="begin group")</formula>
    </cfRule>
    <cfRule type="expression" dxfId="2687" priority="2378">
      <formula xml:space="preserve"> AND($J750="gg",$A750 = "end group")</formula>
    </cfRule>
    <cfRule type="expression" dxfId="2686" priority="2376">
      <formula>AND($J750 = "section",$A750 = "end group")</formula>
    </cfRule>
    <cfRule type="expression" dxfId="2685" priority="2377">
      <formula xml:space="preserve"> $A750 = "begin group"</formula>
    </cfRule>
  </conditionalFormatting>
  <conditionalFormatting sqref="L845:L849 K919:K924 K929 I843:I849 I853:I908 A841:A851 J930:K942 L853:W908 K841:K845 J841:J851 H841:I842 J957 B957:D957 R957 R1001:R1002 M1001:Q1001 S1001:W1001 A1001:B1001 K1001 K1011 A955:D956 K969:K971 A1017:D1018 A1003:A1016 B1002:B1016 M955:W956 C978:C1016 C969:D977 J969:J985 K980:K985 H986:J995 H972:I985 H1003:I1016 M1003:W1018 A969:B999 D1001:D1016 D978:D999 J996:J1016 H996:I999 K994:K999 K1015:K1016 M968:W999 H968:K968 A968:D968 A958:D962 R966 M958:W965 C841:D850 K851 K856 H966:K966 C963:D966 A963:A966 G1002 G1017:K1018 G955:K956 G969:I971 G1001:I1001 G961 G957 G841:G843 I958:K965 M841:W849 K853:K854 D853:D954 J853:J929 A853:A908 D851 C851:C954">
    <cfRule type="expression" dxfId="2684" priority="1128">
      <formula xml:space="preserve"> AND($J841="gg",$A841 = "end group")</formula>
    </cfRule>
    <cfRule type="expression" dxfId="2683" priority="1127">
      <formula xml:space="preserve"> $A841 = "begin group"</formula>
    </cfRule>
    <cfRule type="expression" dxfId="2682" priority="1125">
      <formula>AND($J841="section",$A841="begin group")</formula>
    </cfRule>
  </conditionalFormatting>
  <conditionalFormatting sqref="L881:L882">
    <cfRule type="expression" dxfId="2681" priority="2">
      <formula>$A881 = "begin repeat"</formula>
    </cfRule>
    <cfRule type="expression" dxfId="2680" priority="3">
      <formula xml:space="preserve"> $A948 = "end repeat"</formula>
    </cfRule>
    <cfRule type="expression" dxfId="2679" priority="1">
      <formula>AND($U$1="disabled",$U881="yes")</formula>
    </cfRule>
  </conditionalFormatting>
  <conditionalFormatting sqref="L909:L924">
    <cfRule type="expression" dxfId="2678" priority="1223">
      <formula>AND(#REF!="section",$A909="begin group")</formula>
    </cfRule>
    <cfRule type="expression" dxfId="2677" priority="1225">
      <formula xml:space="preserve"> $A909 = "begin group"</formula>
    </cfRule>
    <cfRule type="expression" dxfId="2676" priority="1226">
      <formula xml:space="preserve"> AND(#REF!="gg",$A909 = "end group")</formula>
    </cfRule>
    <cfRule type="expression" dxfId="2675" priority="1224">
      <formula>AND(#REF! = "section",$A909 = "end group")</formula>
    </cfRule>
  </conditionalFormatting>
  <conditionalFormatting sqref="L943:L952 O943:O952 Q943:Q952 A943:A952">
    <cfRule type="expression" dxfId="2674" priority="865">
      <formula>AND(#REF!="section",$A943="begin group")</formula>
    </cfRule>
    <cfRule type="expression" dxfId="2673" priority="866">
      <formula>AND(#REF! = "section",$A943 = "end group")</formula>
    </cfRule>
    <cfRule type="expression" dxfId="2672" priority="868">
      <formula xml:space="preserve"> AND(#REF!="gg",$A943 = "end group")</formula>
    </cfRule>
    <cfRule type="expression" dxfId="2671" priority="867">
      <formula xml:space="preserve"> $A943 = "begin group"</formula>
    </cfRule>
  </conditionalFormatting>
  <conditionalFormatting sqref="L16:W17 S9 A16:J17">
    <cfRule type="expression" dxfId="2670" priority="1630926">
      <formula>AND($U$1="disabled",$U9="yes")</formula>
    </cfRule>
  </conditionalFormatting>
  <conditionalFormatting sqref="L173:W173 I173:I180">
    <cfRule type="expression" dxfId="2669" priority="8533">
      <formula>AND($U$1="disabled",$U173="yes")</formula>
    </cfRule>
    <cfRule type="expression" dxfId="2668" priority="8534">
      <formula>$A173 = "begin repeat"</formula>
    </cfRule>
    <cfRule type="expression" dxfId="2667" priority="8535">
      <formula xml:space="preserve"> $A184 = "end repeat"</formula>
    </cfRule>
  </conditionalFormatting>
  <conditionalFormatting sqref="L262:W262 G347">
    <cfRule type="expression" dxfId="2666" priority="7421">
      <formula>$A262 = "begin repeat"</formula>
    </cfRule>
    <cfRule type="expression" dxfId="2665" priority="7422">
      <formula xml:space="preserve"> $A291 = "end repeat"</formula>
    </cfRule>
    <cfRule type="expression" dxfId="2664" priority="7420">
      <formula>AND($U$1="disabled",$U262="yes")</formula>
    </cfRule>
  </conditionalFormatting>
  <conditionalFormatting sqref="L289:W289 L340:W340 I340 G211:G212 B211:B222 J211:J222 G243:G245 B243:B254 J241:J254 G275:G277 E211:E212 E243:E245 E275:E277 F214:F240 H214:H240 F246:F272 H246:H272 B275:B295 J273:J295 F278:F295 H278:H295 B327:B329 F327:F329 H327:H329 J327:J329 D340 A340 F324:F325 H324:H325 J324:J325 B320:B325">
    <cfRule type="expression" dxfId="2663" priority="7601">
      <formula xml:space="preserve"> $A221 = "end repeat"</formula>
    </cfRule>
    <cfRule type="expression" dxfId="2662" priority="7600">
      <formula>$A211 = "begin repeat"</formula>
    </cfRule>
    <cfRule type="expression" dxfId="2661" priority="7599">
      <formula>AND($U$1="disabled",$U211="yes")</formula>
    </cfRule>
  </conditionalFormatting>
  <conditionalFormatting sqref="L301:W301">
    <cfRule type="expression" dxfId="2660" priority="7209">
      <formula xml:space="preserve"> $A349 = "end repeat"</formula>
    </cfRule>
    <cfRule type="expression" dxfId="2659" priority="7207">
      <formula>AND($U$1="disabled",$U301="yes")</formula>
    </cfRule>
    <cfRule type="expression" dxfId="2658" priority="7208">
      <formula>$A301 = "begin repeat"</formula>
    </cfRule>
  </conditionalFormatting>
  <conditionalFormatting sqref="L568:W568 A568 D568 I568 J636 B636 K635 A709 I709 K709:W709 C709:D709 I800 C803 C805 C807 K800 B810 J810 B808 J808 M800:W800 D830 K830 J736 C840 K563:K565 D563:D565 B570:B574 J570:J574 D576:D579 A800:A801 C800:D801 A826:A827 I826:I827 M826:W827 K826:K827 C826:D827 J730:J732 C710:C738">
    <cfRule type="expression" dxfId="2657" priority="2716">
      <formula>$A563 = "begin repeat"</formula>
    </cfRule>
    <cfRule type="expression" dxfId="2656" priority="2715">
      <formula>AND($U$1="disabled",$U563="yes")</formula>
    </cfRule>
    <cfRule type="expression" dxfId="2655" priority="2717">
      <formula xml:space="preserve"> $A576 = "end repeat"</formula>
    </cfRule>
  </conditionalFormatting>
  <conditionalFormatting sqref="L618:W618 K629 A618 I618 K786:W786 D722 D734 D736 D738 K626:K627 K622:K624 K767:W774 K762:K766 K778:K785 K787 K809:K812 A712:A713 K721:W722 D711:D720">
    <cfRule type="expression" dxfId="2654" priority="2707">
      <formula>$A618 = "begin repeat"</formula>
    </cfRule>
    <cfRule type="expression" dxfId="2653" priority="2706">
      <formula>AND($U$1="disabled",$U618="yes")</formula>
    </cfRule>
    <cfRule type="expression" dxfId="2652" priority="2708">
      <formula xml:space="preserve"> $A649 = "end repeat"</formula>
    </cfRule>
  </conditionalFormatting>
  <conditionalFormatting sqref="L908:W908">
    <cfRule type="expression" dxfId="2651" priority="85">
      <formula>AND($U$1="disabled",$U908="yes")</formula>
    </cfRule>
    <cfRule type="expression" dxfId="2650" priority="86">
      <formula>$A908 = "begin repeat"</formula>
    </cfRule>
    <cfRule type="expression" dxfId="2649" priority="87">
      <formula xml:space="preserve"> $A990 = "end repeat"</formula>
    </cfRule>
  </conditionalFormatting>
  <conditionalFormatting sqref="L268:XFD268">
    <cfRule type="expression" dxfId="2648" priority="7405">
      <formula xml:space="preserve"> $A285 = "end repeat"</formula>
    </cfRule>
    <cfRule type="expression" dxfId="2647" priority="7406">
      <formula>AND($L268="section",$A268="begin group")</formula>
    </cfRule>
    <cfRule type="expression" dxfId="2646" priority="7403">
      <formula>AND($S$1="disabled",$S268="yes")</formula>
    </cfRule>
    <cfRule type="expression" dxfId="2645" priority="7408">
      <formula xml:space="preserve"> $A268 = "begin group"</formula>
    </cfRule>
    <cfRule type="expression" dxfId="2644" priority="7407">
      <formula>AND($L268 = "section",$A268 = "end group")</formula>
    </cfRule>
    <cfRule type="expression" dxfId="2643" priority="7409">
      <formula xml:space="preserve"> AND($L268="gg",$A268 = "end group")</formula>
    </cfRule>
    <cfRule type="expression" dxfId="2642" priority="7404">
      <formula>$A268 = "begin repeat"</formula>
    </cfRule>
    <cfRule type="expression" dxfId="2641" priority="7410">
      <formula xml:space="preserve"> $L$1 = "appearance"</formula>
    </cfRule>
  </conditionalFormatting>
  <conditionalFormatting sqref="M381:M382">
    <cfRule type="expression" dxfId="2640" priority="6552">
      <formula xml:space="preserve"> AND($J381="gg",$A381 = "end group")</formula>
    </cfRule>
    <cfRule type="expression" dxfId="2639" priority="6551">
      <formula xml:space="preserve"> $A381 = "begin group"</formula>
    </cfRule>
    <cfRule type="expression" dxfId="2638" priority="6550">
      <formula>AND($J381 = "section",$A381 = "end group")</formula>
    </cfRule>
    <cfRule type="expression" dxfId="2637" priority="6549">
      <formula>AND($J381="section",$A381="begin group")</formula>
    </cfRule>
  </conditionalFormatting>
  <conditionalFormatting sqref="M493:M494 I360 I425 A421:D422 A486:D487 A488:A494 I496:I498 A358:A360 M496:W503 J421:K425 M421:W425 H421:I424 K486:K490 M437:W456 H486:I489 C488:D491 I499:J503 A372:B391 B437 I504:I507 A496:A507 M504 N504:W507 I509 J504:J509 C358:D361 A423:A437 M379 N379:W382 C423:D426 G486:G490 G421:G425 I361:J391 I426:J456 I490:I494 M509:W521 I510:J521 A392 M486:M491 N486:W494 J486:J498 A557:D558 M557:W558 A393:B393 I393:K393 D393 M393:W393 A448:B453 B454:B457 I528:K528 M528:W528 D528 A454:A465 A509:A530 B488:B530 D492:D521 D427:D456 D362:D391 G557:J558 H358:I359 G358:G360 M358:W378 J358:K360 E358:E360 F358:F359 A532:B532 A534:B548 A468:A480 C362:C420 C427:C485 C492:C556">
    <cfRule type="expression" dxfId="2636" priority="6814">
      <formula xml:space="preserve"> $A358 = "begin group"</formula>
    </cfRule>
    <cfRule type="expression" dxfId="2635" priority="6815">
      <formula xml:space="preserve"> AND($J358="gg",$A358 = "end group")</formula>
    </cfRule>
  </conditionalFormatting>
  <conditionalFormatting sqref="M506:M507">
    <cfRule type="expression" dxfId="2634" priority="6641">
      <formula xml:space="preserve"> $A506 = "begin group"</formula>
    </cfRule>
    <cfRule type="expression" dxfId="2633" priority="6639">
      <formula>AND($J506="section",$A506="begin group")</formula>
    </cfRule>
    <cfRule type="expression" dxfId="2632" priority="6642">
      <formula xml:space="preserve"> AND($J506="gg",$A506 = "end group")</formula>
    </cfRule>
    <cfRule type="expression" dxfId="2631" priority="6640">
      <formula>AND($J506 = "section",$A506 = "end group")</formula>
    </cfRule>
  </conditionalFormatting>
  <conditionalFormatting sqref="M751 M832 A751:A753 N751:W753 I751:I753 K751:K753 N832:W834 K832:K834">
    <cfRule type="expression" dxfId="2630" priority="2666">
      <formula xml:space="preserve"> $A790 = "end repeat"</formula>
    </cfRule>
    <cfRule type="expression" dxfId="2629" priority="2665">
      <formula>$A751 = "begin repeat"</formula>
    </cfRule>
    <cfRule type="expression" dxfId="2628" priority="2664">
      <formula>AND($U$1="disabled",$U751="yes")</formula>
    </cfRule>
  </conditionalFormatting>
  <conditionalFormatting sqref="M758:M784 N757:W784 M785:W787 I757:I787 K591:K594 I575 I566 I582 K757:K787 I606:I607 I580 I594:I603">
    <cfRule type="expression" dxfId="2627" priority="3121">
      <formula xml:space="preserve"> $A566 = "begin group"</formula>
    </cfRule>
    <cfRule type="expression" dxfId="2626" priority="3120">
      <formula>AND(#REF! = "section",$A566 = "end group")</formula>
    </cfRule>
    <cfRule type="expression" dxfId="2625" priority="3122">
      <formula xml:space="preserve"> AND(#REF!="gg",$A566 = "end group")</formula>
    </cfRule>
    <cfRule type="expression" dxfId="2624" priority="3119">
      <formula>AND(#REF!="section",$A566="begin group")</formula>
    </cfRule>
  </conditionalFormatting>
  <conditionalFormatting sqref="M832">
    <cfRule type="expression" dxfId="2623" priority="2353">
      <formula>AND($J832 = "section",$A832 = "end group")</formula>
    </cfRule>
    <cfRule type="expression" dxfId="2622" priority="2354">
      <formula xml:space="preserve"> $A832 = "begin group"</formula>
    </cfRule>
    <cfRule type="expression" dxfId="2621" priority="2355">
      <formula xml:space="preserve"> AND($J832="gg",$A832 = "end group")</formula>
    </cfRule>
    <cfRule type="expression" dxfId="2620" priority="2352">
      <formula>AND($J832="section",$A832="begin group")</formula>
    </cfRule>
  </conditionalFormatting>
  <conditionalFormatting sqref="M957">
    <cfRule type="expression" dxfId="2619" priority="761">
      <formula xml:space="preserve"> $M$1 = "required"</formula>
    </cfRule>
  </conditionalFormatting>
  <conditionalFormatting sqref="M1000">
    <cfRule type="expression" dxfId="2618" priority="1168">
      <formula xml:space="preserve"> $M$1 = "required"</formula>
    </cfRule>
  </conditionalFormatting>
  <conditionalFormatting sqref="M1002">
    <cfRule type="expression" dxfId="2617" priority="1167">
      <formula xml:space="preserve"> $M$1 = "required"</formula>
    </cfRule>
  </conditionalFormatting>
  <conditionalFormatting sqref="M135:N135 P135 R135:W135">
    <cfRule type="expression" dxfId="2616" priority="8797">
      <formula>AND(#REF!="section",$A165="begin group")</formula>
    </cfRule>
    <cfRule type="expression" dxfId="2615" priority="8798">
      <formula>AND(#REF! = "section",$A165 = "end group")</formula>
    </cfRule>
    <cfRule type="expression" dxfId="2614" priority="8799">
      <formula xml:space="preserve"> $A165 = "begin group"</formula>
    </cfRule>
    <cfRule type="expression" dxfId="2613" priority="8800">
      <formula xml:space="preserve"> AND(#REF!="gg",$A165 = "end group")</formula>
    </cfRule>
  </conditionalFormatting>
  <conditionalFormatting sqref="M136:N136 P136 R136:W136">
    <cfRule type="expression" dxfId="2612" priority="8789">
      <formula>AND(#REF!="section",$A167="begin group")</formula>
    </cfRule>
    <cfRule type="expression" dxfId="2611" priority="8790">
      <formula>AND(#REF! = "section",$A167 = "end group")</formula>
    </cfRule>
    <cfRule type="expression" dxfId="2610" priority="8791">
      <formula xml:space="preserve"> $A167 = "begin group"</formula>
    </cfRule>
    <cfRule type="expression" dxfId="2609" priority="8792">
      <formula xml:space="preserve"> AND(#REF!="gg",$A167 = "end group")</formula>
    </cfRule>
  </conditionalFormatting>
  <conditionalFormatting sqref="M137:N137 P137 R137:W137">
    <cfRule type="expression" dxfId="2608" priority="8613">
      <formula>AND($J138 = "section",$A134 = "end group")</formula>
    </cfRule>
    <cfRule type="expression" dxfId="2607" priority="8612">
      <formula>AND($J138="section",$A134="begin group")</formula>
    </cfRule>
    <cfRule type="expression" dxfId="2606" priority="8614">
      <formula xml:space="preserve"> $A134 = "begin group"</formula>
    </cfRule>
    <cfRule type="expression" dxfId="2605" priority="8615">
      <formula xml:space="preserve"> AND($J138="gg",$A134 = "end group")</formula>
    </cfRule>
  </conditionalFormatting>
  <conditionalFormatting sqref="M138:N140">
    <cfRule type="expression" dxfId="2604" priority="8766">
      <formula xml:space="preserve"> AND($J139="gg",#REF! = "end group")</formula>
    </cfRule>
    <cfRule type="expression" dxfId="2603" priority="8765">
      <formula xml:space="preserve"> #REF! = "begin group"</formula>
    </cfRule>
    <cfRule type="expression" dxfId="2602" priority="8763">
      <formula>AND($J139="section",#REF!="begin group")</formula>
    </cfRule>
    <cfRule type="expression" dxfId="2601" priority="8764">
      <formula>AND($J139 = "section",#REF! = "end group")</formula>
    </cfRule>
  </conditionalFormatting>
  <conditionalFormatting sqref="M141:N141 P141 R141:W141">
    <cfRule type="expression" dxfId="2600" priority="8652">
      <formula>AND($J142="section",$A135="begin group")</formula>
    </cfRule>
    <cfRule type="expression" dxfId="2599" priority="8653">
      <formula>AND($J142 = "section",$A135 = "end group")</formula>
    </cfRule>
    <cfRule type="expression" dxfId="2598" priority="8654">
      <formula xml:space="preserve"> $A135 = "begin group"</formula>
    </cfRule>
    <cfRule type="expression" dxfId="2597" priority="8655">
      <formula xml:space="preserve"> AND($J142="gg",$A135 = "end group")</formula>
    </cfRule>
  </conditionalFormatting>
  <conditionalFormatting sqref="M142:N142 P142 R142:W142">
    <cfRule type="expression" dxfId="2596" priority="8814">
      <formula xml:space="preserve"> #REF! = "begin group"</formula>
    </cfRule>
    <cfRule type="expression" dxfId="2595" priority="8815">
      <formula xml:space="preserve"> AND($J143="gg",#REF! = "end group")</formula>
    </cfRule>
    <cfRule type="expression" dxfId="2594" priority="8813">
      <formula>AND($J143 = "section",#REF! = "end group")</formula>
    </cfRule>
    <cfRule type="expression" dxfId="2593" priority="8812">
      <formula>AND($J143="section",#REF!="begin group")</formula>
    </cfRule>
  </conditionalFormatting>
  <conditionalFormatting sqref="M143:N143 P143 R143:W143">
    <cfRule type="expression" dxfId="2592" priority="8631">
      <formula xml:space="preserve"> AND($J156="gg",$A136 = "end group")</formula>
    </cfRule>
    <cfRule type="expression" dxfId="2591" priority="8630">
      <formula xml:space="preserve"> $A136 = "begin group"</formula>
    </cfRule>
    <cfRule type="expression" dxfId="2590" priority="8629">
      <formula>AND($J156 = "section",$A136 = "end group")</formula>
    </cfRule>
    <cfRule type="expression" dxfId="2589" priority="8628">
      <formula>AND($J156="section",$A136="begin group")</formula>
    </cfRule>
  </conditionalFormatting>
  <conditionalFormatting sqref="M144:N144">
    <cfRule type="expression" dxfId="2588" priority="8325">
      <formula>AND($J145="section",$A128="begin group")</formula>
    </cfRule>
    <cfRule type="expression" dxfId="2587" priority="8326">
      <formula>AND($J145 = "section",$A128 = "end group")</formula>
    </cfRule>
    <cfRule type="expression" dxfId="2586" priority="8328">
      <formula xml:space="preserve"> AND($J145="gg",$A128 = "end group")</formula>
    </cfRule>
    <cfRule type="expression" dxfId="2585" priority="8327">
      <formula xml:space="preserve"> $A128 = "begin group"</formula>
    </cfRule>
  </conditionalFormatting>
  <conditionalFormatting sqref="M145:N145">
    <cfRule type="expression" dxfId="2584" priority="8704">
      <formula>AND($J146="section",#REF!="begin group")</formula>
    </cfRule>
    <cfRule type="expression" dxfId="2583" priority="8707">
      <formula xml:space="preserve"> AND($J146="gg",#REF! = "end group")</formula>
    </cfRule>
    <cfRule type="expression" dxfId="2582" priority="8705">
      <formula>AND($J146 = "section",#REF! = "end group")</formula>
    </cfRule>
    <cfRule type="expression" dxfId="2581" priority="8706">
      <formula xml:space="preserve"> #REF! = "begin group"</formula>
    </cfRule>
  </conditionalFormatting>
  <conditionalFormatting sqref="M146:N147 P146:P147 R146:W147">
    <cfRule type="expression" dxfId="2580" priority="8318">
      <formula>AND($J147 = "section",$A129 = "end group")</formula>
    </cfRule>
    <cfRule type="expression" dxfId="2579" priority="8319">
      <formula xml:space="preserve"> $A129 = "begin group"</formula>
    </cfRule>
    <cfRule type="expression" dxfId="2578" priority="8317">
      <formula>AND($J147="section",$A129="begin group")</formula>
    </cfRule>
    <cfRule type="expression" dxfId="2577" priority="8320">
      <formula xml:space="preserve"> AND($J147="gg",$A129 = "end group")</formula>
    </cfRule>
  </conditionalFormatting>
  <conditionalFormatting sqref="M148:N150 P148:P150 R148:W150 P144 R144:W144">
    <cfRule type="expression" dxfId="2576" priority="8600">
      <formula>AND($J145="section",$A128="begin group")</formula>
    </cfRule>
    <cfRule type="expression" dxfId="2575" priority="8601">
      <formula>AND($J145 = "section",$A128 = "end group")</formula>
    </cfRule>
    <cfRule type="expression" dxfId="2574" priority="8602">
      <formula xml:space="preserve"> $A128 = "begin group"</formula>
    </cfRule>
    <cfRule type="expression" dxfId="2573" priority="8603">
      <formula xml:space="preserve"> AND($J145="gg",$A128 = "end group")</formula>
    </cfRule>
  </conditionalFormatting>
  <conditionalFormatting sqref="M151:N153">
    <cfRule type="expression" dxfId="2572" priority="8757">
      <formula xml:space="preserve"> #REF! = "begin group"</formula>
    </cfRule>
    <cfRule type="expression" dxfId="2571" priority="8755">
      <formula>AND($J152="section",#REF!="begin group")</formula>
    </cfRule>
    <cfRule type="expression" dxfId="2570" priority="8756">
      <formula>AND($J152 = "section",#REF! = "end group")</formula>
    </cfRule>
    <cfRule type="expression" dxfId="2569" priority="8758">
      <formula xml:space="preserve"> AND($J152="gg",#REF! = "end group")</formula>
    </cfRule>
  </conditionalFormatting>
  <conditionalFormatting sqref="M154:N154 P154 R154:W154">
    <cfRule type="expression" dxfId="2568" priority="8637">
      <formula>AND($J155 = "section",$A135 = "end group")</formula>
    </cfRule>
    <cfRule type="expression" dxfId="2567" priority="8639">
      <formula xml:space="preserve"> AND($J155="gg",$A135 = "end group")</formula>
    </cfRule>
    <cfRule type="expression" dxfId="2566" priority="8638">
      <formula xml:space="preserve"> $A135 = "begin group"</formula>
    </cfRule>
    <cfRule type="expression" dxfId="2565" priority="8636">
      <formula>AND($J155="section",$A135="begin group")</formula>
    </cfRule>
  </conditionalFormatting>
  <conditionalFormatting sqref="M155:N155 P155 M152:N152 P152 R152:W152 R155:W155">
    <cfRule type="expression" dxfId="2564" priority="8714">
      <formula>AND($U$1="disabled",$U152="yes")</formula>
    </cfRule>
    <cfRule type="expression" dxfId="2563" priority="8715">
      <formula>#REF! = "begin repeat"</formula>
    </cfRule>
    <cfRule type="expression" dxfId="2562" priority="8716">
      <formula xml:space="preserve"> #REF! = "end repeat"</formula>
    </cfRule>
  </conditionalFormatting>
  <conditionalFormatting sqref="M155:N155 P155 R155:W155">
    <cfRule type="expression" dxfId="2561" priority="8781">
      <formula>AND(#REF!="section",#REF!="begin group")</formula>
    </cfRule>
    <cfRule type="expression" dxfId="2560" priority="8784">
      <formula xml:space="preserve"> AND(#REF!="gg",#REF! = "end group")</formula>
    </cfRule>
    <cfRule type="expression" dxfId="2559" priority="8783">
      <formula xml:space="preserve"> #REF! = "begin group"</formula>
    </cfRule>
    <cfRule type="expression" dxfId="2558" priority="8782">
      <formula>AND(#REF! = "section",#REF! = "end group")</formula>
    </cfRule>
  </conditionalFormatting>
  <conditionalFormatting sqref="M156:N156 P156 R156:W156 P138:P140 R138:W140 P151:P153 R151:W153 P145 R145:W145">
    <cfRule type="expression" dxfId="2557" priority="8802">
      <formula>AND($J139 = "section",#REF! = "end group")</formula>
    </cfRule>
    <cfRule type="expression" dxfId="2556" priority="8803">
      <formula xml:space="preserve"> #REF! = "begin group"</formula>
    </cfRule>
    <cfRule type="expression" dxfId="2555" priority="8804">
      <formula xml:space="preserve"> AND($J139="gg",#REF! = "end group")</formula>
    </cfRule>
    <cfRule type="expression" dxfId="2554" priority="8801">
      <formula>AND($J139="section",#REF!="begin group")</formula>
    </cfRule>
  </conditionalFormatting>
  <conditionalFormatting sqref="M157:N163 P157:P163 R157:W163">
    <cfRule type="expression" dxfId="2553" priority="8651">
      <formula xml:space="preserve"> AND($J158="gg",$A137 = "end group")</formula>
    </cfRule>
    <cfRule type="expression" dxfId="2552" priority="8648">
      <formula>AND($J158="section",$A137="begin group")</formula>
    </cfRule>
    <cfRule type="expression" dxfId="2551" priority="8649">
      <formula>AND($J158 = "section",$A137 = "end group")</formula>
    </cfRule>
    <cfRule type="expression" dxfId="2550" priority="8650">
      <formula xml:space="preserve"> $A137 = "begin group"</formula>
    </cfRule>
  </conditionalFormatting>
  <conditionalFormatting sqref="M164:N167 P164:P167 R164:W167">
    <cfRule type="expression" dxfId="2549" priority="8663">
      <formula xml:space="preserve"> AND($J165="gg",$A156 = "end group")</formula>
    </cfRule>
    <cfRule type="expression" dxfId="2548" priority="8662">
      <formula xml:space="preserve"> $A156 = "begin group"</formula>
    </cfRule>
    <cfRule type="expression" dxfId="2547" priority="8661">
      <formula>AND($J165 = "section",$A156 = "end group")</formula>
    </cfRule>
    <cfRule type="expression" dxfId="2546" priority="8660">
      <formula>AND($J165="section",$A156="begin group")</formula>
    </cfRule>
  </conditionalFormatting>
  <conditionalFormatting sqref="M925:N942 P925:P942 R925:W942">
    <cfRule type="expression" dxfId="2545" priority="1231">
      <formula>AND(#REF!="section",$A925="begin group")</formula>
    </cfRule>
    <cfRule type="expression" dxfId="2544" priority="1232">
      <formula>AND(#REF! = "section",$A925 = "end group")</formula>
    </cfRule>
    <cfRule type="expression" dxfId="2543" priority="1233">
      <formula xml:space="preserve"> $A925 = "begin group"</formula>
    </cfRule>
    <cfRule type="expression" dxfId="2542" priority="1234">
      <formula xml:space="preserve"> AND(#REF!="gg",$A925 = "end group")</formula>
    </cfRule>
  </conditionalFormatting>
  <conditionalFormatting sqref="M943:N952 P943:P952 R943:W952">
    <cfRule type="expression" dxfId="2541" priority="860">
      <formula xml:space="preserve"> AND(#REF!="gg",$A943 = "end group")</formula>
    </cfRule>
    <cfRule type="expression" dxfId="2540" priority="857">
      <formula>AND(#REF!="section",$A943="begin group")</formula>
    </cfRule>
    <cfRule type="expression" dxfId="2539" priority="858">
      <formula>AND(#REF! = "section",$A943 = "end group")</formula>
    </cfRule>
    <cfRule type="expression" dxfId="2538" priority="859">
      <formula xml:space="preserve"> $A943 = "begin group"</formula>
    </cfRule>
  </conditionalFormatting>
  <conditionalFormatting sqref="M953:N954 P953:P954 R953:W954">
    <cfRule type="expression" dxfId="2537" priority="830">
      <formula>AND(#REF!="section",$A953="begin group")</formula>
    </cfRule>
    <cfRule type="expression" dxfId="2536" priority="833">
      <formula xml:space="preserve"> AND(#REF!="gg",$A953 = "end group")</formula>
    </cfRule>
    <cfRule type="expression" dxfId="2535" priority="832">
      <formula xml:space="preserve"> $A953 = "begin group"</formula>
    </cfRule>
    <cfRule type="expression" dxfId="2534" priority="831">
      <formula>AND(#REF! = "section",$A953 = "end group")</formula>
    </cfRule>
  </conditionalFormatting>
  <conditionalFormatting sqref="M39:W39 M75:W75">
    <cfRule type="expression" dxfId="2533" priority="8724">
      <formula xml:space="preserve"> AND(#REF!="gg",$A39 = "end group")</formula>
    </cfRule>
    <cfRule type="expression" dxfId="2532" priority="8723">
      <formula xml:space="preserve"> $A39 = "begin group"</formula>
    </cfRule>
    <cfRule type="expression" dxfId="2531" priority="8722">
      <formula>AND(#REF! = "section",$A39 = "end group")</formula>
    </cfRule>
    <cfRule type="expression" dxfId="2530" priority="8721">
      <formula>AND(#REF!="section",$A39="begin group")</formula>
    </cfRule>
  </conditionalFormatting>
  <conditionalFormatting sqref="M40:W50">
    <cfRule type="expression" dxfId="2529" priority="8577">
      <formula>AND($J51 = "section",$A40 = "end group")</formula>
    </cfRule>
    <cfRule type="expression" dxfId="2528" priority="8576">
      <formula>AND($J51="section",$A40="begin group")</formula>
    </cfRule>
    <cfRule type="expression" dxfId="2527" priority="8578">
      <formula xml:space="preserve"> $A40 = "begin group"</formula>
    </cfRule>
    <cfRule type="expression" dxfId="2526" priority="8579">
      <formula xml:space="preserve"> AND($J51="gg",$A40 = "end group")</formula>
    </cfRule>
  </conditionalFormatting>
  <conditionalFormatting sqref="M52:W53">
    <cfRule type="expression" dxfId="2525" priority="8594">
      <formula xml:space="preserve"> $A52 = "begin group"</formula>
    </cfRule>
    <cfRule type="expression" dxfId="2524" priority="8592">
      <formula>AND($J105="section",$A52="begin group")</formula>
    </cfRule>
    <cfRule type="expression" dxfId="2523" priority="8595">
      <formula xml:space="preserve"> AND($J105="gg",$A52 = "end group")</formula>
    </cfRule>
    <cfRule type="expression" dxfId="2522" priority="8593">
      <formula>AND($J105 = "section",$A52 = "end group")</formula>
    </cfRule>
  </conditionalFormatting>
  <conditionalFormatting sqref="M54:W55 A184:A187">
    <cfRule type="expression" dxfId="2521" priority="8672">
      <formula>AND($J76="section",$A54="begin group")</formula>
    </cfRule>
    <cfRule type="expression" dxfId="2520" priority="8673">
      <formula>AND($J76 = "section",$A54 = "end group")</formula>
    </cfRule>
    <cfRule type="expression" dxfId="2519" priority="8675">
      <formula xml:space="preserve"> AND($J76="gg",$A54 = "end group")</formula>
    </cfRule>
    <cfRule type="expression" dxfId="2518" priority="8674">
      <formula xml:space="preserve"> $A54 = "begin group"</formula>
    </cfRule>
  </conditionalFormatting>
  <conditionalFormatting sqref="M56:W56">
    <cfRule type="expression" dxfId="2517" priority="8683">
      <formula xml:space="preserve"> AND($J66="gg",$A56 = "end group")</formula>
    </cfRule>
    <cfRule type="expression" dxfId="2516" priority="8680">
      <formula>AND($J66="section",$A56="begin group")</formula>
    </cfRule>
    <cfRule type="expression" dxfId="2515" priority="8681">
      <formula>AND($J66 = "section",$A56 = "end group")</formula>
    </cfRule>
    <cfRule type="expression" dxfId="2514" priority="8682">
      <formula xml:space="preserve"> $A56 = "begin group"</formula>
    </cfRule>
  </conditionalFormatting>
  <conditionalFormatting sqref="M59:W59 M57:W57 M99:W99">
    <cfRule type="expression" dxfId="2513" priority="8777">
      <formula>AND(#REF!="section",$A57="begin group")</formula>
    </cfRule>
    <cfRule type="expression" dxfId="2512" priority="8778">
      <formula>AND(#REF! = "section",$A57 = "end group")</formula>
    </cfRule>
    <cfRule type="expression" dxfId="2511" priority="8779">
      <formula xml:space="preserve"> $A57 = "begin group"</formula>
    </cfRule>
    <cfRule type="expression" dxfId="2510" priority="8780">
      <formula xml:space="preserve"> AND(#REF!="gg",$A57 = "end group")</formula>
    </cfRule>
  </conditionalFormatting>
  <conditionalFormatting sqref="M60:W61">
    <cfRule type="expression" dxfId="2509" priority="8598">
      <formula xml:space="preserve"> $A60 = "begin group"</formula>
    </cfRule>
    <cfRule type="expression" dxfId="2508" priority="8597">
      <formula>AND($J96 = "section",$A60 = "end group")</formula>
    </cfRule>
    <cfRule type="expression" dxfId="2507" priority="8599">
      <formula xml:space="preserve"> AND($J96="gg",$A60 = "end group")</formula>
    </cfRule>
    <cfRule type="expression" dxfId="2506" priority="8596">
      <formula>AND($J96="section",$A60="begin group")</formula>
    </cfRule>
  </conditionalFormatting>
  <conditionalFormatting sqref="M68:W68">
    <cfRule type="expression" dxfId="2505" priority="8719">
      <formula xml:space="preserve"> $A68 = "begin group"</formula>
    </cfRule>
    <cfRule type="expression" dxfId="2504" priority="8720">
      <formula xml:space="preserve"> AND(#REF!="gg",$A68 = "end group")</formula>
    </cfRule>
    <cfRule type="expression" dxfId="2503" priority="8718">
      <formula>AND(#REF! = "section",$A68 = "end group")</formula>
    </cfRule>
    <cfRule type="expression" dxfId="2502" priority="8717">
      <formula>AND(#REF!="section",$A68="begin group")</formula>
    </cfRule>
  </conditionalFormatting>
  <conditionalFormatting sqref="M69:W69">
    <cfRule type="expression" dxfId="2501" priority="8572">
      <formula>AND($J50="section",$A69="begin group")</formula>
    </cfRule>
    <cfRule type="expression" dxfId="2500" priority="8573">
      <formula>AND($J50 = "section",$A69 = "end group")</formula>
    </cfRule>
    <cfRule type="expression" dxfId="2499" priority="8574">
      <formula xml:space="preserve"> $A69 = "begin group"</formula>
    </cfRule>
    <cfRule type="expression" dxfId="2498" priority="8575">
      <formula xml:space="preserve"> AND($J50="gg",$A69 = "end group")</formula>
    </cfRule>
  </conditionalFormatting>
  <conditionalFormatting sqref="M70:W74">
    <cfRule type="expression" dxfId="2497" priority="8580">
      <formula>AND($J39="section",$A70="begin group")</formula>
    </cfRule>
    <cfRule type="expression" dxfId="2496" priority="8581">
      <formula>AND($J39 = "section",$A70 = "end group")</formula>
    </cfRule>
    <cfRule type="expression" dxfId="2495" priority="8582">
      <formula xml:space="preserve"> $A70 = "begin group"</formula>
    </cfRule>
    <cfRule type="expression" dxfId="2494" priority="8583">
      <formula xml:space="preserve"> AND($J39="gg",$A70 = "end group")</formula>
    </cfRule>
  </conditionalFormatting>
  <conditionalFormatting sqref="M81:W81 M51:W51">
    <cfRule type="expression" dxfId="2493" priority="8698">
      <formula xml:space="preserve"> $A51 = "begin group"</formula>
    </cfRule>
    <cfRule type="expression" dxfId="2492" priority="8696">
      <formula>AND($J64="section",$A51="begin group")</formula>
    </cfRule>
    <cfRule type="expression" dxfId="2491" priority="8699">
      <formula xml:space="preserve"> AND($J64="gg",$A51 = "end group")</formula>
    </cfRule>
    <cfRule type="expression" dxfId="2490" priority="8697">
      <formula>AND($J64 = "section",$A51 = "end group")</formula>
    </cfRule>
  </conditionalFormatting>
  <conditionalFormatting sqref="M82:W84 M96:W98 M62:W67">
    <cfRule type="expression" dxfId="2489" priority="8588">
      <formula>AND($J44="section",$A62="begin group")</formula>
    </cfRule>
    <cfRule type="expression" dxfId="2488" priority="8590">
      <formula xml:space="preserve"> $A62 = "begin group"</formula>
    </cfRule>
    <cfRule type="expression" dxfId="2487" priority="8591">
      <formula xml:space="preserve"> AND($J44="gg",$A62 = "end group")</formula>
    </cfRule>
    <cfRule type="expression" dxfId="2486" priority="8589">
      <formula>AND($J44 = "section",$A62 = "end group")</formula>
    </cfRule>
  </conditionalFormatting>
  <conditionalFormatting sqref="M86:W86 M80:W80 M100:W100">
    <cfRule type="expression" dxfId="2485" priority="8692">
      <formula>AND($J75="section",$A80="begin group")</formula>
    </cfRule>
    <cfRule type="expression" dxfId="2484" priority="8695">
      <formula xml:space="preserve"> AND($J75="gg",$A80 = "end group")</formula>
    </cfRule>
    <cfRule type="expression" dxfId="2483" priority="8694">
      <formula xml:space="preserve"> $A80 = "begin group"</formula>
    </cfRule>
    <cfRule type="expression" dxfId="2482" priority="8693">
      <formula>AND($J75 = "section",$A80 = "end group")</formula>
    </cfRule>
  </conditionalFormatting>
  <conditionalFormatting sqref="M88:W89 M91:W93 M76:W78 M102:W103 M105:W106 M199:W199">
    <cfRule type="expression" dxfId="2481" priority="8671">
      <formula xml:space="preserve"> AND($J72="gg",$A76 = "end group")</formula>
    </cfRule>
    <cfRule type="expression" dxfId="2480" priority="8669">
      <formula>AND($J72 = "section",$A76 = "end group")</formula>
    </cfRule>
    <cfRule type="expression" dxfId="2479" priority="8670">
      <formula xml:space="preserve"> $A76 = "begin group"</formula>
    </cfRule>
    <cfRule type="expression" dxfId="2478" priority="8668">
      <formula>AND($J72="section",$A76="begin group")</formula>
    </cfRule>
  </conditionalFormatting>
  <conditionalFormatting sqref="M90:W90">
    <cfRule type="expression" dxfId="2477" priority="8585">
      <formula>AND($J96 = "section",$A90 = "end group")</formula>
    </cfRule>
    <cfRule type="expression" dxfId="2476" priority="8587">
      <formula xml:space="preserve"> AND($J96="gg",$A90 = "end group")</formula>
    </cfRule>
    <cfRule type="expression" dxfId="2475" priority="8584">
      <formula>AND($J96="section",$A90="begin group")</formula>
    </cfRule>
    <cfRule type="expression" dxfId="2474" priority="8586">
      <formula xml:space="preserve"> $A90 = "begin group"</formula>
    </cfRule>
  </conditionalFormatting>
  <conditionalFormatting sqref="M94:W94">
    <cfRule type="expression" dxfId="2473" priority="8656">
      <formula>AND($J99="section",$A94="begin group")</formula>
    </cfRule>
    <cfRule type="expression" dxfId="2472" priority="8658">
      <formula xml:space="preserve"> $A94 = "begin group"</formula>
    </cfRule>
    <cfRule type="expression" dxfId="2471" priority="8659">
      <formula xml:space="preserve"> AND($J99="gg",$A94 = "end group")</formula>
    </cfRule>
    <cfRule type="expression" dxfId="2470" priority="8657">
      <formula>AND($J99 = "section",$A94 = "end group")</formula>
    </cfRule>
  </conditionalFormatting>
  <conditionalFormatting sqref="M101:W101">
    <cfRule type="expression" dxfId="2469" priority="8863">
      <formula xml:space="preserve"> AND(#REF!="gg",$A101 = "end group")</formula>
    </cfRule>
    <cfRule type="expression" dxfId="2468" priority="8862">
      <formula xml:space="preserve"> $A101 = "begin group"</formula>
    </cfRule>
    <cfRule type="expression" dxfId="2467" priority="8861">
      <formula>AND(#REF! = "section",$A101 = "end group")</formula>
    </cfRule>
    <cfRule type="expression" dxfId="2466" priority="8860">
      <formula>AND(#REF!="section",$A101="begin group")</formula>
    </cfRule>
  </conditionalFormatting>
  <conditionalFormatting sqref="M107:W108">
    <cfRule type="expression" dxfId="2465" priority="7921">
      <formula xml:space="preserve"> $A107 = "begin group"</formula>
    </cfRule>
    <cfRule type="expression" dxfId="2464" priority="7920">
      <formula>AND($J103 = "section",$A107 = "end group")</formula>
    </cfRule>
    <cfRule type="expression" dxfId="2463" priority="7919">
      <formula>AND($J103="section",$A107="begin group")</formula>
    </cfRule>
    <cfRule type="expression" dxfId="2462" priority="7922">
      <formula xml:space="preserve"> AND($J103="gg",$A107 = "end group")</formula>
    </cfRule>
  </conditionalFormatting>
  <conditionalFormatting sqref="M109:W109">
    <cfRule type="expression" dxfId="2461" priority="7890">
      <formula>AND($J105 = "section",$A109 = "end group")</formula>
    </cfRule>
    <cfRule type="expression" dxfId="2460" priority="7891">
      <formula xml:space="preserve"> $A109 = "begin group"</formula>
    </cfRule>
    <cfRule type="expression" dxfId="2459" priority="7889">
      <formula>AND($J105="section",$A109="begin group")</formula>
    </cfRule>
    <cfRule type="expression" dxfId="2458" priority="7892">
      <formula xml:space="preserve"> AND($J105="gg",$A109 = "end group")</formula>
    </cfRule>
  </conditionalFormatting>
  <conditionalFormatting sqref="M110:W113 M195:W198">
    <cfRule type="expression" dxfId="2457" priority="7942">
      <formula>AND($J103="section",$A110="begin group")</formula>
    </cfRule>
    <cfRule type="expression" dxfId="2456" priority="7944">
      <formula xml:space="preserve"> $A110 = "begin group"</formula>
    </cfRule>
    <cfRule type="expression" dxfId="2455" priority="7945">
      <formula xml:space="preserve"> AND($J103="gg",$A110 = "end group")</formula>
    </cfRule>
    <cfRule type="expression" dxfId="2454" priority="7943">
      <formula>AND($J103 = "section",$A110 = "end group")</formula>
    </cfRule>
  </conditionalFormatting>
  <conditionalFormatting sqref="M118:W118">
    <cfRule type="expression" dxfId="2453" priority="8179">
      <formula xml:space="preserve"> $A118 = "begin group"</formula>
    </cfRule>
    <cfRule type="expression" dxfId="2452" priority="8180">
      <formula xml:space="preserve"> AND(#REF!="gg",$A118 = "end group")</formula>
    </cfRule>
    <cfRule type="expression" dxfId="2451" priority="8178">
      <formula>AND(#REF! = "section",$A118 = "end group")</formula>
    </cfRule>
    <cfRule type="expression" dxfId="2450" priority="8177">
      <formula>AND(#REF!="section",$A118="begin group")</formula>
    </cfRule>
  </conditionalFormatting>
  <conditionalFormatting sqref="M168:W182 I168:I182">
    <cfRule type="expression" dxfId="2449" priority="8667">
      <formula xml:space="preserve"> AND($J169="gg",$A168 = "end group")</formula>
    </cfRule>
    <cfRule type="expression" dxfId="2448" priority="8666">
      <formula xml:space="preserve"> $A168 = "begin group"</formula>
    </cfRule>
    <cfRule type="expression" dxfId="2447" priority="8665">
      <formula>AND($J169 = "section",$A168 = "end group")</formula>
    </cfRule>
    <cfRule type="expression" dxfId="2446" priority="8664">
      <formula>AND($J169="section",$A168="begin group")</formula>
    </cfRule>
  </conditionalFormatting>
  <conditionalFormatting sqref="M184:W191 I184:I191 I125:I126 K127:K130 I38 A129:A130 A206:A210 C206:D210 J124:K126 J206:K210 M206:W210 M200:W201 I131 K131:W131 C129:D131 K36:W38 A36:D38 D117 I116:I117 M123:W130 B117:C119 A123:D128 A114:D116 K114:K115 M114:W117 C120:C122 A205:D205 A200:D201 K200:K201 C202:C204 G200:I201 G205:K205 G114:I115 G123:K123 G36:I37 G131 G124:I124 G206:I206 G38 G127:I130 G209:I210 I207:I208 B39:B106 J36:J106 A190:A191 J110:J122 B110:B113 A195:A199 J195:J204 J127:J193">
    <cfRule type="expression" dxfId="2445" priority="8702">
      <formula xml:space="preserve"> $A36 = "begin group"</formula>
    </cfRule>
    <cfRule type="expression" dxfId="2444" priority="8703">
      <formula xml:space="preserve"> AND($J36="gg",$A36 = "end group")</formula>
    </cfRule>
  </conditionalFormatting>
  <conditionalFormatting sqref="M192:W193">
    <cfRule type="expression" dxfId="2443" priority="7845">
      <formula>AND($J188 = "section",$A192 = "end group")</formula>
    </cfRule>
    <cfRule type="expression" dxfId="2442" priority="7846">
      <formula xml:space="preserve"> $A192 = "begin group"</formula>
    </cfRule>
    <cfRule type="expression" dxfId="2441" priority="7844">
      <formula>AND($J188="section",$A192="begin group")</formula>
    </cfRule>
    <cfRule type="expression" dxfId="2440" priority="7847">
      <formula xml:space="preserve"> AND($J188="gg",$A192 = "end group")</formula>
    </cfRule>
  </conditionalFormatting>
  <conditionalFormatting sqref="M194:W194">
    <cfRule type="expression" dxfId="2439" priority="7818">
      <formula>AND($J190 = "section",$A194 = "end group")</formula>
    </cfRule>
    <cfRule type="expression" dxfId="2438" priority="7819">
      <formula xml:space="preserve"> $A194 = "begin group"</formula>
    </cfRule>
    <cfRule type="expression" dxfId="2437" priority="7817">
      <formula>AND($J190="section",$A194="begin group")</formula>
    </cfRule>
    <cfRule type="expression" dxfId="2436" priority="7820">
      <formula xml:space="preserve"> AND($J190="gg",$A194 = "end group")</formula>
    </cfRule>
  </conditionalFormatting>
  <conditionalFormatting sqref="M205:W205">
    <cfRule type="expression" dxfId="2435" priority="8165">
      <formula>AND($J205="section",$A205="begin group")</formula>
    </cfRule>
    <cfRule type="expression" dxfId="2434" priority="8166">
      <formula>AND($J205 = "section",$A205 = "end group")</formula>
    </cfRule>
    <cfRule type="expression" dxfId="2433" priority="8167">
      <formula xml:space="preserve"> $A205 = "begin group"</formula>
    </cfRule>
    <cfRule type="expression" dxfId="2432" priority="8168">
      <formula xml:space="preserve"> AND($J205="gg",$A205 = "end group")</formula>
    </cfRule>
  </conditionalFormatting>
  <conditionalFormatting sqref="M224:W224">
    <cfRule type="expression" dxfId="2431" priority="7659">
      <formula>AND(#REF!="section",$A224="begin group")</formula>
    </cfRule>
    <cfRule type="expression" dxfId="2430" priority="7660">
      <formula>AND(#REF! = "section",$A224 = "end group")</formula>
    </cfRule>
    <cfRule type="expression" dxfId="2429" priority="7661">
      <formula xml:space="preserve"> $A224 = "begin group"</formula>
    </cfRule>
    <cfRule type="expression" dxfId="2428" priority="7662">
      <formula xml:space="preserve"> AND(#REF!="gg",$A224 = "end group")</formula>
    </cfRule>
  </conditionalFormatting>
  <conditionalFormatting sqref="M225:W225">
    <cfRule type="expression" dxfId="2427" priority="7658">
      <formula xml:space="preserve"> AND(#REF!="gg",$A225 = "end group")</formula>
    </cfRule>
    <cfRule type="expression" dxfId="2426" priority="7657">
      <formula xml:space="preserve"> $A225 = "begin group"</formula>
    </cfRule>
    <cfRule type="expression" dxfId="2425" priority="7656">
      <formula>AND(#REF! = "section",$A225 = "end group")</formula>
    </cfRule>
    <cfRule type="expression" dxfId="2424" priority="7655">
      <formula>AND(#REF!="section",$A225="begin group")</formula>
    </cfRule>
  </conditionalFormatting>
  <conditionalFormatting sqref="M263:W267 I263:I267">
    <cfRule type="expression" dxfId="2423" priority="7184">
      <formula>$A263 = "begin repeat"</formula>
    </cfRule>
    <cfRule type="expression" dxfId="2422" priority="7183">
      <formula>AND($U$1="disabled",$U263="yes")</formula>
    </cfRule>
    <cfRule type="expression" dxfId="2421" priority="7185">
      <formula xml:space="preserve"> $A347 = "end repeat"</formula>
    </cfRule>
  </conditionalFormatting>
  <conditionalFormatting sqref="M274:W274 L319:W319 A319 I319 B255:B271 J255:J271 B223:B239 J223:J239 C356:C357">
    <cfRule type="expression" dxfId="2420" priority="7559">
      <formula xml:space="preserve"> $A241 = "end repeat"</formula>
    </cfRule>
    <cfRule type="expression" dxfId="2419" priority="7558">
      <formula>$A223 = "begin repeat"</formula>
    </cfRule>
    <cfRule type="expression" dxfId="2418" priority="7557">
      <formula>AND($U$1="disabled",$U223="yes")</formula>
    </cfRule>
  </conditionalFormatting>
  <conditionalFormatting sqref="M294:W294 A294 A296:A298 M296:W298 I296:I298 I294">
    <cfRule type="expression" dxfId="2417" priority="7364">
      <formula>$A294 = "begin repeat"</formula>
    </cfRule>
    <cfRule type="expression" dxfId="2416" priority="7365">
      <formula xml:space="preserve"> $A356 = "end repeat"</formula>
    </cfRule>
    <cfRule type="expression" dxfId="2415" priority="7363">
      <formula>AND($U$1="disabled",$U294="yes")</formula>
    </cfRule>
  </conditionalFormatting>
  <conditionalFormatting sqref="M306:W311 D306:D311">
    <cfRule type="expression" dxfId="2414" priority="7237">
      <formula>AND($J306 = "section",$A306 = "end group")</formula>
    </cfRule>
    <cfRule type="expression" dxfId="2413" priority="7236">
      <formula>AND($J306="section",$A306="begin group")</formula>
    </cfRule>
  </conditionalFormatting>
  <conditionalFormatting sqref="M323:W323 A323:B323 D323 I323:K323">
    <cfRule type="expression" dxfId="2412" priority="7001">
      <formula>AND($J323 = "section",$A323 = "end group")</formula>
    </cfRule>
  </conditionalFormatting>
  <conditionalFormatting sqref="M323:W323 I323:K323 A323:B323 D323">
    <cfRule type="expression" dxfId="2411" priority="7000">
      <formula>AND($J323="section",$A323="begin group")</formula>
    </cfRule>
  </conditionalFormatting>
  <conditionalFormatting sqref="M325:W325 A325:B325 D325 I325:K325">
    <cfRule type="expression" dxfId="2410" priority="6981">
      <formula>AND($J325 = "section",$A325 = "end group")</formula>
    </cfRule>
  </conditionalFormatting>
  <conditionalFormatting sqref="M325:W325 I325:K325 A325:B325 D325">
    <cfRule type="expression" dxfId="2409" priority="6980">
      <formula>AND($J325="section",$A325="begin group")</formula>
    </cfRule>
  </conditionalFormatting>
  <conditionalFormatting sqref="M336:W336 A336 I336">
    <cfRule type="expression" dxfId="2408" priority="7456">
      <formula xml:space="preserve"> $A390 = "end repeat"</formula>
    </cfRule>
    <cfRule type="expression" dxfId="2407" priority="7454">
      <formula>AND($U$1="disabled",$U336="yes")</formula>
    </cfRule>
    <cfRule type="expression" dxfId="2406" priority="7455">
      <formula>$A336 = "begin repeat"</formula>
    </cfRule>
  </conditionalFormatting>
  <conditionalFormatting sqref="M340:W340 A340:B340">
    <cfRule type="expression" dxfId="2405" priority="7076">
      <formula>AND($J340 = "section",$A340 = "end group")</formula>
    </cfRule>
  </conditionalFormatting>
  <conditionalFormatting sqref="M340:W340 I340:K340 A340:B340">
    <cfRule type="expression" dxfId="2404" priority="7075">
      <formula>AND($J340="section",$A340="begin group")</formula>
    </cfRule>
  </conditionalFormatting>
  <conditionalFormatting sqref="M341:W341 A341:B341">
    <cfRule type="expression" dxfId="2403" priority="7056">
      <formula>AND($J341 = "section",$A341 = "end group")</formula>
    </cfRule>
  </conditionalFormatting>
  <conditionalFormatting sqref="M341:W341 I341:K341 A341:B341">
    <cfRule type="expression" dxfId="2402" priority="7055">
      <formula>AND($J341="section",$A341="begin group")</formula>
    </cfRule>
  </conditionalFormatting>
  <conditionalFormatting sqref="M342:W344 A342:B344 D340:D344 I340:K344">
    <cfRule type="expression" dxfId="2401" priority="7039">
      <formula>AND($J340 = "section",$A340 = "end group")</formula>
    </cfRule>
  </conditionalFormatting>
  <conditionalFormatting sqref="M342:W344 I342:K344 A342:B344 D340:D344">
    <cfRule type="expression" dxfId="2400" priority="7038">
      <formula>AND($J340="section",$A340="begin group")</formula>
    </cfRule>
  </conditionalFormatting>
  <conditionalFormatting sqref="M383:W383">
    <cfRule type="expression" dxfId="2399" priority="6554">
      <formula>AND(#REF! = "section",$A383 = "end group")</formula>
    </cfRule>
    <cfRule type="expression" dxfId="2398" priority="6553">
      <formula>AND(#REF!="section",$A383="begin group")</formula>
    </cfRule>
    <cfRule type="expression" dxfId="2397" priority="6555">
      <formula xml:space="preserve"> $A383 = "begin group"</formula>
    </cfRule>
    <cfRule type="expression" dxfId="2396" priority="6556">
      <formula xml:space="preserve"> AND(#REF!="gg",$A383 = "end group")</formula>
    </cfRule>
  </conditionalFormatting>
  <conditionalFormatting sqref="M384:W391">
    <cfRule type="expression" dxfId="2395" priority="6568">
      <formula xml:space="preserve"> AND($J384="gg",$A384 = "end group")</formula>
    </cfRule>
    <cfRule type="expression" dxfId="2394" priority="6565">
      <formula>AND($J384="section",$A384="begin group")</formula>
    </cfRule>
    <cfRule type="expression" dxfId="2393" priority="6566">
      <formula>AND($J384 = "section",$A384 = "end group")</formula>
    </cfRule>
    <cfRule type="expression" dxfId="2392" priority="6567">
      <formula xml:space="preserve"> $A384 = "begin group"</formula>
    </cfRule>
  </conditionalFormatting>
  <conditionalFormatting sqref="M389:W389 M386:W386 L477 L480">
    <cfRule type="expression" dxfId="2391" priority="5646">
      <formula>AND($U$1="disabled",$U386="yes")</formula>
    </cfRule>
    <cfRule type="expression" dxfId="2390" priority="5647">
      <formula>$A386 = "begin repeat"</formula>
    </cfRule>
    <cfRule type="expression" dxfId="2389" priority="5648">
      <formula xml:space="preserve"> $A487 = "end repeat"</formula>
    </cfRule>
  </conditionalFormatting>
  <conditionalFormatting sqref="M390:W391 M387:W388 M393:W395 L478:L479">
    <cfRule type="expression" dxfId="2388" priority="3616">
      <formula xml:space="preserve"> $A487 = "end repeat"</formula>
    </cfRule>
    <cfRule type="expression" dxfId="2387" priority="3614">
      <formula>AND($U$1="disabled",$U387="yes")</formula>
    </cfRule>
    <cfRule type="expression" dxfId="2386" priority="3615">
      <formula>$A387 = "begin repeat"</formula>
    </cfRule>
  </conditionalFormatting>
  <conditionalFormatting sqref="M392:W392 B392 K477 I392:J392">
    <cfRule type="expression" dxfId="2385" priority="4201">
      <formula>AND($U$1="disabled",$U392="yes")</formula>
    </cfRule>
    <cfRule type="expression" dxfId="2384" priority="4203">
      <formula xml:space="preserve"> $A486 = "end repeat"</formula>
    </cfRule>
    <cfRule type="expression" dxfId="2383" priority="4202">
      <formula>$A392 = "begin repeat"</formula>
    </cfRule>
  </conditionalFormatting>
  <conditionalFormatting sqref="M392:W392 I392:J392 B392 D392">
    <cfRule type="expression" dxfId="2382" priority="6368">
      <formula xml:space="preserve"> AND($J392="gg",$A392 = "end group")</formula>
    </cfRule>
    <cfRule type="expression" dxfId="2381" priority="6367">
      <formula xml:space="preserve"> $A392 = "begin group"</formula>
    </cfRule>
  </conditionalFormatting>
  <conditionalFormatting sqref="M392:W400">
    <cfRule type="expression" dxfId="2380" priority="5706">
      <formula>AND($J392="section",$A392="begin group")</formula>
    </cfRule>
    <cfRule type="expression" dxfId="2379" priority="5707">
      <formula>AND($J392 = "section",$A392 = "end group")</formula>
    </cfRule>
  </conditionalFormatting>
  <conditionalFormatting sqref="M396:W396">
    <cfRule type="expression" dxfId="2378" priority="5979">
      <formula xml:space="preserve"> $A396 = "begin group"</formula>
    </cfRule>
    <cfRule type="expression" dxfId="2377" priority="5980">
      <formula xml:space="preserve"> AND($J396="gg",$A396 = "end group")</formula>
    </cfRule>
  </conditionalFormatting>
  <conditionalFormatting sqref="M397:W397">
    <cfRule type="expression" dxfId="2376" priority="5708">
      <formula xml:space="preserve"> $A397 = "begin group"</formula>
    </cfRule>
    <cfRule type="expression" dxfId="2375" priority="5709">
      <formula xml:space="preserve"> AND($J397="gg",$A397 = "end group")</formula>
    </cfRule>
  </conditionalFormatting>
  <conditionalFormatting sqref="M398:W398">
    <cfRule type="expression" dxfId="2374" priority="6312">
      <formula xml:space="preserve"> AND($J398="gg",$A398 = "end group")</formula>
    </cfRule>
    <cfRule type="expression" dxfId="2373" priority="6311">
      <formula xml:space="preserve"> $A398 = "begin group"</formula>
    </cfRule>
  </conditionalFormatting>
  <conditionalFormatting sqref="M399:W399">
    <cfRule type="expression" dxfId="2372" priority="6280">
      <formula xml:space="preserve"> $A399 = "begin group"</formula>
    </cfRule>
    <cfRule type="expression" dxfId="2371" priority="6281">
      <formula xml:space="preserve"> AND($J399="gg",$A399 = "end group")</formula>
    </cfRule>
  </conditionalFormatting>
  <conditionalFormatting sqref="M400:W400">
    <cfRule type="expression" dxfId="2370" priority="6250">
      <formula xml:space="preserve"> AND($J400="gg",$A400 = "end group")</formula>
    </cfRule>
    <cfRule type="expression" dxfId="2369" priority="6249">
      <formula xml:space="preserve"> $A400 = "begin group"</formula>
    </cfRule>
  </conditionalFormatting>
  <conditionalFormatting sqref="M401:W401">
    <cfRule type="expression" dxfId="2368" priority="3434">
      <formula>AND($J401 = "section",$A401 = "end group")</formula>
    </cfRule>
    <cfRule type="expression" dxfId="2367" priority="3436">
      <formula xml:space="preserve"> AND($J401="gg",$A401 = "end group")</formula>
    </cfRule>
    <cfRule type="expression" dxfId="2366" priority="3435">
      <formula xml:space="preserve"> $A401 = "begin group"</formula>
    </cfRule>
    <cfRule type="expression" dxfId="2365" priority="3433">
      <formula>AND($J401="section",$A401="begin group")</formula>
    </cfRule>
  </conditionalFormatting>
  <conditionalFormatting sqref="M402:W402">
    <cfRule type="expression" dxfId="2364" priority="3401">
      <formula xml:space="preserve"> $A402 = "begin group"</formula>
    </cfRule>
    <cfRule type="expression" dxfId="2363" priority="3399">
      <formula>AND($J402="section",$A402="begin group")</formula>
    </cfRule>
    <cfRule type="expression" dxfId="2362" priority="3400">
      <formula>AND($J402 = "section",$A402 = "end group")</formula>
    </cfRule>
    <cfRule type="expression" dxfId="2361" priority="3402">
      <formula xml:space="preserve"> AND($J402="gg",$A402 = "end group")</formula>
    </cfRule>
  </conditionalFormatting>
  <conditionalFormatting sqref="M403:W403 M417:W417 M413:W415">
    <cfRule type="expression" dxfId="2360" priority="3701">
      <formula xml:space="preserve"> $A494 = "end repeat"</formula>
    </cfRule>
    <cfRule type="expression" dxfId="2359" priority="3699">
      <formula>AND($U$1="disabled",$U403="yes")</formula>
    </cfRule>
    <cfRule type="expression" dxfId="2358" priority="3700">
      <formula>$A403 = "begin repeat"</formula>
    </cfRule>
  </conditionalFormatting>
  <conditionalFormatting sqref="M403:W403">
    <cfRule type="expression" dxfId="2357" priority="5946">
      <formula xml:space="preserve"> AND($J403="gg",$A403 = "end group")</formula>
    </cfRule>
    <cfRule type="expression" dxfId="2356" priority="5945">
      <formula xml:space="preserve"> $A403 = "begin group"</formula>
    </cfRule>
  </conditionalFormatting>
  <conditionalFormatting sqref="M403:W415">
    <cfRule type="expression" dxfId="2355" priority="5672">
      <formula>AND($J403="section",$A403="begin group")</formula>
    </cfRule>
    <cfRule type="expression" dxfId="2354" priority="5673">
      <formula>AND($J403 = "section",$A403 = "end group")</formula>
    </cfRule>
  </conditionalFormatting>
  <conditionalFormatting sqref="M404:W404">
    <cfRule type="expression" dxfId="2353" priority="5784">
      <formula xml:space="preserve"> $A404 = "begin group"</formula>
    </cfRule>
    <cfRule type="expression" dxfId="2352" priority="5785">
      <formula xml:space="preserve"> AND($J404="gg",$A404 = "end group")</formula>
    </cfRule>
  </conditionalFormatting>
  <conditionalFormatting sqref="M404:W407 G358:G360 E358:E360 M418:W420">
    <cfRule type="expression" dxfId="2351" priority="3333">
      <formula>AND($U$1="disabled",$U358="yes")</formula>
    </cfRule>
    <cfRule type="expression" dxfId="2350" priority="3335">
      <formula xml:space="preserve"> $A448 = "end repeat"</formula>
    </cfRule>
    <cfRule type="expression" dxfId="2349" priority="3334">
      <formula>$A358 = "begin repeat"</formula>
    </cfRule>
  </conditionalFormatting>
  <conditionalFormatting sqref="M405:W405">
    <cfRule type="expression" dxfId="2348" priority="6218">
      <formula xml:space="preserve"> $A405 = "begin group"</formula>
    </cfRule>
    <cfRule type="expression" dxfId="2347" priority="6219">
      <formula xml:space="preserve"> AND($J405="gg",$A405 = "end group")</formula>
    </cfRule>
  </conditionalFormatting>
  <conditionalFormatting sqref="M406:W406">
    <cfRule type="expression" dxfId="2346" priority="6188">
      <formula xml:space="preserve"> AND($J406="gg",$A406 = "end group")</formula>
    </cfRule>
    <cfRule type="expression" dxfId="2345" priority="6187">
      <formula xml:space="preserve"> $A406 = "begin group"</formula>
    </cfRule>
  </conditionalFormatting>
  <conditionalFormatting sqref="M407:W407">
    <cfRule type="expression" dxfId="2344" priority="5915">
      <formula xml:space="preserve"> AND($J407="gg",$A407 = "end group")</formula>
    </cfRule>
    <cfRule type="expression" dxfId="2343" priority="5914">
      <formula xml:space="preserve"> $A407 = "begin group"</formula>
    </cfRule>
  </conditionalFormatting>
  <conditionalFormatting sqref="M408:W408">
    <cfRule type="expression" dxfId="2342" priority="5815">
      <formula xml:space="preserve"> $A408 = "begin group"</formula>
    </cfRule>
    <cfRule type="expression" dxfId="2341" priority="5816">
      <formula xml:space="preserve"> AND($J408="gg",$A408 = "end group")</formula>
    </cfRule>
  </conditionalFormatting>
  <conditionalFormatting sqref="M408:W409">
    <cfRule type="expression" dxfId="2340" priority="3340">
      <formula>$A408 = "begin repeat"</formula>
    </cfRule>
    <cfRule type="expression" dxfId="2339" priority="3341">
      <formula xml:space="preserve"> $A497 = "end repeat"</formula>
    </cfRule>
    <cfRule type="expression" dxfId="2338" priority="3339">
      <formula>AND($U$1="disabled",$U408="yes")</formula>
    </cfRule>
  </conditionalFormatting>
  <conditionalFormatting sqref="M409:W409">
    <cfRule type="expression" dxfId="2337" priority="5883">
      <formula xml:space="preserve"> $A409 = "begin group"</formula>
    </cfRule>
    <cfRule type="expression" dxfId="2336" priority="5884">
      <formula xml:space="preserve"> AND($J409="gg",$A409 = "end group")</formula>
    </cfRule>
  </conditionalFormatting>
  <conditionalFormatting sqref="M410:W410">
    <cfRule type="expression" dxfId="2335" priority="6148">
      <formula xml:space="preserve"> AND($J410="gg",$A410 = "end group")</formula>
    </cfRule>
    <cfRule type="expression" dxfId="2334" priority="6147">
      <formula xml:space="preserve"> $A410 = "begin group"</formula>
    </cfRule>
  </conditionalFormatting>
  <conditionalFormatting sqref="M410:W411">
    <cfRule type="expression" dxfId="2333" priority="6447">
      <formula>AND($U$1="disabled",$U410="yes")</formula>
    </cfRule>
    <cfRule type="expression" dxfId="2332" priority="6449">
      <formula xml:space="preserve"> $A506 = "end repeat"</formula>
    </cfRule>
    <cfRule type="expression" dxfId="2331" priority="6448">
      <formula>$A410 = "begin repeat"</formula>
    </cfRule>
  </conditionalFormatting>
  <conditionalFormatting sqref="M411:W411">
    <cfRule type="expression" dxfId="2330" priority="6117">
      <formula xml:space="preserve"> AND($J411="gg",$A411 = "end group")</formula>
    </cfRule>
    <cfRule type="expression" dxfId="2329" priority="6116">
      <formula xml:space="preserve"> $A411 = "begin group"</formula>
    </cfRule>
  </conditionalFormatting>
  <conditionalFormatting sqref="M412:W412">
    <cfRule type="expression" dxfId="2328" priority="3660">
      <formula xml:space="preserve"> $A504 = "end repeat"</formula>
    </cfRule>
    <cfRule type="expression" dxfId="2327" priority="5853">
      <formula xml:space="preserve"> AND($J412="gg",$A412 = "end group")</formula>
    </cfRule>
    <cfRule type="expression" dxfId="2326" priority="3659">
      <formula>$A412 = "begin repeat"</formula>
    </cfRule>
    <cfRule type="expression" dxfId="2325" priority="5852">
      <formula xml:space="preserve"> $A412 = "begin group"</formula>
    </cfRule>
    <cfRule type="expression" dxfId="2324" priority="3658">
      <formula>AND($U$1="disabled",$U412="yes")</formula>
    </cfRule>
  </conditionalFormatting>
  <conditionalFormatting sqref="M413:W413">
    <cfRule type="expression" dxfId="2323" priority="5674">
      <formula xml:space="preserve"> $A413 = "begin group"</formula>
    </cfRule>
    <cfRule type="expression" dxfId="2322" priority="5675">
      <formula xml:space="preserve"> AND($J413="gg",$A413 = "end group")</formula>
    </cfRule>
  </conditionalFormatting>
  <conditionalFormatting sqref="M414:W414">
    <cfRule type="expression" dxfId="2321" priority="6086">
      <formula xml:space="preserve"> AND($J414="gg",$A414 = "end group")</formula>
    </cfRule>
    <cfRule type="expression" dxfId="2320" priority="6085">
      <formula xml:space="preserve"> $A414 = "begin group"</formula>
    </cfRule>
  </conditionalFormatting>
  <conditionalFormatting sqref="M415:W415">
    <cfRule type="expression" dxfId="2319" priority="6055">
      <formula xml:space="preserve"> AND($J415="gg",$A415 = "end group")</formula>
    </cfRule>
    <cfRule type="expression" dxfId="2318" priority="6054">
      <formula xml:space="preserve"> $A415 = "begin group"</formula>
    </cfRule>
  </conditionalFormatting>
  <conditionalFormatting sqref="M416:W416 J478:J480 B478:B480 M398:W402">
    <cfRule type="expression" dxfId="2317" priority="3415">
      <formula xml:space="preserve"> $A495 = "end repeat"</formula>
    </cfRule>
    <cfRule type="expression" dxfId="2316" priority="3414">
      <formula>$A398 = "begin repeat"</formula>
    </cfRule>
    <cfRule type="expression" dxfId="2315" priority="3413">
      <formula>AND($U$1="disabled",$U398="yes")</formula>
    </cfRule>
  </conditionalFormatting>
  <conditionalFormatting sqref="M416:W416">
    <cfRule type="expression" dxfId="2314" priority="3365">
      <formula xml:space="preserve"> AND($J416="gg",$A416 = "end group")</formula>
    </cfRule>
    <cfRule type="expression" dxfId="2313" priority="3364">
      <formula xml:space="preserve"> $A416 = "begin group"</formula>
    </cfRule>
  </conditionalFormatting>
  <conditionalFormatting sqref="M416:W420">
    <cfRule type="expression" dxfId="2312" priority="3212">
      <formula>AND($J416 = "section",$A416 = "end group")</formula>
    </cfRule>
    <cfRule type="expression" dxfId="2311" priority="3211">
      <formula>AND($J416="section",$A416="begin group")</formula>
    </cfRule>
  </conditionalFormatting>
  <conditionalFormatting sqref="M417:W417">
    <cfRule type="expression" dxfId="2310" priority="3245">
      <formula xml:space="preserve"> AND($J417="gg",$A417 = "end group")</formula>
    </cfRule>
    <cfRule type="expression" dxfId="2309" priority="3244">
      <formula xml:space="preserve"> $A417 = "begin group"</formula>
    </cfRule>
  </conditionalFormatting>
  <conditionalFormatting sqref="M418:W418">
    <cfRule type="expression" dxfId="2308" priority="3214">
      <formula xml:space="preserve"> AND($J418="gg",$A418 = "end group")</formula>
    </cfRule>
    <cfRule type="expression" dxfId="2307" priority="3213">
      <formula xml:space="preserve"> $A418 = "begin group"</formula>
    </cfRule>
  </conditionalFormatting>
  <conditionalFormatting sqref="M419:W419">
    <cfRule type="expression" dxfId="2306" priority="3307">
      <formula xml:space="preserve"> AND($J419="gg",$A419 = "end group")</formula>
    </cfRule>
    <cfRule type="expression" dxfId="2305" priority="3306">
      <formula xml:space="preserve"> $A419 = "begin group"</formula>
    </cfRule>
  </conditionalFormatting>
  <conditionalFormatting sqref="M420:W420">
    <cfRule type="expression" dxfId="2304" priority="3275">
      <formula xml:space="preserve"> $A420 = "begin group"</formula>
    </cfRule>
    <cfRule type="expression" dxfId="2303" priority="3276">
      <formula xml:space="preserve"> AND($J420="gg",$A420 = "end group")</formula>
    </cfRule>
  </conditionalFormatting>
  <conditionalFormatting sqref="M426:W436">
    <cfRule type="expression" dxfId="2302" priority="6582">
      <formula xml:space="preserve"> AND($J426="gg",$A426 = "end group")</formula>
    </cfRule>
    <cfRule type="expression" dxfId="2301" priority="6579">
      <formula>AND($J426="section",$A426="begin group")</formula>
    </cfRule>
    <cfRule type="expression" dxfId="2300" priority="6580">
      <formula>AND($J426 = "section",$A426 = "end group")</formula>
    </cfRule>
    <cfRule type="expression" dxfId="2299" priority="6581">
      <formula xml:space="preserve"> $A426 = "begin group"</formula>
    </cfRule>
  </conditionalFormatting>
  <conditionalFormatting sqref="M457:W457 I457:J457 B535:B539 B552:B556">
    <cfRule type="expression" dxfId="2298" priority="4174">
      <formula>AND($U$1="disabled",$U457="yes")</formula>
    </cfRule>
    <cfRule type="expression" dxfId="2297" priority="4176">
      <formula xml:space="preserve"> $A561 = "end repeat"</formula>
    </cfRule>
    <cfRule type="expression" dxfId="2296" priority="4175">
      <formula>$A457 = "begin repeat"</formula>
    </cfRule>
  </conditionalFormatting>
  <conditionalFormatting sqref="M457:W457 I457:J457 D457">
    <cfRule type="expression" dxfId="2295" priority="6340">
      <formula xml:space="preserve"> $A457 = "begin group"</formula>
    </cfRule>
    <cfRule type="expression" dxfId="2294" priority="6341">
      <formula xml:space="preserve"> AND($J457="gg",$A457 = "end group")</formula>
    </cfRule>
  </conditionalFormatting>
  <conditionalFormatting sqref="M457:W465">
    <cfRule type="expression" dxfId="2293" priority="5064">
      <formula>AND($J457="section",$A457="begin group")</formula>
    </cfRule>
    <cfRule type="expression" dxfId="2292" priority="5065">
      <formula>AND($J457 = "section",$A457 = "end group")</formula>
    </cfRule>
  </conditionalFormatting>
  <conditionalFormatting sqref="M458:W459">
    <cfRule type="expression" dxfId="2291" priority="3599">
      <formula>AND($U$1="disabled",$U458="yes")</formula>
    </cfRule>
    <cfRule type="expression" dxfId="2290" priority="3600">
      <formula>$A458 = "begin repeat"</formula>
    </cfRule>
    <cfRule type="expression" dxfId="2289" priority="3601">
      <formula xml:space="preserve"> $A578 = "end repeat"</formula>
    </cfRule>
  </conditionalFormatting>
  <conditionalFormatting sqref="M460:W460">
    <cfRule type="expression" dxfId="2288" priority="4260">
      <formula xml:space="preserve"> $A581 = "end repeat"</formula>
    </cfRule>
    <cfRule type="expression" dxfId="2287" priority="4259">
      <formula>$A460 = "begin repeat"</formula>
    </cfRule>
    <cfRule type="expression" dxfId="2286" priority="4258">
      <formula>AND($U$1="disabled",$U460="yes")</formula>
    </cfRule>
  </conditionalFormatting>
  <conditionalFormatting sqref="M461:W461 M481:W481 M463:W467">
    <cfRule type="expression" dxfId="2285" priority="6029">
      <formula>AND($U$1="disabled",$U461="yes")</formula>
    </cfRule>
    <cfRule type="expression" dxfId="2284" priority="6030">
      <formula>$A461 = "begin repeat"</formula>
    </cfRule>
    <cfRule type="expression" dxfId="2283" priority="6031">
      <formula xml:space="preserve"> $A579 = "end repeat"</formula>
    </cfRule>
  </conditionalFormatting>
  <conditionalFormatting sqref="M461:W461">
    <cfRule type="expression" dxfId="2282" priority="5325">
      <formula xml:space="preserve"> $A461 = "begin group"</formula>
    </cfRule>
    <cfRule type="expression" dxfId="2281" priority="5326">
      <formula xml:space="preserve"> AND($J461="gg",$A461 = "end group")</formula>
    </cfRule>
  </conditionalFormatting>
  <conditionalFormatting sqref="M462:W462">
    <cfRule type="expression" dxfId="2280" priority="5066">
      <formula xml:space="preserve"> $A462 = "begin group"</formula>
    </cfRule>
    <cfRule type="expression" dxfId="2279" priority="5645">
      <formula xml:space="preserve"> $A581 = "end repeat"</formula>
    </cfRule>
    <cfRule type="expression" dxfId="2278" priority="5644">
      <formula>$A462 = "begin repeat"</formula>
    </cfRule>
    <cfRule type="expression" dxfId="2277" priority="5643">
      <formula>AND($U$1="disabled",$U462="yes")</formula>
    </cfRule>
    <cfRule type="expression" dxfId="2276" priority="5067">
      <formula xml:space="preserve"> AND($J462="gg",$A462 = "end group")</formula>
    </cfRule>
  </conditionalFormatting>
  <conditionalFormatting sqref="M463:W463">
    <cfRule type="expression" dxfId="2275" priority="5605">
      <formula xml:space="preserve"> AND($J463="gg",$A463 = "end group")</formula>
    </cfRule>
    <cfRule type="expression" dxfId="2274" priority="5604">
      <formula xml:space="preserve"> $A463 = "begin group"</formula>
    </cfRule>
  </conditionalFormatting>
  <conditionalFormatting sqref="M464:W464">
    <cfRule type="expression" dxfId="2273" priority="5573">
      <formula xml:space="preserve"> $A464 = "begin group"</formula>
    </cfRule>
    <cfRule type="expression" dxfId="2272" priority="5574">
      <formula xml:space="preserve"> AND($J464="gg",$A464 = "end group")</formula>
    </cfRule>
  </conditionalFormatting>
  <conditionalFormatting sqref="M465:W465">
    <cfRule type="expression" dxfId="2271" priority="5542">
      <formula xml:space="preserve"> $A465 = "begin group"</formula>
    </cfRule>
    <cfRule type="expression" dxfId="2270" priority="5543">
      <formula xml:space="preserve"> AND($J465="gg",$A465 = "end group")</formula>
    </cfRule>
  </conditionalFormatting>
  <conditionalFormatting sqref="M466:W466">
    <cfRule type="expression" dxfId="2269" priority="3721">
      <formula xml:space="preserve"> $A466 = "begin group"</formula>
    </cfRule>
    <cfRule type="expression" dxfId="2268" priority="3722">
      <formula xml:space="preserve"> AND($J466="gg",$A466 = "end group")</formula>
    </cfRule>
  </conditionalFormatting>
  <conditionalFormatting sqref="M466:W467">
    <cfRule type="expression" dxfId="2267" priority="3681">
      <formula>AND($J466="section",$A466="begin group")</formula>
    </cfRule>
    <cfRule type="expression" dxfId="2266" priority="3682">
      <formula>AND($J466 = "section",$A466 = "end group")</formula>
    </cfRule>
  </conditionalFormatting>
  <conditionalFormatting sqref="M467:W467">
    <cfRule type="expression" dxfId="2265" priority="3683">
      <formula xml:space="preserve"> $A467 = "begin group"</formula>
    </cfRule>
    <cfRule type="expression" dxfId="2264" priority="3684">
      <formula xml:space="preserve"> AND($J467="gg",$A467 = "end group")</formula>
    </cfRule>
  </conditionalFormatting>
  <conditionalFormatting sqref="M468:W468 M482:W482 M470:W472 M484:W485 A529:A531">
    <cfRule type="expression" dxfId="2263" priority="6386">
      <formula xml:space="preserve"> $A579 = "end repeat"</formula>
    </cfRule>
    <cfRule type="expression" dxfId="2262" priority="6385">
      <formula>$A468 = "begin repeat"</formula>
    </cfRule>
    <cfRule type="expression" dxfId="2261" priority="6384">
      <formula>AND($U$1="disabled",$U468="yes")</formula>
    </cfRule>
  </conditionalFormatting>
  <conditionalFormatting sqref="M468:W468">
    <cfRule type="expression" dxfId="2260" priority="5294">
      <formula xml:space="preserve"> $A468 = "begin group"</formula>
    </cfRule>
    <cfRule type="expression" dxfId="2259" priority="5295">
      <formula xml:space="preserve"> AND($J468="gg",$A468 = "end group")</formula>
    </cfRule>
  </conditionalFormatting>
  <conditionalFormatting sqref="M468:W480">
    <cfRule type="expression" dxfId="2258" priority="5033">
      <formula>AND($J468="section",$A468="begin group")</formula>
    </cfRule>
    <cfRule type="expression" dxfId="2257" priority="5034">
      <formula>AND($J468 = "section",$A468 = "end group")</formula>
    </cfRule>
  </conditionalFormatting>
  <conditionalFormatting sqref="M469:W469 M483:W483 M473:W474 A537:A539 A554:A556 A532:A533">
    <cfRule type="expression" dxfId="2256" priority="5639">
      <formula xml:space="preserve"> $A579 = "end repeat"</formula>
    </cfRule>
    <cfRule type="expression" dxfId="2255" priority="5638">
      <formula>$A469 = "begin repeat"</formula>
    </cfRule>
    <cfRule type="expression" dxfId="2254" priority="5637">
      <formula>AND($U$1="disabled",$U469="yes")</formula>
    </cfRule>
  </conditionalFormatting>
  <conditionalFormatting sqref="M469:W469">
    <cfRule type="expression" dxfId="2253" priority="5140">
      <formula xml:space="preserve"> AND($J469="gg",$A469 = "end group")</formula>
    </cfRule>
    <cfRule type="expression" dxfId="2252" priority="5139">
      <formula xml:space="preserve"> $A469 = "begin group"</formula>
    </cfRule>
  </conditionalFormatting>
  <conditionalFormatting sqref="M470:W470">
    <cfRule type="expression" dxfId="2251" priority="5511">
      <formula xml:space="preserve"> $A470 = "begin group"</formula>
    </cfRule>
    <cfRule type="expression" dxfId="2250" priority="5512">
      <formula xml:space="preserve"> AND($J470="gg",$A470 = "end group")</formula>
    </cfRule>
  </conditionalFormatting>
  <conditionalFormatting sqref="M471:W471">
    <cfRule type="expression" dxfId="2249" priority="5480">
      <formula xml:space="preserve"> $A471 = "begin group"</formula>
    </cfRule>
    <cfRule type="expression" dxfId="2248" priority="5481">
      <formula xml:space="preserve"> AND($J471="gg",$A471 = "end group")</formula>
    </cfRule>
  </conditionalFormatting>
  <conditionalFormatting sqref="M472:W472">
    <cfRule type="expression" dxfId="2247" priority="5264">
      <formula xml:space="preserve"> AND($J472="gg",$A472 = "end group")</formula>
    </cfRule>
    <cfRule type="expression" dxfId="2246" priority="5263">
      <formula xml:space="preserve"> $A472 = "begin group"</formula>
    </cfRule>
  </conditionalFormatting>
  <conditionalFormatting sqref="M473:W473">
    <cfRule type="expression" dxfId="2245" priority="5171">
      <formula xml:space="preserve"> AND($J473="gg",$A473 = "end group")</formula>
    </cfRule>
    <cfRule type="expression" dxfId="2244" priority="5170">
      <formula xml:space="preserve"> $A473 = "begin group"</formula>
    </cfRule>
  </conditionalFormatting>
  <conditionalFormatting sqref="M474:W474">
    <cfRule type="expression" dxfId="2243" priority="5232">
      <formula xml:space="preserve"> $A474 = "begin group"</formula>
    </cfRule>
    <cfRule type="expression" dxfId="2242" priority="5233">
      <formula xml:space="preserve"> AND($J474="gg",$A474 = "end group")</formula>
    </cfRule>
  </conditionalFormatting>
  <conditionalFormatting sqref="M475:W475">
    <cfRule type="expression" dxfId="2241" priority="5449">
      <formula xml:space="preserve"> $A475 = "begin group"</formula>
    </cfRule>
    <cfRule type="expression" dxfId="2240" priority="5450">
      <formula xml:space="preserve"> AND($J475="gg",$A475 = "end group")</formula>
    </cfRule>
  </conditionalFormatting>
  <conditionalFormatting sqref="M475:W476">
    <cfRule type="expression" dxfId="2239" priority="4204">
      <formula>AND($U$1="disabled",$U475="yes")</formula>
    </cfRule>
    <cfRule type="expression" dxfId="2238" priority="4205">
      <formula>$A475 = "begin repeat"</formula>
    </cfRule>
    <cfRule type="expression" dxfId="2237" priority="4206">
      <formula xml:space="preserve"> $A592 = "end repeat"</formula>
    </cfRule>
  </conditionalFormatting>
  <conditionalFormatting sqref="M476:W476">
    <cfRule type="expression" dxfId="2236" priority="5419">
      <formula xml:space="preserve"> AND($J476="gg",$A476 = "end group")</formula>
    </cfRule>
    <cfRule type="expression" dxfId="2235" priority="5418">
      <formula xml:space="preserve"> $A476 = "begin group"</formula>
    </cfRule>
  </conditionalFormatting>
  <conditionalFormatting sqref="M477:W477 B540:B548">
    <cfRule type="expression" dxfId="2234" priority="5832">
      <formula xml:space="preserve"> $A590 = "end repeat"</formula>
    </cfRule>
    <cfRule type="expression" dxfId="2233" priority="5830">
      <formula>AND($U$1="disabled",$U477="yes")</formula>
    </cfRule>
    <cfRule type="expression" dxfId="2232" priority="5831">
      <formula>$A477 = "begin repeat"</formula>
    </cfRule>
  </conditionalFormatting>
  <conditionalFormatting sqref="M477:W477">
    <cfRule type="expression" dxfId="2231" priority="5201">
      <formula xml:space="preserve"> $A477 = "begin group"</formula>
    </cfRule>
    <cfRule type="expression" dxfId="2230" priority="5202">
      <formula xml:space="preserve"> AND($J477="gg",$A477 = "end group")</formula>
    </cfRule>
  </conditionalFormatting>
  <conditionalFormatting sqref="M478:W478">
    <cfRule type="expression" dxfId="2229" priority="5035">
      <formula xml:space="preserve"> $A478 = "begin group"</formula>
    </cfRule>
    <cfRule type="expression" dxfId="2228" priority="5036">
      <formula xml:space="preserve"> AND($J478="gg",$A478 = "end group")</formula>
    </cfRule>
  </conditionalFormatting>
  <conditionalFormatting sqref="M478:W480">
    <cfRule type="expression" dxfId="2227" priority="6398">
      <formula xml:space="preserve"> $A590 = "end repeat"</formula>
    </cfRule>
    <cfRule type="expression" dxfId="2226" priority="6396">
      <formula>AND($U$1="disabled",$U478="yes")</formula>
    </cfRule>
    <cfRule type="expression" dxfId="2225" priority="6397">
      <formula>$A478 = "begin repeat"</formula>
    </cfRule>
  </conditionalFormatting>
  <conditionalFormatting sqref="M479:W479">
    <cfRule type="expression" dxfId="2224" priority="5387">
      <formula xml:space="preserve"> $A479 = "begin group"</formula>
    </cfRule>
    <cfRule type="expression" dxfId="2223" priority="5388">
      <formula xml:space="preserve"> AND($J479="gg",$A479 = "end group")</formula>
    </cfRule>
  </conditionalFormatting>
  <conditionalFormatting sqref="M480:W480">
    <cfRule type="expression" dxfId="2222" priority="5357">
      <formula xml:space="preserve"> AND($J480="gg",$A480 = "end group")</formula>
    </cfRule>
    <cfRule type="expression" dxfId="2221" priority="5356">
      <formula xml:space="preserve"> $A480 = "begin group"</formula>
    </cfRule>
  </conditionalFormatting>
  <conditionalFormatting sqref="M481:W481">
    <cfRule type="expression" dxfId="2220" priority="3640">
      <formula xml:space="preserve"> AND($J481="gg",$A481 = "end group")</formula>
    </cfRule>
    <cfRule type="expression" dxfId="2219" priority="3639">
      <formula xml:space="preserve"> $A481 = "begin group"</formula>
    </cfRule>
  </conditionalFormatting>
  <conditionalFormatting sqref="M481:W485">
    <cfRule type="expression" dxfId="2218" priority="3464">
      <formula>AND($J481="section",$A481="begin group")</formula>
    </cfRule>
    <cfRule type="expression" dxfId="2217" priority="3465">
      <formula>AND($J481 = "section",$A481 = "end group")</formula>
    </cfRule>
  </conditionalFormatting>
  <conditionalFormatting sqref="M482:W482">
    <cfRule type="expression" dxfId="2216" priority="3498">
      <formula xml:space="preserve"> AND($J482="gg",$A482 = "end group")</formula>
    </cfRule>
    <cfRule type="expression" dxfId="2215" priority="3497">
      <formula xml:space="preserve"> $A482 = "begin group"</formula>
    </cfRule>
  </conditionalFormatting>
  <conditionalFormatting sqref="M483:W483">
    <cfRule type="expression" dxfId="2214" priority="3467">
      <formula xml:space="preserve"> AND($J483="gg",$A483 = "end group")</formula>
    </cfRule>
    <cfRule type="expression" dxfId="2213" priority="3466">
      <formula xml:space="preserve"> $A483 = "begin group"</formula>
    </cfRule>
  </conditionalFormatting>
  <conditionalFormatting sqref="M484:W484">
    <cfRule type="expression" dxfId="2212" priority="3559">
      <formula xml:space="preserve"> $A484 = "begin group"</formula>
    </cfRule>
    <cfRule type="expression" dxfId="2211" priority="3560">
      <formula xml:space="preserve"> AND($J484="gg",$A484 = "end group")</formula>
    </cfRule>
  </conditionalFormatting>
  <conditionalFormatting sqref="M485:W485">
    <cfRule type="expression" dxfId="2210" priority="3529">
      <formula xml:space="preserve"> AND($J485="gg",$A485 = "end group")</formula>
    </cfRule>
    <cfRule type="expression" dxfId="2209" priority="3528">
      <formula xml:space="preserve"> $A485 = "begin group"</formula>
    </cfRule>
  </conditionalFormatting>
  <conditionalFormatting sqref="M497:W497 J506 B506 M501:W501 L495:W496 L497:L499 A501:A503 I511:J513 B508:B513 A523:A525 B523:B533">
    <cfRule type="expression" dxfId="2208" priority="3833">
      <formula>AND($U$1="disabled",$U495="yes")</formula>
    </cfRule>
    <cfRule type="expression" dxfId="2207" priority="3835">
      <formula xml:space="preserve"> $A570 = "end repeat"</formula>
    </cfRule>
    <cfRule type="expression" dxfId="2206" priority="3834">
      <formula>$A495 = "begin repeat"</formula>
    </cfRule>
  </conditionalFormatting>
  <conditionalFormatting sqref="M522:W522">
    <cfRule type="expression" dxfId="2205" priority="4239">
      <formula xml:space="preserve"> $A679 = "end repeat"</formula>
    </cfRule>
    <cfRule type="expression" dxfId="2204" priority="6015">
      <formula xml:space="preserve"> AND($J522="gg",$A522 = "end group")</formula>
    </cfRule>
    <cfRule type="expression" dxfId="2203" priority="6014">
      <formula xml:space="preserve"> $A522 = "begin group"</formula>
    </cfRule>
    <cfRule type="expression" dxfId="2202" priority="4237">
      <formula>AND($U$1="disabled",$U522="yes")</formula>
    </cfRule>
    <cfRule type="expression" dxfId="2201" priority="4238">
      <formula>$A522 = "begin repeat"</formula>
    </cfRule>
  </conditionalFormatting>
  <conditionalFormatting sqref="M522:W527">
    <cfRule type="expression" dxfId="2200" priority="4622">
      <formula>AND($J522 = "section",$A522 = "end group")</formula>
    </cfRule>
    <cfRule type="expression" dxfId="2199" priority="4621">
      <formula>AND($J522="section",$A522="begin group")</formula>
    </cfRule>
  </conditionalFormatting>
  <conditionalFormatting sqref="M523:W525">
    <cfRule type="expression" dxfId="2198" priority="3781">
      <formula>AND($U$1="disabled",$U523="yes")</formula>
    </cfRule>
    <cfRule type="expression" dxfId="2197" priority="3782">
      <formula>$A523 = "begin repeat"</formula>
    </cfRule>
    <cfRule type="expression" dxfId="2196" priority="3783">
      <formula xml:space="preserve"> $A704 = "end repeat"</formula>
    </cfRule>
  </conditionalFormatting>
  <conditionalFormatting sqref="M526:W526">
    <cfRule type="expression" dxfId="2195" priority="4676">
      <formula xml:space="preserve"> $A526 = "begin group"</formula>
    </cfRule>
    <cfRule type="expression" dxfId="2194" priority="4677">
      <formula xml:space="preserve"> AND($J526="gg",$A526 = "end group")</formula>
    </cfRule>
  </conditionalFormatting>
  <conditionalFormatting sqref="M526:W527">
    <cfRule type="expression" dxfId="2193" priority="3843">
      <formula>AND($U$1="disabled",$U526="yes")</formula>
    </cfRule>
    <cfRule type="expression" dxfId="2192" priority="3844">
      <formula>$A526 = "begin repeat"</formula>
    </cfRule>
    <cfRule type="expression" dxfId="2191" priority="3845">
      <formula xml:space="preserve"> $A706 = "end repeat"</formula>
    </cfRule>
  </conditionalFormatting>
  <conditionalFormatting sqref="M527:W527">
    <cfRule type="expression" dxfId="2190" priority="4624">
      <formula xml:space="preserve"> AND($J527="gg",$A527 = "end group")</formula>
    </cfRule>
    <cfRule type="expression" dxfId="2189" priority="4623">
      <formula xml:space="preserve"> $A527 = "begin group"</formula>
    </cfRule>
  </conditionalFormatting>
  <conditionalFormatting sqref="M528:W530">
    <cfRule type="expression" dxfId="2188" priority="4955">
      <formula>AND($J528 = "section",$A528 = "end group")</formula>
    </cfRule>
    <cfRule type="expression" dxfId="2187" priority="4954">
      <formula>AND($J528="section",$A528="begin group")</formula>
    </cfRule>
  </conditionalFormatting>
  <conditionalFormatting sqref="M528:W531">
    <cfRule type="expression" dxfId="2186" priority="4043">
      <formula xml:space="preserve"> $A707 = "end repeat"</formula>
    </cfRule>
    <cfRule type="expression" dxfId="2185" priority="4042">
      <formula>$A528 = "begin repeat"</formula>
    </cfRule>
    <cfRule type="expression" dxfId="2184" priority="4041">
      <formula>AND($U$1="disabled",$U528="yes")</formula>
    </cfRule>
  </conditionalFormatting>
  <conditionalFormatting sqref="M529:W529">
    <cfRule type="expression" dxfId="2183" priority="4986">
      <formula xml:space="preserve"> AND($J529="gg",$A529 = "end group")</formula>
    </cfRule>
    <cfRule type="expression" dxfId="2182" priority="4985">
      <formula xml:space="preserve"> $A529 = "begin group"</formula>
    </cfRule>
  </conditionalFormatting>
  <conditionalFormatting sqref="M530:W530">
    <cfRule type="expression" dxfId="2181" priority="4957">
      <formula xml:space="preserve"> AND($J530="gg",$A530 = "end group")</formula>
    </cfRule>
    <cfRule type="expression" dxfId="2180" priority="4956">
      <formula xml:space="preserve"> $A530 = "begin group"</formula>
    </cfRule>
  </conditionalFormatting>
  <conditionalFormatting sqref="M531:W531">
    <cfRule type="expression" dxfId="2179" priority="3821">
      <formula xml:space="preserve"> $A531 = "begin group"</formula>
    </cfRule>
    <cfRule type="expression" dxfId="2178" priority="3819">
      <formula>AND($J531="section",$A531="begin group")</formula>
    </cfRule>
    <cfRule type="expression" dxfId="2177" priority="3820">
      <formula>AND($J531 = "section",$A531 = "end group")</formula>
    </cfRule>
    <cfRule type="expression" dxfId="2176" priority="3822">
      <formula xml:space="preserve"> AND($J531="gg",$A531 = "end group")</formula>
    </cfRule>
  </conditionalFormatting>
  <conditionalFormatting sqref="M532:W532">
    <cfRule type="expression" dxfId="2175" priority="4592">
      <formula>AND($J532="section",$A532="begin group")</formula>
    </cfRule>
    <cfRule type="expression" dxfId="2174" priority="4594">
      <formula xml:space="preserve"> $A532 = "begin group"</formula>
    </cfRule>
    <cfRule type="expression" dxfId="2173" priority="4593">
      <formula>AND($J532 = "section",$A532 = "end group")</formula>
    </cfRule>
    <cfRule type="expression" dxfId="2172" priority="4595">
      <formula xml:space="preserve"> AND($J532="gg",$A532 = "end group")</formula>
    </cfRule>
  </conditionalFormatting>
  <conditionalFormatting sqref="M533:W533">
    <cfRule type="expression" dxfId="2171" priority="3760">
      <formula xml:space="preserve"> AND($J533="gg",$A533 = "end group")</formula>
    </cfRule>
    <cfRule type="expression" dxfId="2170" priority="3759">
      <formula xml:space="preserve"> $A533 = "begin group"</formula>
    </cfRule>
    <cfRule type="expression" dxfId="2169" priority="3758">
      <formula>AND($J533 = "section",$A533 = "end group")</formula>
    </cfRule>
    <cfRule type="expression" dxfId="2168" priority="3757">
      <formula>AND($J533="section",$A533="begin group")</formula>
    </cfRule>
  </conditionalFormatting>
  <conditionalFormatting sqref="M534:W534 M544:W545 M550:W551">
    <cfRule type="expression" dxfId="2167" priority="4168">
      <formula>AND($U$1="disabled",$U534="yes")</formula>
    </cfRule>
    <cfRule type="expression" dxfId="2166" priority="4169">
      <formula>$A534 = "begin repeat"</formula>
    </cfRule>
    <cfRule type="expression" dxfId="2165" priority="4170">
      <formula xml:space="preserve"> $A706 = "end repeat"</formula>
    </cfRule>
  </conditionalFormatting>
  <conditionalFormatting sqref="M534:W534">
    <cfRule type="expression" dxfId="2164" priority="4812">
      <formula xml:space="preserve"> AND($J534="gg",$A534 = "end group")</formula>
    </cfRule>
    <cfRule type="expression" dxfId="2163" priority="4811">
      <formula xml:space="preserve"> $A534 = "begin group"</formula>
    </cfRule>
  </conditionalFormatting>
  <conditionalFormatting sqref="M534:W548">
    <cfRule type="expression" dxfId="2162" priority="4389">
      <formula>AND($J534="section",$A534="begin group")</formula>
    </cfRule>
    <cfRule type="expression" dxfId="2161" priority="4390">
      <formula>AND($J534 = "section",$A534 = "end group")</formula>
    </cfRule>
  </conditionalFormatting>
  <conditionalFormatting sqref="M535:W535">
    <cfRule type="expression" dxfId="2160" priority="4754">
      <formula xml:space="preserve"> AND($J535="gg",$A535 = "end group")</formula>
    </cfRule>
    <cfRule type="expression" dxfId="2159" priority="4753">
      <formula xml:space="preserve"> $A535 = "begin group"</formula>
    </cfRule>
  </conditionalFormatting>
  <conditionalFormatting sqref="M535:W536 M552:W553">
    <cfRule type="expression" dxfId="2158" priority="4194">
      <formula xml:space="preserve"> $A706 = "end repeat"</formula>
    </cfRule>
    <cfRule type="expression" dxfId="2157" priority="4193">
      <formula>$A535 = "begin repeat"</formula>
    </cfRule>
    <cfRule type="expression" dxfId="2156" priority="4192">
      <formula>AND($U$1="disabled",$U535="yes")</formula>
    </cfRule>
  </conditionalFormatting>
  <conditionalFormatting sqref="M536:W536">
    <cfRule type="expression" dxfId="2155" priority="4927">
      <formula xml:space="preserve"> $A536 = "begin group"</formula>
    </cfRule>
    <cfRule type="expression" dxfId="2154" priority="4928">
      <formula xml:space="preserve"> AND($J536="gg",$A536 = "end group")</formula>
    </cfRule>
  </conditionalFormatting>
  <conditionalFormatting sqref="M537:W537">
    <cfRule type="expression" dxfId="2153" priority="4565">
      <formula xml:space="preserve"> $A537 = "begin group"</formula>
    </cfRule>
    <cfRule type="expression" dxfId="2152" priority="4566">
      <formula xml:space="preserve"> AND($J537="gg",$A537 = "end group")</formula>
    </cfRule>
  </conditionalFormatting>
  <conditionalFormatting sqref="M537:W539 M554:W556">
    <cfRule type="expression" dxfId="2151" priority="4064">
      <formula xml:space="preserve"> $A707 = "end repeat"</formula>
    </cfRule>
    <cfRule type="expression" dxfId="2150" priority="4063">
      <formula>$A537 = "begin repeat"</formula>
    </cfRule>
    <cfRule type="expression" dxfId="2149" priority="4062">
      <formula>AND($U$1="disabled",$U537="yes")</formula>
    </cfRule>
  </conditionalFormatting>
  <conditionalFormatting sqref="M538:W538">
    <cfRule type="expression" dxfId="2148" priority="4536">
      <formula xml:space="preserve"> $A538 = "begin group"</formula>
    </cfRule>
    <cfRule type="expression" dxfId="2147" priority="4537">
      <formula xml:space="preserve"> AND($J538="gg",$A538 = "end group")</formula>
    </cfRule>
  </conditionalFormatting>
  <conditionalFormatting sqref="M539:W539">
    <cfRule type="expression" dxfId="2146" priority="4507">
      <formula xml:space="preserve"> $A539 = "begin group"</formula>
    </cfRule>
    <cfRule type="expression" dxfId="2145" priority="4508">
      <formula xml:space="preserve"> AND($J539="gg",$A539 = "end group")</formula>
    </cfRule>
  </conditionalFormatting>
  <conditionalFormatting sqref="M540:W540">
    <cfRule type="expression" dxfId="2144" priority="4898">
      <formula xml:space="preserve"> $A540 = "begin group"</formula>
    </cfRule>
    <cfRule type="expression" dxfId="2143" priority="4899">
      <formula xml:space="preserve"> AND($J540="gg",$A540 = "end group")</formula>
    </cfRule>
  </conditionalFormatting>
  <conditionalFormatting sqref="M540:W541">
    <cfRule type="expression" dxfId="2142" priority="4055">
      <formula xml:space="preserve"> $A718 = "end repeat"</formula>
    </cfRule>
    <cfRule type="expression" dxfId="2141" priority="4053">
      <formula>AND($U$1="disabled",$U540="yes")</formula>
    </cfRule>
    <cfRule type="expression" dxfId="2140" priority="4054">
      <formula>$A540 = "begin repeat"</formula>
    </cfRule>
  </conditionalFormatting>
  <conditionalFormatting sqref="M541:W541">
    <cfRule type="expression" dxfId="2139" priority="4870">
      <formula xml:space="preserve"> AND($J541="gg",$A541 = "end group")</formula>
    </cfRule>
    <cfRule type="expression" dxfId="2138" priority="4869">
      <formula xml:space="preserve"> $A541 = "begin group"</formula>
    </cfRule>
  </conditionalFormatting>
  <conditionalFormatting sqref="M542:W542">
    <cfRule type="expression" dxfId="2137" priority="4392">
      <formula xml:space="preserve"> AND($J542="gg",$A542 = "end group")</formula>
    </cfRule>
    <cfRule type="expression" dxfId="2136" priority="4391">
      <formula xml:space="preserve"> $A542 = "begin group"</formula>
    </cfRule>
  </conditionalFormatting>
  <conditionalFormatting sqref="M542:W543 M532:W533">
    <cfRule type="expression" dxfId="2135" priority="4116">
      <formula>$A532 = "begin repeat"</formula>
    </cfRule>
    <cfRule type="expression" dxfId="2134" priority="4117">
      <formula xml:space="preserve"> $A705 = "end repeat"</formula>
    </cfRule>
    <cfRule type="expression" dxfId="2133" priority="4115">
      <formula>AND($U$1="disabled",$U532="yes")</formula>
    </cfRule>
  </conditionalFormatting>
  <conditionalFormatting sqref="M543:W543">
    <cfRule type="expression" dxfId="2132" priority="4783">
      <formula xml:space="preserve"> AND($J543="gg",$A543 = "end group")</formula>
    </cfRule>
    <cfRule type="expression" dxfId="2131" priority="4782">
      <formula xml:space="preserve"> $A543 = "begin group"</formula>
    </cfRule>
  </conditionalFormatting>
  <conditionalFormatting sqref="M544:W544">
    <cfRule type="expression" dxfId="2130" priority="4705">
      <formula xml:space="preserve"> $A544 = "begin group"</formula>
    </cfRule>
    <cfRule type="expression" dxfId="2129" priority="4706">
      <formula xml:space="preserve"> AND($J544="gg",$A544 = "end group")</formula>
    </cfRule>
  </conditionalFormatting>
  <conditionalFormatting sqref="M545:W545">
    <cfRule type="expression" dxfId="2128" priority="4841">
      <formula xml:space="preserve"> AND($J545="gg",$A545 = "end group")</formula>
    </cfRule>
    <cfRule type="expression" dxfId="2127" priority="4840">
      <formula xml:space="preserve"> $A545 = "begin group"</formula>
    </cfRule>
  </conditionalFormatting>
  <conditionalFormatting sqref="M546:W546">
    <cfRule type="expression" dxfId="2126" priority="4478">
      <formula xml:space="preserve"> $A546 = "begin group"</formula>
    </cfRule>
    <cfRule type="expression" dxfId="2125" priority="4479">
      <formula xml:space="preserve"> AND($J546="gg",$A546 = "end group")</formula>
    </cfRule>
  </conditionalFormatting>
  <conditionalFormatting sqref="M546:W548">
    <cfRule type="expression" dxfId="2124" priority="4030">
      <formula>$A546 = "begin repeat"</formula>
    </cfRule>
    <cfRule type="expression" dxfId="2123" priority="4031">
      <formula xml:space="preserve"> $A749 = "end repeat"</formula>
    </cfRule>
    <cfRule type="expression" dxfId="2122" priority="4029">
      <formula>AND($U$1="disabled",$U546="yes")</formula>
    </cfRule>
  </conditionalFormatting>
  <conditionalFormatting sqref="M547:W547">
    <cfRule type="expression" dxfId="2121" priority="4450">
      <formula xml:space="preserve"> AND($J547="gg",$A547 = "end group")</formula>
    </cfRule>
    <cfRule type="expression" dxfId="2120" priority="4449">
      <formula xml:space="preserve"> $A547 = "begin group"</formula>
    </cfRule>
  </conditionalFormatting>
  <conditionalFormatting sqref="M548:W548">
    <cfRule type="expression" dxfId="2119" priority="4420">
      <formula xml:space="preserve"> $A548 = "begin group"</formula>
    </cfRule>
    <cfRule type="expression" dxfId="2118" priority="4421">
      <formula xml:space="preserve"> AND($J548="gg",$A548 = "end group")</formula>
    </cfRule>
  </conditionalFormatting>
  <conditionalFormatting sqref="M549:W549">
    <cfRule type="expression" dxfId="2117" priority="4148">
      <formula>AND($J549 = "section",$A549 = "end group")</formula>
    </cfRule>
    <cfRule type="expression" dxfId="2116" priority="4129">
      <formula xml:space="preserve"> $A726 = "end repeat"</formula>
    </cfRule>
    <cfRule type="expression" dxfId="2115" priority="4128">
      <formula>$A549 = "begin repeat"</formula>
    </cfRule>
    <cfRule type="expression" dxfId="2114" priority="4150">
      <formula xml:space="preserve"> AND($J549="gg",$A549 = "end group")</formula>
    </cfRule>
    <cfRule type="expression" dxfId="2113" priority="4127">
      <formula>AND($U$1="disabled",$U549="yes")</formula>
    </cfRule>
    <cfRule type="expression" dxfId="2112" priority="4149">
      <formula xml:space="preserve"> $A549 = "begin group"</formula>
    </cfRule>
    <cfRule type="expression" dxfId="2111" priority="4147">
      <formula>AND($J549="section",$A549="begin group")</formula>
    </cfRule>
  </conditionalFormatting>
  <conditionalFormatting sqref="M550:W550">
    <cfRule type="expression" dxfId="2110" priority="4091">
      <formula xml:space="preserve"> AND($J550="gg",$A550 = "end group")</formula>
    </cfRule>
    <cfRule type="expression" dxfId="2109" priority="4090">
      <formula xml:space="preserve"> $A550 = "begin group"</formula>
    </cfRule>
  </conditionalFormatting>
  <conditionalFormatting sqref="M550:W556">
    <cfRule type="expression" dxfId="2108" priority="3863">
      <formula>AND($J550="section",$A550="begin group")</formula>
    </cfRule>
    <cfRule type="expression" dxfId="2107" priority="3864">
      <formula>AND($J550 = "section",$A550 = "end group")</formula>
    </cfRule>
  </conditionalFormatting>
  <conditionalFormatting sqref="M551:W551">
    <cfRule type="expression" dxfId="2106" priority="3982">
      <formula xml:space="preserve"> AND($J551="gg",$A551 = "end group")</formula>
    </cfRule>
    <cfRule type="expression" dxfId="2105" priority="3981">
      <formula xml:space="preserve"> $A551 = "begin group"</formula>
    </cfRule>
  </conditionalFormatting>
  <conditionalFormatting sqref="M552:W552">
    <cfRule type="expression" dxfId="2104" priority="3953">
      <formula xml:space="preserve"> AND($J552="gg",$A552 = "end group")</formula>
    </cfRule>
    <cfRule type="expression" dxfId="2103" priority="3952">
      <formula xml:space="preserve"> $A552 = "begin group"</formula>
    </cfRule>
  </conditionalFormatting>
  <conditionalFormatting sqref="M553:W553">
    <cfRule type="expression" dxfId="2102" priority="4011">
      <formula xml:space="preserve"> AND($J553="gg",$A553 = "end group")</formula>
    </cfRule>
    <cfRule type="expression" dxfId="2101" priority="4010">
      <formula xml:space="preserve"> $A553 = "begin group"</formula>
    </cfRule>
  </conditionalFormatting>
  <conditionalFormatting sqref="M554:W554">
    <cfRule type="expression" dxfId="2100" priority="3924">
      <formula xml:space="preserve"> AND($J554="gg",$A554 = "end group")</formula>
    </cfRule>
    <cfRule type="expression" dxfId="2099" priority="3923">
      <formula xml:space="preserve"> $A554 = "begin group"</formula>
    </cfRule>
  </conditionalFormatting>
  <conditionalFormatting sqref="M555:W555">
    <cfRule type="expression" dxfId="2098" priority="3894">
      <formula xml:space="preserve"> $A555 = "begin group"</formula>
    </cfRule>
    <cfRule type="expression" dxfId="2097" priority="3895">
      <formula xml:space="preserve"> AND($J555="gg",$A555 = "end group")</formula>
    </cfRule>
  </conditionalFormatting>
  <conditionalFormatting sqref="M556:W556">
    <cfRule type="expression" dxfId="2096" priority="3866">
      <formula xml:space="preserve"> AND($J556="gg",$A556 = "end group")</formula>
    </cfRule>
    <cfRule type="expression" dxfId="2095" priority="3865">
      <formula xml:space="preserve"> $A556 = "begin group"</formula>
    </cfRule>
  </conditionalFormatting>
  <conditionalFormatting sqref="M562:W562 M567:W571 I562 I567:I571 A562 A567:A571 C562:D562 D567:D571 K562 K567:K571 M583:W593 I583:I593 A583:A593 D583:D593 K583:K593 M576:W576 I576 A576 D576 K576 K629 M610:W611 A610:A611 D610:D611 I610:I611 K610:K611 M613:W616 I613:I616 A613:A616 D613:D616 M618:W619 I618:I619 A618:A619 D618:D619 K613:K621 M629:W629 I629 A629 D629 K625 M626:W627 A626:A627 D626:D627 I626:I627 C563:C638">
    <cfRule type="expression" dxfId="2094" priority="2779">
      <formula>AND($J565 = "section",$A562 = "end group")</formula>
    </cfRule>
    <cfRule type="expression" dxfId="2093" priority="2778">
      <formula>AND($J565="section",$A562="begin group")</formula>
    </cfRule>
    <cfRule type="expression" dxfId="2092" priority="2780">
      <formula xml:space="preserve"> $A562 = "begin group"</formula>
    </cfRule>
    <cfRule type="expression" dxfId="2091" priority="2781">
      <formula xml:space="preserve"> AND($J565="gg",$A562 = "end group")</formula>
    </cfRule>
  </conditionalFormatting>
  <conditionalFormatting sqref="M572:W574 I572:I574 A572:A574 D572:D574 K572:K574 M563:W565 A563:A565 D563:D565 K563:K565 I563:I565 M581:W581 I581 A581 D581 K581 M577:W577 I577 A577 D577 K577 K616">
    <cfRule type="expression" dxfId="2090" priority="2767">
      <formula>AND($J567 = "section",$A563 = "end group")</formula>
    </cfRule>
    <cfRule type="expression" dxfId="2089" priority="2769">
      <formula xml:space="preserve"> AND($J567="gg",$A563 = "end group")</formula>
    </cfRule>
    <cfRule type="expression" dxfId="2088" priority="2768">
      <formula xml:space="preserve"> $A563 = "begin group"</formula>
    </cfRule>
    <cfRule type="expression" dxfId="2087" priority="2766">
      <formula>AND($J567="section",$A563="begin group")</formula>
    </cfRule>
  </conditionalFormatting>
  <conditionalFormatting sqref="M575:W575 A575 D575 M566:W566 A566 D566 M582:W582 A582 D582 D606:D607 A606:A607 M606:W607 M580:W580 A580 D580 M594:W603 A594:A603 D594:D603 G562:G603 G608:G638 G694:G698 G723:G735 G738">
    <cfRule type="expression" dxfId="2086" priority="3118">
      <formula xml:space="preserve"> AND(#REF!="gg",$A562 = "end group")</formula>
    </cfRule>
    <cfRule type="expression" dxfId="2085" priority="3116">
      <formula>AND(#REF! = "section",$A562 = "end group")</formula>
    </cfRule>
    <cfRule type="expression" dxfId="2084" priority="3117">
      <formula xml:space="preserve"> $A562 = "begin group"</formula>
    </cfRule>
    <cfRule type="expression" dxfId="2083" priority="3115">
      <formula>AND(#REF!="section",$A562="begin group")</formula>
    </cfRule>
  </conditionalFormatting>
  <conditionalFormatting sqref="M608:W608 I608 A608 D608 K608">
    <cfRule type="expression" dxfId="2082" priority="2028">
      <formula xml:space="preserve"> $A608 = "begin group"</formula>
    </cfRule>
    <cfRule type="expression" dxfId="2081" priority="2027">
      <formula>AND($J611 = "section",$A608 = "end group")</formula>
    </cfRule>
    <cfRule type="expression" dxfId="2080" priority="2026">
      <formula>AND($J611="section",$A608="begin group")</formula>
    </cfRule>
    <cfRule type="expression" dxfId="2079" priority="2029">
      <formula xml:space="preserve"> AND($J611="gg",$A608 = "end group")</formula>
    </cfRule>
  </conditionalFormatting>
  <conditionalFormatting sqref="M609:W609 A609 D609 I609 K609">
    <cfRule type="expression" dxfId="2078" priority="1951">
      <formula xml:space="preserve"> AND($J633="gg",$A609 = "end group")</formula>
    </cfRule>
    <cfRule type="expression" dxfId="2077" priority="1949">
      <formula>AND($J633 = "section",$A609 = "end group")</formula>
    </cfRule>
    <cfRule type="expression" dxfId="2076" priority="1948">
      <formula>AND($J633="section",$A609="begin group")</formula>
    </cfRule>
    <cfRule type="expression" dxfId="2075" priority="1950">
      <formula xml:space="preserve"> $A609 = "begin group"</formula>
    </cfRule>
  </conditionalFormatting>
  <conditionalFormatting sqref="M610:W610 I610:J610 A610:B610 K638 K620 K616 E792 B621:B623 J621:J623 B615:B619 J615:J619 A767:A774 A779:A782 G790:G792">
    <cfRule type="expression" dxfId="2074" priority="2663">
      <formula xml:space="preserve"> $A635 = "end repeat"</formula>
    </cfRule>
    <cfRule type="expression" dxfId="2073" priority="2662">
      <formula>$A610 = "begin repeat"</formula>
    </cfRule>
    <cfRule type="expression" dxfId="2072" priority="2661">
      <formula>AND($U$1="disabled",$U610="yes")</formula>
    </cfRule>
  </conditionalFormatting>
  <conditionalFormatting sqref="M620:W620 A620 D620 M612:W612 A612 D612 M624:W624 A624 D624">
    <cfRule type="expression" dxfId="2071" priority="2033">
      <formula xml:space="preserve"> AND(#REF!="gg",$A612 = "end group")</formula>
    </cfRule>
    <cfRule type="expression" dxfId="2070" priority="2031">
      <formula>AND(#REF! = "section",$A612 = "end group")</formula>
    </cfRule>
    <cfRule type="expression" dxfId="2069" priority="2030">
      <formula>AND(#REF!="section",$A612="begin group")</formula>
    </cfRule>
    <cfRule type="expression" dxfId="2068" priority="2032">
      <formula xml:space="preserve"> $A612 = "begin group"</formula>
    </cfRule>
  </conditionalFormatting>
  <conditionalFormatting sqref="M628:W628 A628 D628">
    <cfRule type="expression" dxfId="2067" priority="2000">
      <formula xml:space="preserve"> AND(#REF!="gg",$A628 = "end group")</formula>
    </cfRule>
    <cfRule type="expression" dxfId="2066" priority="1999">
      <formula xml:space="preserve"> $A628 = "begin group"</formula>
    </cfRule>
    <cfRule type="expression" dxfId="2065" priority="1998">
      <formula>AND(#REF! = "section",$A628 = "end group")</formula>
    </cfRule>
    <cfRule type="expression" dxfId="2064" priority="1997">
      <formula>AND(#REF!="section",$A628="begin group")</formula>
    </cfRule>
  </conditionalFormatting>
  <conditionalFormatting sqref="M631:W632 I631:I632 A631:A632 D631:D632">
    <cfRule type="expression" dxfId="2063" priority="1980">
      <formula>AND(#REF! = "section",$A631 = "end group")</formula>
    </cfRule>
    <cfRule type="expression" dxfId="2062" priority="1979">
      <formula>AND(#REF!="section",$A631="begin group")</formula>
    </cfRule>
    <cfRule type="expression" dxfId="2061" priority="1982">
      <formula xml:space="preserve"> AND(#REF!="gg",$A631 = "end group")</formula>
    </cfRule>
    <cfRule type="expression" dxfId="2060" priority="1981">
      <formula xml:space="preserve"> $A631 = "begin group"</formula>
    </cfRule>
  </conditionalFormatting>
  <conditionalFormatting sqref="M633:W633 A633:B633 I633:J633">
    <cfRule type="expression" dxfId="2059" priority="2244">
      <formula xml:space="preserve"> $A622 = "end repeat"</formula>
    </cfRule>
    <cfRule type="expression" dxfId="2058" priority="2243">
      <formula>$A633 = "begin repeat"</formula>
    </cfRule>
    <cfRule type="expression" dxfId="2057" priority="2242">
      <formula>AND($U$1="disabled",$U633="yes")</formula>
    </cfRule>
  </conditionalFormatting>
  <conditionalFormatting sqref="M633:W633 I633 A633 D633 K633">
    <cfRule type="expression" dxfId="2056" priority="2765">
      <formula xml:space="preserve"> AND($J615="gg",$A633 = "end group")</formula>
    </cfRule>
    <cfRule type="expression" dxfId="2055" priority="2764">
      <formula xml:space="preserve"> $A633 = "begin group"</formula>
    </cfRule>
    <cfRule type="expression" dxfId="2054" priority="2763">
      <formula>AND($J615 = "section",$A633 = "end group")</formula>
    </cfRule>
    <cfRule type="expression" dxfId="2053" priority="2762">
      <formula>AND($J615="section",$A633="begin group")</formula>
    </cfRule>
  </conditionalFormatting>
  <conditionalFormatting sqref="M636:W636 I636 A636 D636">
    <cfRule type="expression" dxfId="2052" priority="2759">
      <formula>AND($J642 = "section",$A636 = "end group")</formula>
    </cfRule>
    <cfRule type="expression" dxfId="2051" priority="2761">
      <formula xml:space="preserve"> AND($J642="gg",$A636 = "end group")</formula>
    </cfRule>
    <cfRule type="expression" dxfId="2050" priority="2758">
      <formula>AND($J642="section",$A636="begin group")</formula>
    </cfRule>
    <cfRule type="expression" dxfId="2049" priority="2760">
      <formula xml:space="preserve"> $A636 = "begin group"</formula>
    </cfRule>
  </conditionalFormatting>
  <conditionalFormatting sqref="M638:W638 I638 A638 D638">
    <cfRule type="expression" dxfId="2048" priority="1977">
      <formula xml:space="preserve"> $A638 = "begin group"</formula>
    </cfRule>
    <cfRule type="expression" dxfId="2047" priority="1975">
      <formula>AND(#REF!="section",$A638="begin group")</formula>
    </cfRule>
    <cfRule type="expression" dxfId="2046" priority="1976">
      <formula>AND(#REF! = "section",$A638 = "end group")</formula>
    </cfRule>
    <cfRule type="expression" dxfId="2045" priority="1978">
      <formula xml:space="preserve"> AND(#REF!="gg",$A638 = "end group")</formula>
    </cfRule>
  </conditionalFormatting>
  <conditionalFormatting sqref="M669:W670">
    <cfRule type="expression" dxfId="2044" priority="2499">
      <formula>AND($J669="section",$A669="begin group")</formula>
    </cfRule>
    <cfRule type="expression" dxfId="2043" priority="2500">
      <formula>AND($J669 = "section",$A669 = "end group")</formula>
    </cfRule>
    <cfRule type="expression" dxfId="2042" priority="2501">
      <formula xml:space="preserve"> $A669 = "begin group"</formula>
    </cfRule>
    <cfRule type="expression" dxfId="2041" priority="2502">
      <formula xml:space="preserve"> AND($J669="gg",$A669 = "end group")</formula>
    </cfRule>
  </conditionalFormatting>
  <conditionalFormatting sqref="M671:W671 I673 M673:W673 M667:W667 M669:W669 K673 I667 K667 I669 K669 I671 K671 K724:W724 A667:A675 K701:K702">
    <cfRule type="expression" dxfId="2040" priority="2415">
      <formula xml:space="preserve"> $A705 = "end repeat"</formula>
    </cfRule>
    <cfRule type="expression" dxfId="2039" priority="2414">
      <formula>$A667 = "begin repeat"</formula>
    </cfRule>
    <cfRule type="expression" dxfId="2038" priority="2413">
      <formula>AND($U$1="disabled",$U667="yes")</formula>
    </cfRule>
  </conditionalFormatting>
  <conditionalFormatting sqref="M671:W679">
    <cfRule type="expression" dxfId="2037" priority="2549">
      <formula>AND($J671="section",$A671="begin group")</formula>
    </cfRule>
    <cfRule type="expression" dxfId="2036" priority="2550">
      <formula>AND($J671 = "section",$A671 = "end group")</formula>
    </cfRule>
  </conditionalFormatting>
  <conditionalFormatting sqref="M673:W679">
    <cfRule type="expression" dxfId="2035" priority="2552">
      <formula xml:space="preserve"> AND($J673="gg",$A673 = "end group")</formula>
    </cfRule>
    <cfRule type="expression" dxfId="2034" priority="2551">
      <formula xml:space="preserve"> $A673 = "begin group"</formula>
    </cfRule>
  </conditionalFormatting>
  <conditionalFormatting sqref="M699:W703 A699:B703 D699:D703">
    <cfRule type="expression" dxfId="2033" priority="1549">
      <formula>AND($J699 = "section",$A699 = "end group")</formula>
    </cfRule>
  </conditionalFormatting>
  <conditionalFormatting sqref="M703:W703 A703:B703 D703">
    <cfRule type="expression" dxfId="2032" priority="1548">
      <formula>AND($J703="section",$A703="begin group")</formula>
    </cfRule>
    <cfRule type="expression" dxfId="2031" priority="1550">
      <formula xml:space="preserve"> $A703 = "begin group"</formula>
    </cfRule>
    <cfRule type="expression" dxfId="2030" priority="1551">
      <formula xml:space="preserve"> AND($J703="gg",$A703 = "end group")</formula>
    </cfRule>
  </conditionalFormatting>
  <conditionalFormatting sqref="M736:W737 A736:A737 D736:D737">
    <cfRule type="expression" dxfId="2029" priority="1428">
      <formula>AND($J736="section",$A736="begin group")</formula>
    </cfRule>
    <cfRule type="expression" dxfId="2028" priority="1431">
      <formula xml:space="preserve"> AND($J736="gg",$A736 = "end group")</formula>
    </cfRule>
    <cfRule type="expression" dxfId="2027" priority="1430">
      <formula xml:space="preserve"> $A736 = "begin group"</formula>
    </cfRule>
    <cfRule type="expression" dxfId="2026" priority="1429">
      <formula>AND($J736 = "section",$A736 = "end group")</formula>
    </cfRule>
  </conditionalFormatting>
  <conditionalFormatting sqref="M808:W809">
    <cfRule type="expression" dxfId="2025" priority="2465">
      <formula>AND($J808 = "section",$A808 = "end group")</formula>
    </cfRule>
    <cfRule type="expression" dxfId="2024" priority="2464">
      <formula>AND($J808="section",$A808="begin group")</formula>
    </cfRule>
    <cfRule type="expression" dxfId="2023" priority="2467">
      <formula xml:space="preserve"> AND($J808="gg",$A808 = "end group")</formula>
    </cfRule>
    <cfRule type="expression" dxfId="2022" priority="2466">
      <formula xml:space="preserve"> $A808 = "begin group"</formula>
    </cfRule>
  </conditionalFormatting>
  <conditionalFormatting sqref="M955:W955 K853:K856">
    <cfRule type="expression" dxfId="2021" priority="1057">
      <formula>$A853 = "begin repeat"</formula>
    </cfRule>
    <cfRule type="expression" dxfId="2020" priority="1058">
      <formula xml:space="preserve"> $A884 = "end repeat"</formula>
    </cfRule>
    <cfRule type="expression" dxfId="2019" priority="1056">
      <formula>AND($U$1="disabled",$U853="yes")</formula>
    </cfRule>
  </conditionalFormatting>
  <conditionalFormatting sqref="M956:W956 K846:K855">
    <cfRule type="expression" dxfId="2018" priority="843">
      <formula>AND($U$1="disabled",$U846="yes")</formula>
    </cfRule>
    <cfRule type="expression" dxfId="2017" priority="844">
      <formula>$A846 = "begin repeat"</formula>
    </cfRule>
    <cfRule type="expression" dxfId="2016" priority="845">
      <formula xml:space="preserve"> $A878 = "end repeat"</formula>
    </cfRule>
  </conditionalFormatting>
  <conditionalFormatting sqref="M966:W966">
    <cfRule type="expression" dxfId="2015" priority="726">
      <formula>AND($J966="section",$A966="begin group")</formula>
    </cfRule>
    <cfRule type="expression" dxfId="2014" priority="727">
      <formula>AND($J966 = "section",$A966 = "end group")</formula>
    </cfRule>
    <cfRule type="expression" dxfId="2013" priority="728">
      <formula xml:space="preserve"> $A966 = "begin group"</formula>
    </cfRule>
    <cfRule type="expression" dxfId="2012" priority="729">
      <formula xml:space="preserve"> AND($J966="gg",$A966 = "end group")</formula>
    </cfRule>
  </conditionalFormatting>
  <conditionalFormatting sqref="M970:W970">
    <cfRule type="expression" dxfId="2011" priority="1061">
      <formula xml:space="preserve"> $A988 = "end repeat"</formula>
    </cfRule>
    <cfRule type="expression" dxfId="2010" priority="1060">
      <formula>$A970 = "begin repeat"</formula>
    </cfRule>
    <cfRule type="expression" dxfId="2009" priority="1059">
      <formula>AND($U$1="disabled",$U970="yes")</formula>
    </cfRule>
  </conditionalFormatting>
  <conditionalFormatting sqref="N1:N8 N10:N17">
    <cfRule type="expression" dxfId="2008" priority="60832">
      <formula xml:space="preserve"> $N$1 = "required"</formula>
    </cfRule>
  </conditionalFormatting>
  <conditionalFormatting sqref="N28:N32 S28:S32">
    <cfRule type="expression" dxfId="2007" priority="586986">
      <formula xml:space="preserve"> $P$1 = "calculation"</formula>
    </cfRule>
  </conditionalFormatting>
  <conditionalFormatting sqref="N34:N35">
    <cfRule type="expression" dxfId="2006" priority="30158">
      <formula xml:space="preserve"> $N$1 = "constraint"</formula>
    </cfRule>
  </conditionalFormatting>
  <conditionalFormatting sqref="N62:N63">
    <cfRule type="expression" dxfId="2005" priority="8874">
      <formula xml:space="preserve"> $N$1 = "required"</formula>
    </cfRule>
  </conditionalFormatting>
  <conditionalFormatting sqref="N64:N65">
    <cfRule type="expression" dxfId="2004" priority="8879">
      <formula xml:space="preserve"> $N$1 = "required"</formula>
    </cfRule>
  </conditionalFormatting>
  <conditionalFormatting sqref="N66:N67">
    <cfRule type="expression" dxfId="2003" priority="8884">
      <formula xml:space="preserve"> $N$1 = "required"</formula>
    </cfRule>
  </conditionalFormatting>
  <conditionalFormatting sqref="N81:N89">
    <cfRule type="expression" dxfId="2002" priority="8746">
      <formula xml:space="preserve"> $N$1 = "required"</formula>
    </cfRule>
  </conditionalFormatting>
  <conditionalFormatting sqref="N90:N94">
    <cfRule type="expression" dxfId="2001" priority="8733">
      <formula xml:space="preserve"> $N$1 = "required"</formula>
    </cfRule>
  </conditionalFormatting>
  <conditionalFormatting sqref="N104:N106 N110:N113">
    <cfRule type="expression" dxfId="2000" priority="8869">
      <formula xml:space="preserve"> $N$1 = "required"</formula>
    </cfRule>
  </conditionalFormatting>
  <conditionalFormatting sqref="N107:N108">
    <cfRule type="expression" dxfId="1999" priority="7933">
      <formula xml:space="preserve"> $N$1 = "required"</formula>
    </cfRule>
  </conditionalFormatting>
  <conditionalFormatting sqref="N109">
    <cfRule type="expression" dxfId="1998" priority="7902">
      <formula xml:space="preserve"> $N$1 = "required"</formula>
    </cfRule>
  </conditionalFormatting>
  <conditionalFormatting sqref="N117">
    <cfRule type="expression" dxfId="1997" priority="8239">
      <formula xml:space="preserve"> $N$1 = "required"</formula>
    </cfRule>
  </conditionalFormatting>
  <conditionalFormatting sqref="N118:N119">
    <cfRule type="expression" dxfId="1996" priority="8245">
      <formula xml:space="preserve"> $N$1 = "required"</formula>
    </cfRule>
  </conditionalFormatting>
  <conditionalFormatting sqref="N120">
    <cfRule type="expression" dxfId="1995" priority="8216">
      <formula xml:space="preserve"> $N$1 = "required"</formula>
    </cfRule>
  </conditionalFormatting>
  <conditionalFormatting sqref="N121:N122">
    <cfRule type="expression" dxfId="1994" priority="8199">
      <formula xml:space="preserve"> $N$1 = "required"</formula>
    </cfRule>
  </conditionalFormatting>
  <conditionalFormatting sqref="N126">
    <cfRule type="expression" dxfId="1993" priority="8934">
      <formula xml:space="preserve"> $N$1 = "required"</formula>
    </cfRule>
  </conditionalFormatting>
  <conditionalFormatting sqref="N131">
    <cfRule type="expression" dxfId="1992" priority="8312">
      <formula xml:space="preserve"> $N$1 = "required"</formula>
    </cfRule>
  </conditionalFormatting>
  <conditionalFormatting sqref="N132">
    <cfRule type="expression" dxfId="1991" priority="8838">
      <formula xml:space="preserve"> $N$1 = "required"</formula>
    </cfRule>
  </conditionalFormatting>
  <conditionalFormatting sqref="N144:N148">
    <cfRule type="expression" dxfId="1990" priority="8824">
      <formula xml:space="preserve"> $N$1 = "required"</formula>
    </cfRule>
  </conditionalFormatting>
  <conditionalFormatting sqref="N149">
    <cfRule type="expression" dxfId="1989" priority="8819">
      <formula xml:space="preserve"> $N$1 = "required"</formula>
    </cfRule>
  </conditionalFormatting>
  <conditionalFormatting sqref="N150:N154">
    <cfRule type="expression" dxfId="1988" priority="8833">
      <formula xml:space="preserve"> $N$1 = "required"</formula>
    </cfRule>
  </conditionalFormatting>
  <conditionalFormatting sqref="N155">
    <cfRule type="expression" dxfId="1987" priority="8828">
      <formula xml:space="preserve"> $N$1 = "required"</formula>
    </cfRule>
  </conditionalFormatting>
  <conditionalFormatting sqref="N172:N182">
    <cfRule type="expression" dxfId="1986" priority="8858">
      <formula xml:space="preserve"> $N$1 = "required"</formula>
    </cfRule>
  </conditionalFormatting>
  <conditionalFormatting sqref="N183">
    <cfRule type="expression" dxfId="1985" priority="8843">
      <formula xml:space="preserve"> $N$1 = "required"</formula>
    </cfRule>
  </conditionalFormatting>
  <conditionalFormatting sqref="N192:N193">
    <cfRule type="expression" dxfId="1984" priority="7858">
      <formula xml:space="preserve"> $N$1 = "required"</formula>
    </cfRule>
  </conditionalFormatting>
  <conditionalFormatting sqref="N194">
    <cfRule type="expression" dxfId="1983" priority="7830">
      <formula xml:space="preserve"> $N$1 = "required"</formula>
    </cfRule>
  </conditionalFormatting>
  <conditionalFormatting sqref="N195:N199">
    <cfRule type="expression" dxfId="1982" priority="8712">
      <formula xml:space="preserve"> $N$1 = "required"</formula>
    </cfRule>
  </conditionalFormatting>
  <conditionalFormatting sqref="N202">
    <cfRule type="expression" dxfId="1981" priority="8162">
      <formula xml:space="preserve"> $N$1 = "required"</formula>
    </cfRule>
  </conditionalFormatting>
  <conditionalFormatting sqref="N203:N204">
    <cfRule type="expression" dxfId="1980" priority="8141">
      <formula xml:space="preserve"> $N$1 = "required"</formula>
    </cfRule>
  </conditionalFormatting>
  <conditionalFormatting sqref="N205">
    <cfRule type="expression" dxfId="1979" priority="8175">
      <formula xml:space="preserve"> $N$1 = "required"</formula>
    </cfRule>
  </conditionalFormatting>
  <conditionalFormatting sqref="N206">
    <cfRule type="expression" dxfId="1978" priority="8930">
      <formula xml:space="preserve"> $N$1 = "required"</formula>
    </cfRule>
  </conditionalFormatting>
  <conditionalFormatting sqref="N207 N68:N80 N184:N191 N156:N171 N133:N143 N95:N103 N210 N127:N130 N123:N125 N114:N116 N200:N201 N36:N61">
    <cfRule type="expression" dxfId="1977" priority="8940">
      <formula xml:space="preserve"> $N$1 = "required"</formula>
    </cfRule>
  </conditionalFormatting>
  <conditionalFormatting sqref="N208">
    <cfRule type="expression" dxfId="1976" priority="8922">
      <formula xml:space="preserve"> $N$1 = "required"</formula>
    </cfRule>
  </conditionalFormatting>
  <conditionalFormatting sqref="N209">
    <cfRule type="expression" dxfId="1975" priority="8926">
      <formula xml:space="preserve"> $N$1 = "required"</formula>
    </cfRule>
  </conditionalFormatting>
  <conditionalFormatting sqref="N219">
    <cfRule type="expression" dxfId="1974" priority="7640">
      <formula xml:space="preserve"> $N$1 = "required"</formula>
    </cfRule>
  </conditionalFormatting>
  <conditionalFormatting sqref="N220">
    <cfRule type="expression" dxfId="1973" priority="7645">
      <formula xml:space="preserve"> $N$1 = "required"</formula>
    </cfRule>
  </conditionalFormatting>
  <conditionalFormatting sqref="N221">
    <cfRule type="expression" dxfId="1972" priority="7757">
      <formula xml:space="preserve"> $N$1 = "required"</formula>
    </cfRule>
  </conditionalFormatting>
  <conditionalFormatting sqref="N222">
    <cfRule type="expression" dxfId="1971" priority="7762">
      <formula xml:space="preserve"> $N$1 = "required"</formula>
    </cfRule>
  </conditionalFormatting>
  <conditionalFormatting sqref="N252">
    <cfRule type="expression" dxfId="1970" priority="7774">
      <formula xml:space="preserve"> $N$1 = "required"</formula>
    </cfRule>
  </conditionalFormatting>
  <conditionalFormatting sqref="N253">
    <cfRule type="expression" dxfId="1969" priority="7630">
      <formula xml:space="preserve"> $N$1 = "required"</formula>
    </cfRule>
  </conditionalFormatting>
  <conditionalFormatting sqref="N254">
    <cfRule type="expression" dxfId="1968" priority="7635">
      <formula xml:space="preserve"> $N$1 = "required"</formula>
    </cfRule>
  </conditionalFormatting>
  <conditionalFormatting sqref="N258">
    <cfRule type="expression" dxfId="1967" priority="7748">
      <formula xml:space="preserve"> $N$1 = "required"</formula>
    </cfRule>
  </conditionalFormatting>
  <conditionalFormatting sqref="N259:N261">
    <cfRule type="expression" dxfId="1966" priority="7752">
      <formula xml:space="preserve"> $N$1 = "required"</formula>
    </cfRule>
  </conditionalFormatting>
  <conditionalFormatting sqref="N262">
    <cfRule type="expression" dxfId="1965" priority="7744">
      <formula xml:space="preserve"> $N$1 = "required"</formula>
    </cfRule>
  </conditionalFormatting>
  <conditionalFormatting sqref="N263">
    <cfRule type="expression" dxfId="1964" priority="7770">
      <formula xml:space="preserve"> $N$1 = "required"</formula>
    </cfRule>
  </conditionalFormatting>
  <conditionalFormatting sqref="N282">
    <cfRule type="expression" dxfId="1963" priority="7734">
      <formula xml:space="preserve"> $N$1 = "required"</formula>
    </cfRule>
  </conditionalFormatting>
  <conditionalFormatting sqref="N283:N284">
    <cfRule type="expression" dxfId="1962" priority="7739">
      <formula xml:space="preserve"> $N$1 = "required"</formula>
    </cfRule>
  </conditionalFormatting>
  <conditionalFormatting sqref="N285">
    <cfRule type="expression" dxfId="1961" priority="7729">
      <formula xml:space="preserve"> $N$1 = "required"</formula>
    </cfRule>
  </conditionalFormatting>
  <conditionalFormatting sqref="N288">
    <cfRule type="expression" dxfId="1960" priority="7724">
      <formula xml:space="preserve"> $N$1 = "required"</formula>
    </cfRule>
  </conditionalFormatting>
  <conditionalFormatting sqref="N289">
    <cfRule type="expression" dxfId="1959" priority="7719">
      <formula xml:space="preserve"> $N$1 = "required"</formula>
    </cfRule>
  </conditionalFormatting>
  <conditionalFormatting sqref="N294">
    <cfRule type="expression" dxfId="1958" priority="7784">
      <formula xml:space="preserve"> $N$1 = "required"</formula>
    </cfRule>
  </conditionalFormatting>
  <conditionalFormatting sqref="N295:N296 N298:N299 N346 N255:N257 N348:N351 N223:N226 N290:N293 N286:N287 N357 N241:N251 N211:N218 N264:N267 N273:N281 N353 N355">
    <cfRule type="expression" dxfId="1957" priority="7799">
      <formula xml:space="preserve"> $N$1 = "required"</formula>
    </cfRule>
  </conditionalFormatting>
  <conditionalFormatting sqref="N297">
    <cfRule type="expression" dxfId="1956" priority="7779">
      <formula xml:space="preserve"> $N$1 = "required"</formula>
    </cfRule>
  </conditionalFormatting>
  <conditionalFormatting sqref="N300">
    <cfRule type="expression" dxfId="1955" priority="7675">
      <formula xml:space="preserve"> $N$1 = "required"</formula>
    </cfRule>
  </conditionalFormatting>
  <conditionalFormatting sqref="N301">
    <cfRule type="expression" dxfId="1954" priority="7670">
      <formula xml:space="preserve"> $N$1 = "required"</formula>
    </cfRule>
  </conditionalFormatting>
  <conditionalFormatting sqref="N302">
    <cfRule type="expression" dxfId="1953" priority="7685">
      <formula xml:space="preserve"> $N$1 = "required"</formula>
    </cfRule>
  </conditionalFormatting>
  <conditionalFormatting sqref="N303">
    <cfRule type="expression" dxfId="1952" priority="7680">
      <formula xml:space="preserve"> $N$1 = "required"</formula>
    </cfRule>
  </conditionalFormatting>
  <conditionalFormatting sqref="N304">
    <cfRule type="expression" dxfId="1951" priority="7695">
      <formula xml:space="preserve"> $N$1 = "required"</formula>
    </cfRule>
  </conditionalFormatting>
  <conditionalFormatting sqref="N305">
    <cfRule type="expression" dxfId="1950" priority="7690">
      <formula xml:space="preserve"> $N$1 = "required"</formula>
    </cfRule>
  </conditionalFormatting>
  <conditionalFormatting sqref="N306">
    <cfRule type="expression" dxfId="1949" priority="7248">
      <formula xml:space="preserve"> $N$1 = "required"</formula>
    </cfRule>
  </conditionalFormatting>
  <conditionalFormatting sqref="N307">
    <cfRule type="expression" dxfId="1948" priority="7243">
      <formula xml:space="preserve"> $N$1 = "required"</formula>
    </cfRule>
  </conditionalFormatting>
  <conditionalFormatting sqref="N308">
    <cfRule type="expression" dxfId="1947" priority="7259">
      <formula xml:space="preserve"> $N$1 = "required"</formula>
    </cfRule>
  </conditionalFormatting>
  <conditionalFormatting sqref="N309:N311">
    <cfRule type="expression" dxfId="1946" priority="7254">
      <formula xml:space="preserve"> $N$1 = "required"</formula>
    </cfRule>
  </conditionalFormatting>
  <conditionalFormatting sqref="N312">
    <cfRule type="expression" dxfId="1945" priority="7705">
      <formula xml:space="preserve"> $N$1 = "required"</formula>
    </cfRule>
  </conditionalFormatting>
  <conditionalFormatting sqref="N313">
    <cfRule type="expression" dxfId="1944" priority="7700">
      <formula xml:space="preserve"> $N$1 = "required"</formula>
    </cfRule>
  </conditionalFormatting>
  <conditionalFormatting sqref="N314">
    <cfRule type="expression" dxfId="1943" priority="7714">
      <formula xml:space="preserve"> $N$1 = "required"</formula>
    </cfRule>
  </conditionalFormatting>
  <conditionalFormatting sqref="N315:N317">
    <cfRule type="expression" dxfId="1942" priority="7709">
      <formula xml:space="preserve"> $N$1 = "required"</formula>
    </cfRule>
  </conditionalFormatting>
  <conditionalFormatting sqref="N322">
    <cfRule type="expression" dxfId="1941" priority="7130">
      <formula xml:space="preserve"> $N$1 = "required"</formula>
    </cfRule>
  </conditionalFormatting>
  <conditionalFormatting sqref="N323">
    <cfRule type="expression" dxfId="1940" priority="6998">
      <formula xml:space="preserve"> $N$1 = "required"</formula>
    </cfRule>
  </conditionalFormatting>
  <conditionalFormatting sqref="N324 N326">
    <cfRule type="expression" dxfId="1939" priority="7135">
      <formula xml:space="preserve"> $N$1 = "required"</formula>
    </cfRule>
  </conditionalFormatting>
  <conditionalFormatting sqref="N325">
    <cfRule type="expression" dxfId="1938" priority="6978">
      <formula xml:space="preserve"> $N$1 = "required"</formula>
    </cfRule>
  </conditionalFormatting>
  <conditionalFormatting sqref="N329">
    <cfRule type="expression" dxfId="1937" priority="7125">
      <formula xml:space="preserve"> $N$1 = "required"</formula>
    </cfRule>
  </conditionalFormatting>
  <conditionalFormatting sqref="N330">
    <cfRule type="expression" dxfId="1936" priority="7120">
      <formula xml:space="preserve"> $N$1 = "required"</formula>
    </cfRule>
  </conditionalFormatting>
  <conditionalFormatting sqref="N335">
    <cfRule type="expression" dxfId="1935" priority="7145">
      <formula xml:space="preserve"> $N$1 = "required"</formula>
    </cfRule>
  </conditionalFormatting>
  <conditionalFormatting sqref="N336:N337 N339 N331:N334 N327:N328 N318:N321">
    <cfRule type="expression" dxfId="1934" priority="7150">
      <formula xml:space="preserve"> $N$1 = "required"</formula>
    </cfRule>
  </conditionalFormatting>
  <conditionalFormatting sqref="N338">
    <cfRule type="expression" dxfId="1933" priority="7140">
      <formula xml:space="preserve"> $N$1 = "required"</formula>
    </cfRule>
  </conditionalFormatting>
  <conditionalFormatting sqref="N340">
    <cfRule type="expression" dxfId="1932" priority="7070">
      <formula xml:space="preserve"> $N$1 = "required"</formula>
    </cfRule>
  </conditionalFormatting>
  <conditionalFormatting sqref="N341">
    <cfRule type="expression" dxfId="1931" priority="7053">
      <formula xml:space="preserve"> $N$1 = "required"</formula>
    </cfRule>
  </conditionalFormatting>
  <conditionalFormatting sqref="N342:N344">
    <cfRule type="expression" dxfId="1930" priority="7036">
      <formula xml:space="preserve"> $N$1 = "required"</formula>
    </cfRule>
  </conditionalFormatting>
  <conditionalFormatting sqref="N345">
    <cfRule type="expression" dxfId="1929" priority="7440">
      <formula xml:space="preserve"> $N$1 = "constraint"</formula>
    </cfRule>
  </conditionalFormatting>
  <conditionalFormatting sqref="N347">
    <cfRule type="expression" dxfId="1928" priority="7788">
      <formula xml:space="preserve"> $N$1 = "required"</formula>
    </cfRule>
  </conditionalFormatting>
  <conditionalFormatting sqref="N352">
    <cfRule type="expression" dxfId="1927" priority="7029">
      <formula xml:space="preserve"> $N$1 = "required"</formula>
    </cfRule>
  </conditionalFormatting>
  <conditionalFormatting sqref="N354">
    <cfRule type="expression" dxfId="1926" priority="6954">
      <formula xml:space="preserve"> $N$1 = "required"</formula>
    </cfRule>
  </conditionalFormatting>
  <conditionalFormatting sqref="N356">
    <cfRule type="expression" dxfId="1925" priority="7793">
      <formula xml:space="preserve"> $N$1 = "required"</formula>
    </cfRule>
  </conditionalFormatting>
  <conditionalFormatting sqref="N361:N362">
    <cfRule type="expression" dxfId="1924" priority="6637">
      <formula xml:space="preserve"> $N$1 = "required"</formula>
    </cfRule>
  </conditionalFormatting>
  <conditionalFormatting sqref="N363:N366">
    <cfRule type="expression" dxfId="1923" priority="6626">
      <formula xml:space="preserve"> $N$1 = "required"</formula>
    </cfRule>
  </conditionalFormatting>
  <conditionalFormatting sqref="N367">
    <cfRule type="expression" dxfId="1922" priority="6621">
      <formula xml:space="preserve"> $N$1 = "required"</formula>
    </cfRule>
  </conditionalFormatting>
  <conditionalFormatting sqref="N368:N371">
    <cfRule type="expression" dxfId="1921" priority="6631">
      <formula xml:space="preserve"> $N$1 = "required"</formula>
    </cfRule>
  </conditionalFormatting>
  <conditionalFormatting sqref="N374:N377">
    <cfRule type="expression" dxfId="1920" priority="6831">
      <formula xml:space="preserve"> $N$1 = "required"</formula>
    </cfRule>
  </conditionalFormatting>
  <conditionalFormatting sqref="N378">
    <cfRule type="expression" dxfId="1919" priority="6827">
      <formula xml:space="preserve"> $N$1 = "required"</formula>
    </cfRule>
  </conditionalFormatting>
  <conditionalFormatting sqref="N379:N382">
    <cfRule type="expression" dxfId="1918" priority="6563">
      <formula xml:space="preserve"> $N$1 = "required"</formula>
    </cfRule>
  </conditionalFormatting>
  <conditionalFormatting sqref="N383">
    <cfRule type="expression" dxfId="1917" priority="6559">
      <formula xml:space="preserve"> $N$1 = "required"</formula>
    </cfRule>
  </conditionalFormatting>
  <conditionalFormatting sqref="N384:N391">
    <cfRule type="expression" dxfId="1916" priority="6571">
      <formula xml:space="preserve"> $N$1 = "required"</formula>
    </cfRule>
  </conditionalFormatting>
  <conditionalFormatting sqref="N392">
    <cfRule type="expression" dxfId="1915" priority="6373">
      <formula xml:space="preserve"> $N$1 = "required"</formula>
    </cfRule>
  </conditionalFormatting>
  <conditionalFormatting sqref="N394">
    <cfRule type="expression" dxfId="1914" priority="5763">
      <formula xml:space="preserve"> $N$1 = "required"</formula>
    </cfRule>
  </conditionalFormatting>
  <conditionalFormatting sqref="N395">
    <cfRule type="expression" dxfId="1913" priority="5742">
      <formula xml:space="preserve"> $N$1 = "required"</formula>
    </cfRule>
  </conditionalFormatting>
  <conditionalFormatting sqref="N396">
    <cfRule type="expression" dxfId="1912" priority="5983">
      <formula xml:space="preserve"> $N$1 = "required"</formula>
    </cfRule>
  </conditionalFormatting>
  <conditionalFormatting sqref="N397">
    <cfRule type="expression" dxfId="1911" priority="5712">
      <formula xml:space="preserve"> $N$1 = "required"</formula>
    </cfRule>
  </conditionalFormatting>
  <conditionalFormatting sqref="N398">
    <cfRule type="expression" dxfId="1910" priority="6315">
      <formula xml:space="preserve"> $N$1 = "required"</formula>
    </cfRule>
  </conditionalFormatting>
  <conditionalFormatting sqref="N399">
    <cfRule type="expression" dxfId="1909" priority="6284">
      <formula xml:space="preserve"> $N$1 = "required"</formula>
    </cfRule>
  </conditionalFormatting>
  <conditionalFormatting sqref="N400">
    <cfRule type="expression" dxfId="1908" priority="6253">
      <formula xml:space="preserve"> $N$1 = "required"</formula>
    </cfRule>
  </conditionalFormatting>
  <conditionalFormatting sqref="N401">
    <cfRule type="expression" dxfId="1907" priority="3439">
      <formula xml:space="preserve"> $N$1 = "required"</formula>
    </cfRule>
  </conditionalFormatting>
  <conditionalFormatting sqref="N402">
    <cfRule type="expression" dxfId="1906" priority="3405">
      <formula xml:space="preserve"> $N$1 = "required"</formula>
    </cfRule>
  </conditionalFormatting>
  <conditionalFormatting sqref="N403">
    <cfRule type="expression" dxfId="1905" priority="5949">
      <formula xml:space="preserve"> $N$1 = "required"</formula>
    </cfRule>
  </conditionalFormatting>
  <conditionalFormatting sqref="N404">
    <cfRule type="expression" dxfId="1904" priority="5788">
      <formula xml:space="preserve"> $N$1 = "required"</formula>
    </cfRule>
  </conditionalFormatting>
  <conditionalFormatting sqref="N405">
    <cfRule type="expression" dxfId="1903" priority="6222">
      <formula xml:space="preserve"> $N$1 = "required"</formula>
    </cfRule>
  </conditionalFormatting>
  <conditionalFormatting sqref="N406">
    <cfRule type="expression" dxfId="1902" priority="6191">
      <formula xml:space="preserve"> $N$1 = "required"</formula>
    </cfRule>
  </conditionalFormatting>
  <conditionalFormatting sqref="N407">
    <cfRule type="expression" dxfId="1901" priority="5918">
      <formula xml:space="preserve"> $N$1 = "required"</formula>
    </cfRule>
  </conditionalFormatting>
  <conditionalFormatting sqref="N408">
    <cfRule type="expression" dxfId="1900" priority="5819">
      <formula xml:space="preserve"> $N$1 = "required"</formula>
    </cfRule>
  </conditionalFormatting>
  <conditionalFormatting sqref="N409">
    <cfRule type="expression" dxfId="1899" priority="5887">
      <formula xml:space="preserve"> $N$1 = "required"</formula>
    </cfRule>
  </conditionalFormatting>
  <conditionalFormatting sqref="N410">
    <cfRule type="expression" dxfId="1898" priority="6151">
      <formula xml:space="preserve"> $N$1 = "required"</formula>
    </cfRule>
  </conditionalFormatting>
  <conditionalFormatting sqref="N411">
    <cfRule type="expression" dxfId="1897" priority="6120">
      <formula xml:space="preserve"> $N$1 = "required"</formula>
    </cfRule>
  </conditionalFormatting>
  <conditionalFormatting sqref="N412">
    <cfRule type="expression" dxfId="1896" priority="5856">
      <formula xml:space="preserve"> $N$1 = "required"</formula>
    </cfRule>
  </conditionalFormatting>
  <conditionalFormatting sqref="N413">
    <cfRule type="expression" dxfId="1895" priority="5678">
      <formula xml:space="preserve"> $N$1 = "required"</formula>
    </cfRule>
  </conditionalFormatting>
  <conditionalFormatting sqref="N414">
    <cfRule type="expression" dxfId="1894" priority="6089">
      <formula xml:space="preserve"> $N$1 = "required"</formula>
    </cfRule>
  </conditionalFormatting>
  <conditionalFormatting sqref="N415">
    <cfRule type="expression" dxfId="1893" priority="6058">
      <formula xml:space="preserve"> $N$1 = "required"</formula>
    </cfRule>
  </conditionalFormatting>
  <conditionalFormatting sqref="N416">
    <cfRule type="expression" dxfId="1892" priority="3368">
      <formula xml:space="preserve"> $N$1 = "required"</formula>
    </cfRule>
  </conditionalFormatting>
  <conditionalFormatting sqref="N417">
    <cfRule type="expression" dxfId="1891" priority="3248">
      <formula xml:space="preserve"> $N$1 = "required"</formula>
    </cfRule>
  </conditionalFormatting>
  <conditionalFormatting sqref="N418">
    <cfRule type="expression" dxfId="1890" priority="3217">
      <formula xml:space="preserve"> $N$1 = "required"</formula>
    </cfRule>
  </conditionalFormatting>
  <conditionalFormatting sqref="N419">
    <cfRule type="expression" dxfId="1889" priority="3310">
      <formula xml:space="preserve"> $N$1 = "required"</formula>
    </cfRule>
  </conditionalFormatting>
  <conditionalFormatting sqref="N420">
    <cfRule type="expression" dxfId="1888" priority="3279">
      <formula xml:space="preserve"> $N$1 = "required"</formula>
    </cfRule>
  </conditionalFormatting>
  <conditionalFormatting sqref="N421:N425 N358:N360 N372:N373 N496:N503 N454:N456 N448 N509:N521 N486:N494 N557:N558 N393">
    <cfRule type="expression" dxfId="1887" priority="6860">
      <formula xml:space="preserve"> $N$1 = "required"</formula>
    </cfRule>
  </conditionalFormatting>
  <conditionalFormatting sqref="N426:N427">
    <cfRule type="expression" dxfId="1886" priority="6585">
      <formula xml:space="preserve"> $N$1 = "required"</formula>
    </cfRule>
  </conditionalFormatting>
  <conditionalFormatting sqref="N428:N431">
    <cfRule type="expression" dxfId="1885" priority="6595">
      <formula xml:space="preserve"> $N$1 = "required"</formula>
    </cfRule>
  </conditionalFormatting>
  <conditionalFormatting sqref="N432">
    <cfRule type="expression" dxfId="1884" priority="6590">
      <formula xml:space="preserve"> $N$1 = "required"</formula>
    </cfRule>
  </conditionalFormatting>
  <conditionalFormatting sqref="N433:N436">
    <cfRule type="expression" dxfId="1883" priority="6601">
      <formula xml:space="preserve"> $N$1 = "required"</formula>
    </cfRule>
  </conditionalFormatting>
  <conditionalFormatting sqref="N437">
    <cfRule type="expression" dxfId="1882" priority="6835">
      <formula xml:space="preserve"> $N$1 = "required"</formula>
    </cfRule>
  </conditionalFormatting>
  <conditionalFormatting sqref="N438">
    <cfRule type="expression" dxfId="1881" priority="6520">
      <formula xml:space="preserve"> $N$1 = "required"</formula>
    </cfRule>
  </conditionalFormatting>
  <conditionalFormatting sqref="N439:N442">
    <cfRule type="expression" dxfId="1880" priority="6530">
      <formula xml:space="preserve"> $N$1 = "required"</formula>
    </cfRule>
  </conditionalFormatting>
  <conditionalFormatting sqref="N443">
    <cfRule type="expression" dxfId="1879" priority="6525">
      <formula xml:space="preserve"> $N$1 = "required"</formula>
    </cfRule>
  </conditionalFormatting>
  <conditionalFormatting sqref="N444:N447">
    <cfRule type="expression" dxfId="1878" priority="6536">
      <formula xml:space="preserve"> $N$1 = "required"</formula>
    </cfRule>
  </conditionalFormatting>
  <conditionalFormatting sqref="N449:N452">
    <cfRule type="expression" dxfId="1877" priority="6845">
      <formula xml:space="preserve"> $N$1 = "required"</formula>
    </cfRule>
  </conditionalFormatting>
  <conditionalFormatting sqref="N453">
    <cfRule type="expression" dxfId="1876" priority="6840">
      <formula xml:space="preserve"> $N$1 = "required"</formula>
    </cfRule>
  </conditionalFormatting>
  <conditionalFormatting sqref="N457">
    <cfRule type="expression" dxfId="1875" priority="6346">
      <formula xml:space="preserve"> $N$1 = "required"</formula>
    </cfRule>
  </conditionalFormatting>
  <conditionalFormatting sqref="N458">
    <cfRule type="expression" dxfId="1874" priority="5635">
      <formula xml:space="preserve"> $N$1 = "required"</formula>
    </cfRule>
  </conditionalFormatting>
  <conditionalFormatting sqref="N459">
    <cfRule type="expression" dxfId="1873" priority="5118">
      <formula xml:space="preserve"> $N$1 = "required"</formula>
    </cfRule>
  </conditionalFormatting>
  <conditionalFormatting sqref="N460">
    <cfRule type="expression" dxfId="1872" priority="5097">
      <formula xml:space="preserve"> $N$1 = "required"</formula>
    </cfRule>
  </conditionalFormatting>
  <conditionalFormatting sqref="N461">
    <cfRule type="expression" dxfId="1871" priority="5329">
      <formula xml:space="preserve"> $N$1 = "required"</formula>
    </cfRule>
  </conditionalFormatting>
  <conditionalFormatting sqref="N462">
    <cfRule type="expression" dxfId="1870" priority="5070">
      <formula xml:space="preserve"> $N$1 = "required"</formula>
    </cfRule>
  </conditionalFormatting>
  <conditionalFormatting sqref="N463">
    <cfRule type="expression" dxfId="1869" priority="5608">
      <formula xml:space="preserve"> $N$1 = "required"</formula>
    </cfRule>
  </conditionalFormatting>
  <conditionalFormatting sqref="N464">
    <cfRule type="expression" dxfId="1868" priority="5577">
      <formula xml:space="preserve"> $N$1 = "required"</formula>
    </cfRule>
  </conditionalFormatting>
  <conditionalFormatting sqref="N465">
    <cfRule type="expression" dxfId="1867" priority="5546">
      <formula xml:space="preserve"> $N$1 = "required"</formula>
    </cfRule>
  </conditionalFormatting>
  <conditionalFormatting sqref="N466">
    <cfRule type="expression" dxfId="1866" priority="3725">
      <formula xml:space="preserve"> $N$1 = "required"</formula>
    </cfRule>
  </conditionalFormatting>
  <conditionalFormatting sqref="N467">
    <cfRule type="expression" dxfId="1865" priority="3687">
      <formula xml:space="preserve"> $N$1 = "required"</formula>
    </cfRule>
  </conditionalFormatting>
  <conditionalFormatting sqref="N468">
    <cfRule type="expression" dxfId="1864" priority="5298">
      <formula xml:space="preserve"> $N$1 = "required"</formula>
    </cfRule>
  </conditionalFormatting>
  <conditionalFormatting sqref="N469">
    <cfRule type="expression" dxfId="1863" priority="5143">
      <formula xml:space="preserve"> $N$1 = "required"</formula>
    </cfRule>
  </conditionalFormatting>
  <conditionalFormatting sqref="N470">
    <cfRule type="expression" dxfId="1862" priority="5515">
      <formula xml:space="preserve"> $N$1 = "required"</formula>
    </cfRule>
  </conditionalFormatting>
  <conditionalFormatting sqref="N471">
    <cfRule type="expression" dxfId="1861" priority="5484">
      <formula xml:space="preserve"> $N$1 = "required"</formula>
    </cfRule>
  </conditionalFormatting>
  <conditionalFormatting sqref="N472">
    <cfRule type="expression" dxfId="1860" priority="5267">
      <formula xml:space="preserve"> $N$1 = "required"</formula>
    </cfRule>
  </conditionalFormatting>
  <conditionalFormatting sqref="N473">
    <cfRule type="expression" dxfId="1859" priority="5174">
      <formula xml:space="preserve"> $N$1 = "required"</formula>
    </cfRule>
  </conditionalFormatting>
  <conditionalFormatting sqref="N474">
    <cfRule type="expression" dxfId="1858" priority="5236">
      <formula xml:space="preserve"> $N$1 = "required"</formula>
    </cfRule>
  </conditionalFormatting>
  <conditionalFormatting sqref="N475">
    <cfRule type="expression" dxfId="1857" priority="5453">
      <formula xml:space="preserve"> $N$1 = "required"</formula>
    </cfRule>
  </conditionalFormatting>
  <conditionalFormatting sqref="N476">
    <cfRule type="expression" dxfId="1856" priority="5422">
      <formula xml:space="preserve"> $N$1 = "required"</formula>
    </cfRule>
  </conditionalFormatting>
  <conditionalFormatting sqref="N477">
    <cfRule type="expression" dxfId="1855" priority="5205">
      <formula xml:space="preserve"> $N$1 = "required"</formula>
    </cfRule>
  </conditionalFormatting>
  <conditionalFormatting sqref="N478">
    <cfRule type="expression" dxfId="1854" priority="5039">
      <formula xml:space="preserve"> $N$1 = "required"</formula>
    </cfRule>
  </conditionalFormatting>
  <conditionalFormatting sqref="N479">
    <cfRule type="expression" dxfId="1853" priority="5391">
      <formula xml:space="preserve"> $N$1 = "required"</formula>
    </cfRule>
  </conditionalFormatting>
  <conditionalFormatting sqref="N480">
    <cfRule type="expression" dxfId="1852" priority="5360">
      <formula xml:space="preserve"> $N$1 = "required"</formula>
    </cfRule>
  </conditionalFormatting>
  <conditionalFormatting sqref="N481">
    <cfRule type="expression" dxfId="1851" priority="3643">
      <formula xml:space="preserve"> $N$1 = "required"</formula>
    </cfRule>
  </conditionalFormatting>
  <conditionalFormatting sqref="N482">
    <cfRule type="expression" dxfId="1850" priority="3501">
      <formula xml:space="preserve"> $N$1 = "required"</formula>
    </cfRule>
  </conditionalFormatting>
  <conditionalFormatting sqref="N483">
    <cfRule type="expression" dxfId="1849" priority="3470">
      <formula xml:space="preserve"> $N$1 = "required"</formula>
    </cfRule>
  </conditionalFormatting>
  <conditionalFormatting sqref="N484">
    <cfRule type="expression" dxfId="1848" priority="3563">
      <formula xml:space="preserve"> $N$1 = "required"</formula>
    </cfRule>
  </conditionalFormatting>
  <conditionalFormatting sqref="N485">
    <cfRule type="expression" dxfId="1847" priority="3532">
      <formula xml:space="preserve"> $N$1 = "required"</formula>
    </cfRule>
  </conditionalFormatting>
  <conditionalFormatting sqref="N495">
    <cfRule type="expression" dxfId="1846" priority="6854">
      <formula xml:space="preserve"> $N$1 = "required"</formula>
    </cfRule>
  </conditionalFormatting>
  <conditionalFormatting sqref="N504:N507">
    <cfRule type="expression" dxfId="1845" priority="6655">
      <formula xml:space="preserve"> $N$1 = "required"</formula>
    </cfRule>
  </conditionalFormatting>
  <conditionalFormatting sqref="N508">
    <cfRule type="expression" dxfId="1844" priority="6650">
      <formula xml:space="preserve"> $N$1 = "required"</formula>
    </cfRule>
  </conditionalFormatting>
  <conditionalFormatting sqref="N522">
    <cfRule type="expression" dxfId="1843" priority="6018">
      <formula xml:space="preserve"> $N$1 = "required"</formula>
    </cfRule>
  </conditionalFormatting>
  <conditionalFormatting sqref="N523">
    <cfRule type="expression" dxfId="1842" priority="4652">
      <formula xml:space="preserve"> $N$1 = "required"</formula>
    </cfRule>
  </conditionalFormatting>
  <conditionalFormatting sqref="N524">
    <cfRule type="expression" dxfId="1841" priority="5014">
      <formula xml:space="preserve"> $N$1 = "required"</formula>
    </cfRule>
  </conditionalFormatting>
  <conditionalFormatting sqref="N525">
    <cfRule type="expression" dxfId="1840" priority="4734">
      <formula xml:space="preserve"> $N$1 = "required"</formula>
    </cfRule>
  </conditionalFormatting>
  <conditionalFormatting sqref="N526">
    <cfRule type="expression" dxfId="1839" priority="4680">
      <formula xml:space="preserve"> $N$1 = "required"</formula>
    </cfRule>
  </conditionalFormatting>
  <conditionalFormatting sqref="N527">
    <cfRule type="expression" dxfId="1838" priority="4627">
      <formula xml:space="preserve"> $N$1 = "required"</formula>
    </cfRule>
  </conditionalFormatting>
  <conditionalFormatting sqref="N528">
    <cfRule type="expression" dxfId="1837" priority="4656">
      <formula xml:space="preserve"> $N$1 = "required"</formula>
    </cfRule>
  </conditionalFormatting>
  <conditionalFormatting sqref="N529">
    <cfRule type="expression" dxfId="1836" priority="4989">
      <formula xml:space="preserve"> $N$1 = "required"</formula>
    </cfRule>
  </conditionalFormatting>
  <conditionalFormatting sqref="N530">
    <cfRule type="expression" dxfId="1835" priority="4960">
      <formula xml:space="preserve"> $N$1 = "required"</formula>
    </cfRule>
  </conditionalFormatting>
  <conditionalFormatting sqref="N531">
    <cfRule type="expression" dxfId="1834" priority="3825">
      <formula xml:space="preserve"> $N$1 = "required"</formula>
    </cfRule>
  </conditionalFormatting>
  <conditionalFormatting sqref="N532">
    <cfRule type="expression" dxfId="1833" priority="4598">
      <formula xml:space="preserve"> $N$1 = "required"</formula>
    </cfRule>
  </conditionalFormatting>
  <conditionalFormatting sqref="N533">
    <cfRule type="expression" dxfId="1832" priority="3763">
      <formula xml:space="preserve"> $N$1 = "required"</formula>
    </cfRule>
  </conditionalFormatting>
  <conditionalFormatting sqref="N534">
    <cfRule type="expression" dxfId="1831" priority="4815">
      <formula xml:space="preserve"> $N$1 = "required"</formula>
    </cfRule>
  </conditionalFormatting>
  <conditionalFormatting sqref="N535">
    <cfRule type="expression" dxfId="1830" priority="4757">
      <formula xml:space="preserve"> $N$1 = "required"</formula>
    </cfRule>
  </conditionalFormatting>
  <conditionalFormatting sqref="N536">
    <cfRule type="expression" dxfId="1829" priority="4931">
      <formula xml:space="preserve"> $N$1 = "required"</formula>
    </cfRule>
  </conditionalFormatting>
  <conditionalFormatting sqref="N537">
    <cfRule type="expression" dxfId="1828" priority="4569">
      <formula xml:space="preserve"> $N$1 = "required"</formula>
    </cfRule>
  </conditionalFormatting>
  <conditionalFormatting sqref="N538">
    <cfRule type="expression" dxfId="1827" priority="4540">
      <formula xml:space="preserve"> $N$1 = "required"</formula>
    </cfRule>
  </conditionalFormatting>
  <conditionalFormatting sqref="N539">
    <cfRule type="expression" dxfId="1826" priority="4511">
      <formula xml:space="preserve"> $N$1 = "required"</formula>
    </cfRule>
  </conditionalFormatting>
  <conditionalFormatting sqref="N540">
    <cfRule type="expression" dxfId="1825" priority="4902">
      <formula xml:space="preserve"> $N$1 = "required"</formula>
    </cfRule>
  </conditionalFormatting>
  <conditionalFormatting sqref="N541">
    <cfRule type="expression" dxfId="1824" priority="4873">
      <formula xml:space="preserve"> $N$1 = "required"</formula>
    </cfRule>
  </conditionalFormatting>
  <conditionalFormatting sqref="N542">
    <cfRule type="expression" dxfId="1823" priority="4395">
      <formula xml:space="preserve"> $N$1 = "required"</formula>
    </cfRule>
  </conditionalFormatting>
  <conditionalFormatting sqref="N543">
    <cfRule type="expression" dxfId="1822" priority="4786">
      <formula xml:space="preserve"> $N$1 = "required"</formula>
    </cfRule>
  </conditionalFormatting>
  <conditionalFormatting sqref="N544">
    <cfRule type="expression" dxfId="1821" priority="4709">
      <formula xml:space="preserve"> $N$1 = "required"</formula>
    </cfRule>
  </conditionalFormatting>
  <conditionalFormatting sqref="N545">
    <cfRule type="expression" dxfId="1820" priority="4844">
      <formula xml:space="preserve"> $N$1 = "required"</formula>
    </cfRule>
  </conditionalFormatting>
  <conditionalFormatting sqref="N546">
    <cfRule type="expression" dxfId="1819" priority="4482">
      <formula xml:space="preserve"> $N$1 = "required"</formula>
    </cfRule>
  </conditionalFormatting>
  <conditionalFormatting sqref="N547">
    <cfRule type="expression" dxfId="1818" priority="4453">
      <formula xml:space="preserve"> $N$1 = "required"</formula>
    </cfRule>
  </conditionalFormatting>
  <conditionalFormatting sqref="N548">
    <cfRule type="expression" dxfId="1817" priority="4424">
      <formula xml:space="preserve"> $N$1 = "required"</formula>
    </cfRule>
  </conditionalFormatting>
  <conditionalFormatting sqref="N549">
    <cfRule type="expression" dxfId="1816" priority="4153">
      <formula xml:space="preserve"> $N$1 = "required"</formula>
    </cfRule>
  </conditionalFormatting>
  <conditionalFormatting sqref="N550">
    <cfRule type="expression" dxfId="1815" priority="4094">
      <formula xml:space="preserve"> $N$1 = "required"</formula>
    </cfRule>
  </conditionalFormatting>
  <conditionalFormatting sqref="N551">
    <cfRule type="expression" dxfId="1814" priority="3985">
      <formula xml:space="preserve"> $N$1 = "required"</formula>
    </cfRule>
  </conditionalFormatting>
  <conditionalFormatting sqref="N552">
    <cfRule type="expression" dxfId="1813" priority="3956">
      <formula xml:space="preserve"> $N$1 = "required"</formula>
    </cfRule>
  </conditionalFormatting>
  <conditionalFormatting sqref="N553">
    <cfRule type="expression" dxfId="1812" priority="4014">
      <formula xml:space="preserve"> $N$1 = "required"</formula>
    </cfRule>
  </conditionalFormatting>
  <conditionalFormatting sqref="N554">
    <cfRule type="expression" dxfId="1811" priority="3927">
      <formula xml:space="preserve"> $N$1 = "required"</formula>
    </cfRule>
  </conditionalFormatting>
  <conditionalFormatting sqref="N555">
    <cfRule type="expression" dxfId="1810" priority="3898">
      <formula xml:space="preserve"> $N$1 = "required"</formula>
    </cfRule>
  </conditionalFormatting>
  <conditionalFormatting sqref="N556">
    <cfRule type="expression" dxfId="1809" priority="3869">
      <formula xml:space="preserve"> $N$1 = "required"</formula>
    </cfRule>
  </conditionalFormatting>
  <conditionalFormatting sqref="N563">
    <cfRule type="expression" dxfId="1808" priority="3183">
      <formula xml:space="preserve"> $N$1 = "required"</formula>
    </cfRule>
  </conditionalFormatting>
  <conditionalFormatting sqref="N579:N580">
    <cfRule type="expression" dxfId="1807" priority="3178">
      <formula xml:space="preserve"> $N$1 = "required"</formula>
    </cfRule>
  </conditionalFormatting>
  <conditionalFormatting sqref="N583">
    <cfRule type="expression" dxfId="1806" priority="3174">
      <formula xml:space="preserve"> $N$1 = "required"</formula>
    </cfRule>
  </conditionalFormatting>
  <conditionalFormatting sqref="N584 N586:N587 N589 N592 N594 N714 N717:N719 N788:N792 N739:N755 N656:N666 N704:N708 N671:N672 N802:N807 N810:N831 N839:N840 N564:N578 N606:N607 N559:N562 N580:N582 N596:N603 N610:N622 N624 N626:N643">
    <cfRule type="expression" dxfId="1805" priority="3189">
      <formula xml:space="preserve"> $N$1 = "required"</formula>
    </cfRule>
  </conditionalFormatting>
  <conditionalFormatting sqref="N585">
    <cfRule type="expression" dxfId="1804" priority="3168">
      <formula xml:space="preserve"> $N$1 = "required"</formula>
    </cfRule>
  </conditionalFormatting>
  <conditionalFormatting sqref="N588">
    <cfRule type="expression" dxfId="1803" priority="3162">
      <formula xml:space="preserve"> $N$1 = "required"</formula>
    </cfRule>
  </conditionalFormatting>
  <conditionalFormatting sqref="N590">
    <cfRule type="expression" dxfId="1802" priority="3156">
      <formula xml:space="preserve"> $N$1 = "required"</formula>
    </cfRule>
  </conditionalFormatting>
  <conditionalFormatting sqref="N591">
    <cfRule type="expression" dxfId="1801" priority="3150">
      <formula xml:space="preserve"> $N$1 = "required"</formula>
    </cfRule>
  </conditionalFormatting>
  <conditionalFormatting sqref="N593">
    <cfRule type="expression" dxfId="1800" priority="3144">
      <formula xml:space="preserve"> $N$1 = "required"</formula>
    </cfRule>
  </conditionalFormatting>
  <conditionalFormatting sqref="N595">
    <cfRule type="expression" dxfId="1799" priority="3138">
      <formula xml:space="preserve"> $N$1 = "required"</formula>
    </cfRule>
  </conditionalFormatting>
  <conditionalFormatting sqref="N604:N605">
    <cfRule type="expression" dxfId="1798" priority="2145">
      <formula xml:space="preserve"> $N$1 = "required"</formula>
    </cfRule>
  </conditionalFormatting>
  <conditionalFormatting sqref="N608">
    <cfRule type="expression" dxfId="1797" priority="2050">
      <formula xml:space="preserve"> $N$1 = "required"</formula>
    </cfRule>
  </conditionalFormatting>
  <conditionalFormatting sqref="N609">
    <cfRule type="expression" dxfId="1796" priority="2045">
      <formula xml:space="preserve"> $N$1 = "required"</formula>
    </cfRule>
  </conditionalFormatting>
  <conditionalFormatting sqref="N623:N624">
    <cfRule type="expression" dxfId="1795" priority="2040">
      <formula xml:space="preserve"> $N$1 = "required"</formula>
    </cfRule>
  </conditionalFormatting>
  <conditionalFormatting sqref="N625">
    <cfRule type="expression" dxfId="1794" priority="2008">
      <formula xml:space="preserve"> $N$1 = "required"</formula>
    </cfRule>
  </conditionalFormatting>
  <conditionalFormatting sqref="N634:N636">
    <cfRule type="expression" dxfId="1793" priority="2020">
      <formula xml:space="preserve"> $N$1 = "required"</formula>
    </cfRule>
  </conditionalFormatting>
  <conditionalFormatting sqref="N644:N654">
    <cfRule type="expression" dxfId="1792" priority="3113">
      <formula xml:space="preserve"> $N$1 = "required"</formula>
    </cfRule>
  </conditionalFormatting>
  <conditionalFormatting sqref="N655">
    <cfRule type="expression" dxfId="1791" priority="3107">
      <formula xml:space="preserve"> $N$1 = "required"</formula>
    </cfRule>
  </conditionalFormatting>
  <conditionalFormatting sqref="N667:N668">
    <cfRule type="expression" dxfId="1790" priority="2521">
      <formula xml:space="preserve"> $N$1 = "required"</formula>
    </cfRule>
  </conditionalFormatting>
  <conditionalFormatting sqref="N669:N670">
    <cfRule type="expression" dxfId="1789" priority="2506">
      <formula xml:space="preserve"> $N$1 = "required"</formula>
    </cfRule>
  </conditionalFormatting>
  <conditionalFormatting sqref="N673:N679">
    <cfRule type="expression" dxfId="1788" priority="2556">
      <formula xml:space="preserve"> $N$1 = "required"</formula>
    </cfRule>
  </conditionalFormatting>
  <conditionalFormatting sqref="N680 N682:N691">
    <cfRule type="expression" dxfId="1787" priority="1832">
      <formula xml:space="preserve"> $N$1 = "required"</formula>
    </cfRule>
  </conditionalFormatting>
  <conditionalFormatting sqref="N681">
    <cfRule type="expression" dxfId="1786" priority="1761">
      <formula xml:space="preserve"> $N$1 = "required"</formula>
    </cfRule>
  </conditionalFormatting>
  <conditionalFormatting sqref="N692">
    <cfRule type="expression" dxfId="1785" priority="1826">
      <formula xml:space="preserve"> $N$1 = "required"</formula>
    </cfRule>
  </conditionalFormatting>
  <conditionalFormatting sqref="N693">
    <cfRule type="expression" dxfId="1784" priority="1838">
      <formula xml:space="preserve"> $N$1 = "required"</formula>
    </cfRule>
  </conditionalFormatting>
  <conditionalFormatting sqref="N694:N698">
    <cfRule type="expression" dxfId="1783" priority="1795">
      <formula xml:space="preserve"> $N$1 = "required"</formula>
    </cfRule>
  </conditionalFormatting>
  <conditionalFormatting sqref="N699">
    <cfRule type="expression" dxfId="1782" priority="1694">
      <formula xml:space="preserve"> $N$1 = "required"</formula>
    </cfRule>
  </conditionalFormatting>
  <conditionalFormatting sqref="N700">
    <cfRule type="expression" dxfId="1781" priority="1667">
      <formula xml:space="preserve"> $N$1 = "required"</formula>
    </cfRule>
  </conditionalFormatting>
  <conditionalFormatting sqref="N701">
    <cfRule type="expression" dxfId="1780" priority="1633">
      <formula xml:space="preserve"> $N$1 = "required"</formula>
    </cfRule>
  </conditionalFormatting>
  <conditionalFormatting sqref="N702">
    <cfRule type="expression" dxfId="1779" priority="1594">
      <formula xml:space="preserve"> $N$1 = "required"</formula>
    </cfRule>
  </conditionalFormatting>
  <conditionalFormatting sqref="N703">
    <cfRule type="expression" dxfId="1778" priority="1546">
      <formula xml:space="preserve"> $N$1 = "required"</formula>
    </cfRule>
  </conditionalFormatting>
  <conditionalFormatting sqref="N709:N710">
    <cfRule type="expression" dxfId="1777" priority="3101">
      <formula xml:space="preserve"> $N$1 = "required"</formula>
    </cfRule>
  </conditionalFormatting>
  <conditionalFormatting sqref="N711">
    <cfRule type="expression" dxfId="1776" priority="3081">
      <formula xml:space="preserve"> $N$1 = "required"</formula>
    </cfRule>
  </conditionalFormatting>
  <conditionalFormatting sqref="N712">
    <cfRule type="expression" dxfId="1775" priority="3075">
      <formula xml:space="preserve"> $N$1 = "required"</formula>
    </cfRule>
  </conditionalFormatting>
  <conditionalFormatting sqref="N713">
    <cfRule type="expression" dxfId="1774" priority="3087">
      <formula xml:space="preserve"> $N$1 = "required"</formula>
    </cfRule>
  </conditionalFormatting>
  <conditionalFormatting sqref="N715:N716">
    <cfRule type="expression" dxfId="1773" priority="3091">
      <formula xml:space="preserve"> $N$1 = "required"</formula>
    </cfRule>
  </conditionalFormatting>
  <conditionalFormatting sqref="N720">
    <cfRule type="expression" dxfId="1772" priority="3097">
      <formula xml:space="preserve"> $N$1 = "required"</formula>
    </cfRule>
  </conditionalFormatting>
  <conditionalFormatting sqref="N721">
    <cfRule type="expression" dxfId="1771" priority="2810">
      <formula xml:space="preserve"> $N$1 = "required"</formula>
    </cfRule>
  </conditionalFormatting>
  <conditionalFormatting sqref="N722">
    <cfRule type="expression" dxfId="1770" priority="3133">
      <formula xml:space="preserve"> $N$1 = "required"</formula>
    </cfRule>
  </conditionalFormatting>
  <conditionalFormatting sqref="N723">
    <cfRule type="expression" dxfId="1769" priority="1516">
      <formula xml:space="preserve"> $N$1 = "required"</formula>
    </cfRule>
  </conditionalFormatting>
  <conditionalFormatting sqref="N724">
    <cfRule type="expression" dxfId="1768" priority="1496">
      <formula xml:space="preserve"> $N$1 = "required"</formula>
    </cfRule>
  </conditionalFormatting>
  <conditionalFormatting sqref="N725">
    <cfRule type="expression" dxfId="1767" priority="1490">
      <formula xml:space="preserve"> $N$1 = "required"</formula>
    </cfRule>
  </conditionalFormatting>
  <conditionalFormatting sqref="N726">
    <cfRule type="expression" dxfId="1766" priority="1502">
      <formula xml:space="preserve"> $N$1 = "required"</formula>
    </cfRule>
  </conditionalFormatting>
  <conditionalFormatting sqref="N727 N730:N732">
    <cfRule type="expression" dxfId="1765" priority="1528">
      <formula xml:space="preserve"> $N$1 = "required"</formula>
    </cfRule>
  </conditionalFormatting>
  <conditionalFormatting sqref="N728:N729">
    <cfRule type="expression" dxfId="1764" priority="1506">
      <formula xml:space="preserve"> $N$1 = "required"</formula>
    </cfRule>
  </conditionalFormatting>
  <conditionalFormatting sqref="N733">
    <cfRule type="expression" dxfId="1763" priority="1512">
      <formula xml:space="preserve"> $N$1 = "required"</formula>
    </cfRule>
  </conditionalFormatting>
  <conditionalFormatting sqref="N734">
    <cfRule type="expression" dxfId="1762" priority="1484">
      <formula xml:space="preserve"> $N$1 = "required"</formula>
    </cfRule>
  </conditionalFormatting>
  <conditionalFormatting sqref="N735">
    <cfRule type="expression" dxfId="1761" priority="1522">
      <formula xml:space="preserve"> $N$1 = "required"</formula>
    </cfRule>
  </conditionalFormatting>
  <conditionalFormatting sqref="N736">
    <cfRule type="expression" dxfId="1760" priority="1419">
      <formula xml:space="preserve"> $N$1 = "required"</formula>
    </cfRule>
  </conditionalFormatting>
  <conditionalFormatting sqref="N737">
    <cfRule type="expression" dxfId="1759" priority="1425">
      <formula xml:space="preserve"> $N$1 = "required"</formula>
    </cfRule>
  </conditionalFormatting>
  <conditionalFormatting sqref="N738">
    <cfRule type="expression" dxfId="1758" priority="1397">
      <formula xml:space="preserve"> $N$1 = "required"</formula>
    </cfRule>
  </conditionalFormatting>
  <conditionalFormatting sqref="N756">
    <cfRule type="expression" dxfId="1757" priority="3069">
      <formula xml:space="preserve"> $N$1 = "required"</formula>
    </cfRule>
  </conditionalFormatting>
  <conditionalFormatting sqref="N757">
    <cfRule type="expression" dxfId="1756" priority="3127">
      <formula xml:space="preserve"> $N$1 = "required"</formula>
    </cfRule>
  </conditionalFormatting>
  <conditionalFormatting sqref="N758:N761">
    <cfRule type="expression" dxfId="1755" priority="3063">
      <formula xml:space="preserve"> $N$1 = "required"</formula>
    </cfRule>
  </conditionalFormatting>
  <conditionalFormatting sqref="N762">
    <cfRule type="expression" dxfId="1754" priority="3045">
      <formula xml:space="preserve"> $N$1 = "required"</formula>
    </cfRule>
  </conditionalFormatting>
  <conditionalFormatting sqref="N763">
    <cfRule type="expression" dxfId="1753" priority="2865">
      <formula xml:space="preserve"> $N$1 = "required"</formula>
    </cfRule>
  </conditionalFormatting>
  <conditionalFormatting sqref="N764">
    <cfRule type="expression" dxfId="1752" priority="2875">
      <formula xml:space="preserve"> $N$1 = "required"</formula>
    </cfRule>
  </conditionalFormatting>
  <conditionalFormatting sqref="N765">
    <cfRule type="expression" dxfId="1751" priority="2885">
      <formula xml:space="preserve"> $N$1 = "required"</formula>
    </cfRule>
  </conditionalFormatting>
  <conditionalFormatting sqref="N766">
    <cfRule type="expression" dxfId="1750" priority="2895">
      <formula xml:space="preserve"> $N$1 = "required"</formula>
    </cfRule>
  </conditionalFormatting>
  <conditionalFormatting sqref="N767">
    <cfRule type="expression" dxfId="1749" priority="2825">
      <formula xml:space="preserve"> $N$1 = "required"</formula>
    </cfRule>
  </conditionalFormatting>
  <conditionalFormatting sqref="N768">
    <cfRule type="expression" dxfId="1748" priority="2835">
      <formula xml:space="preserve"> $N$1 = "required"</formula>
    </cfRule>
  </conditionalFormatting>
  <conditionalFormatting sqref="N769">
    <cfRule type="expression" dxfId="1747" priority="2845">
      <formula xml:space="preserve"> $N$1 = "required"</formula>
    </cfRule>
  </conditionalFormatting>
  <conditionalFormatting sqref="N770">
    <cfRule type="expression" dxfId="1746" priority="2855">
      <formula xml:space="preserve"> $N$1 = "required"</formula>
    </cfRule>
  </conditionalFormatting>
  <conditionalFormatting sqref="N771">
    <cfRule type="expression" dxfId="1745" priority="2905">
      <formula xml:space="preserve"> $N$1 = "required"</formula>
    </cfRule>
  </conditionalFormatting>
  <conditionalFormatting sqref="N772">
    <cfRule type="expression" dxfId="1744" priority="2915">
      <formula xml:space="preserve"> $N$1 = "required"</formula>
    </cfRule>
  </conditionalFormatting>
  <conditionalFormatting sqref="N773">
    <cfRule type="expression" dxfId="1743" priority="2925">
      <formula xml:space="preserve"> $N$1 = "required"</formula>
    </cfRule>
  </conditionalFormatting>
  <conditionalFormatting sqref="N774">
    <cfRule type="expression" dxfId="1742" priority="2935">
      <formula xml:space="preserve"> $N$1 = "required"</formula>
    </cfRule>
  </conditionalFormatting>
  <conditionalFormatting sqref="N775">
    <cfRule type="expression" dxfId="1741" priority="2985">
      <formula xml:space="preserve"> $N$1 = "required"</formula>
    </cfRule>
  </conditionalFormatting>
  <conditionalFormatting sqref="N776">
    <cfRule type="expression" dxfId="1740" priority="2995">
      <formula xml:space="preserve"> $N$1 = "required"</formula>
    </cfRule>
  </conditionalFormatting>
  <conditionalFormatting sqref="N777">
    <cfRule type="expression" dxfId="1739" priority="3005">
      <formula xml:space="preserve"> $N$1 = "required"</formula>
    </cfRule>
  </conditionalFormatting>
  <conditionalFormatting sqref="N778">
    <cfRule type="expression" dxfId="1738" priority="3015">
      <formula xml:space="preserve"> $N$1 = "required"</formula>
    </cfRule>
  </conditionalFormatting>
  <conditionalFormatting sqref="N779">
    <cfRule type="expression" dxfId="1737" priority="2945">
      <formula xml:space="preserve"> $N$1 = "required"</formula>
    </cfRule>
  </conditionalFormatting>
  <conditionalFormatting sqref="N780">
    <cfRule type="expression" dxfId="1736" priority="2955">
      <formula xml:space="preserve"> $N$1 = "required"</formula>
    </cfRule>
  </conditionalFormatting>
  <conditionalFormatting sqref="N781">
    <cfRule type="expression" dxfId="1735" priority="2965">
      <formula xml:space="preserve"> $N$1 = "required"</formula>
    </cfRule>
  </conditionalFormatting>
  <conditionalFormatting sqref="N782">
    <cfRule type="expression" dxfId="1734" priority="2975">
      <formula xml:space="preserve"> $N$1 = "required"</formula>
    </cfRule>
  </conditionalFormatting>
  <conditionalFormatting sqref="N783">
    <cfRule type="expression" dxfId="1733" priority="3025">
      <formula xml:space="preserve"> $N$1 = "required"</formula>
    </cfRule>
  </conditionalFormatting>
  <conditionalFormatting sqref="N784:N787">
    <cfRule type="expression" dxfId="1732" priority="3035">
      <formula xml:space="preserve"> $N$1 = "required"</formula>
    </cfRule>
  </conditionalFormatting>
  <conditionalFormatting sqref="N793:N800">
    <cfRule type="expression" dxfId="1731" priority="3055">
      <formula xml:space="preserve"> $N$1 = "required"</formula>
    </cfRule>
  </conditionalFormatting>
  <conditionalFormatting sqref="N801">
    <cfRule type="expression" dxfId="1730" priority="3051">
      <formula xml:space="preserve"> $N$1 = "required"</formula>
    </cfRule>
  </conditionalFormatting>
  <conditionalFormatting sqref="N808:N809">
    <cfRule type="expression" dxfId="1729" priority="2472">
      <formula xml:space="preserve"> $N$1 = "required"</formula>
    </cfRule>
  </conditionalFormatting>
  <conditionalFormatting sqref="N832:N836">
    <cfRule type="expression" dxfId="1728" priority="2373">
      <formula xml:space="preserve"> $N$1 = "required"</formula>
    </cfRule>
  </conditionalFormatting>
  <conditionalFormatting sqref="N837">
    <cfRule type="expression" dxfId="1727" priority="2359">
      <formula xml:space="preserve"> $N$1 = "required"</formula>
    </cfRule>
  </conditionalFormatting>
  <conditionalFormatting sqref="N838">
    <cfRule type="expression" dxfId="1726" priority="2368">
      <formula xml:space="preserve"> $N$1 = "required"</formula>
    </cfRule>
  </conditionalFormatting>
  <conditionalFormatting sqref="N850">
    <cfRule type="expression" dxfId="1725" priority="1146">
      <formula xml:space="preserve"> $N$1 = "required"</formula>
    </cfRule>
  </conditionalFormatting>
  <conditionalFormatting sqref="N851">
    <cfRule type="expression" dxfId="1724" priority="1151">
      <formula xml:space="preserve"> $N$1 = "required"</formula>
    </cfRule>
  </conditionalFormatting>
  <conditionalFormatting sqref="N852">
    <cfRule type="expression" dxfId="1723" priority="33">
      <formula xml:space="preserve"> $N$1 = "required"</formula>
    </cfRule>
  </conditionalFormatting>
  <conditionalFormatting sqref="N856">
    <cfRule type="expression" dxfId="1722" priority="1229">
      <formula xml:space="preserve"> $N$1 = "required"</formula>
    </cfRule>
  </conditionalFormatting>
  <conditionalFormatting sqref="N858:N862">
    <cfRule type="expression" dxfId="1721" priority="1185">
      <formula xml:space="preserve"> $N$1 = "required"</formula>
    </cfRule>
  </conditionalFormatting>
  <conditionalFormatting sqref="N863:N865">
    <cfRule type="expression" dxfId="1720" priority="1180">
      <formula xml:space="preserve"> $N$1 = "required"</formula>
    </cfRule>
  </conditionalFormatting>
  <conditionalFormatting sqref="N871:N872">
    <cfRule type="expression" dxfId="1719" priority="1290">
      <formula xml:space="preserve"> $N$1 = "required"</formula>
    </cfRule>
  </conditionalFormatting>
  <conditionalFormatting sqref="N873:N907 N857 N866:N870 N853:N855 N970 N1003:N1007 N998:N999 N972:N995 N841:N849 N1015:N1018 N968 N962:N964">
    <cfRule type="expression" dxfId="1718" priority="1307">
      <formula xml:space="preserve"> $N$1 = "required"</formula>
    </cfRule>
  </conditionalFormatting>
  <conditionalFormatting sqref="N908">
    <cfRule type="expression" dxfId="1717" priority="1286">
      <formula xml:space="preserve"> $N$1 = "required"</formula>
    </cfRule>
  </conditionalFormatting>
  <conditionalFormatting sqref="N909:N911">
    <cfRule type="expression" dxfId="1716" priority="1217">
      <formula xml:space="preserve"> $N$1 = "required"</formula>
    </cfRule>
  </conditionalFormatting>
  <conditionalFormatting sqref="N912">
    <cfRule type="expression" dxfId="1715" priority="1200">
      <formula xml:space="preserve"> $N$1 = "required"</formula>
    </cfRule>
  </conditionalFormatting>
  <conditionalFormatting sqref="N913:N915">
    <cfRule type="expression" dxfId="1714" priority="1209">
      <formula xml:space="preserve"> $N$1 = "required"</formula>
    </cfRule>
  </conditionalFormatting>
  <conditionalFormatting sqref="N916:N924">
    <cfRule type="expression" dxfId="1713" priority="1221">
      <formula xml:space="preserve"> $N$1 = "required"</formula>
    </cfRule>
  </conditionalFormatting>
  <conditionalFormatting sqref="N925:N927">
    <cfRule type="expression" dxfId="1712" priority="1281">
      <formula xml:space="preserve"> $N$1 = "required"</formula>
    </cfRule>
  </conditionalFormatting>
  <conditionalFormatting sqref="N928">
    <cfRule type="expression" dxfId="1711" priority="1268">
      <formula xml:space="preserve"> $N$1 = "required"</formula>
    </cfRule>
  </conditionalFormatting>
  <conditionalFormatting sqref="N929:N942">
    <cfRule type="expression" dxfId="1710" priority="1272">
      <formula xml:space="preserve"> $N$1 = "required"</formula>
    </cfRule>
  </conditionalFormatting>
  <conditionalFormatting sqref="N943:N952">
    <cfRule type="expression" dxfId="1709" priority="863">
      <formula xml:space="preserve"> $N$1 = "required"</formula>
    </cfRule>
  </conditionalFormatting>
  <conditionalFormatting sqref="N953:N954">
    <cfRule type="expression" dxfId="1708" priority="836">
      <formula xml:space="preserve"> $N$1 = "required"</formula>
    </cfRule>
  </conditionalFormatting>
  <conditionalFormatting sqref="N955:N956">
    <cfRule type="expression" dxfId="1707" priority="1298">
      <formula xml:space="preserve"> $N$1 = "required"</formula>
    </cfRule>
  </conditionalFormatting>
  <conditionalFormatting sqref="N958">
    <cfRule type="expression" dxfId="1706" priority="747">
      <formula xml:space="preserve"> $N$1 = "required"</formula>
    </cfRule>
  </conditionalFormatting>
  <conditionalFormatting sqref="N959:N960">
    <cfRule type="expression" dxfId="1705" priority="740">
      <formula xml:space="preserve"> $N$1 = "required"</formula>
    </cfRule>
  </conditionalFormatting>
  <conditionalFormatting sqref="N961">
    <cfRule type="expression" dxfId="1704" priority="756">
      <formula xml:space="preserve"> $N$1 = "required"</formula>
    </cfRule>
  </conditionalFormatting>
  <conditionalFormatting sqref="N965">
    <cfRule type="expression" dxfId="1703" priority="1301">
      <formula xml:space="preserve"> $N$1 = "required"</formula>
    </cfRule>
  </conditionalFormatting>
  <conditionalFormatting sqref="N966">
    <cfRule type="expression" dxfId="1702" priority="731">
      <formula xml:space="preserve"> $N$1 = "required"</formula>
    </cfRule>
  </conditionalFormatting>
  <conditionalFormatting sqref="N969">
    <cfRule type="expression" dxfId="1701" priority="1140">
      <formula xml:space="preserve"> $N$1 = "required"</formula>
    </cfRule>
  </conditionalFormatting>
  <conditionalFormatting sqref="N971">
    <cfRule type="expression" dxfId="1700" priority="1294">
      <formula xml:space="preserve"> $N$1 = "required"</formula>
    </cfRule>
  </conditionalFormatting>
  <conditionalFormatting sqref="N996:N997">
    <cfRule type="expression" dxfId="1699" priority="816">
      <formula xml:space="preserve"> $N$1 = "required"</formula>
    </cfRule>
  </conditionalFormatting>
  <conditionalFormatting sqref="N1001">
    <cfRule type="expression" dxfId="1698" priority="1164">
      <formula xml:space="preserve"> $N$1 = "required"</formula>
    </cfRule>
  </conditionalFormatting>
  <conditionalFormatting sqref="N1008">
    <cfRule type="expression" dxfId="1697" priority="1245">
      <formula xml:space="preserve"> $N$1 = "required"</formula>
    </cfRule>
  </conditionalFormatting>
  <conditionalFormatting sqref="N1009">
    <cfRule type="expression" dxfId="1696" priority="1250">
      <formula xml:space="preserve"> $N$1 = "required"</formula>
    </cfRule>
  </conditionalFormatting>
  <conditionalFormatting sqref="N1010">
    <cfRule type="expression" dxfId="1695" priority="1255">
      <formula xml:space="preserve"> $N$1 = "required"</formula>
    </cfRule>
  </conditionalFormatting>
  <conditionalFormatting sqref="N1011">
    <cfRule type="expression" dxfId="1694" priority="1259">
      <formula xml:space="preserve"> $N$1 = "required"</formula>
    </cfRule>
  </conditionalFormatting>
  <conditionalFormatting sqref="N1012">
    <cfRule type="expression" dxfId="1693" priority="1237">
      <formula xml:space="preserve"> $N$1 = "required"</formula>
    </cfRule>
  </conditionalFormatting>
  <conditionalFormatting sqref="N1013:N1014">
    <cfRule type="expression" dxfId="1692" priority="1241">
      <formula xml:space="preserve"> $N$1 = "required"</formula>
    </cfRule>
  </conditionalFormatting>
  <conditionalFormatting sqref="N838:W838 K838">
    <cfRule type="expression" dxfId="1691" priority="2362">
      <formula>AND(#REF! = "section",$A838 = "end group")</formula>
    </cfRule>
    <cfRule type="expression" dxfId="1690" priority="2361">
      <formula>AND(#REF!="section",$A838="begin group")</formula>
    </cfRule>
    <cfRule type="expression" dxfId="1689" priority="2363">
      <formula xml:space="preserve"> $A838 = "begin group"</formula>
    </cfRule>
    <cfRule type="expression" dxfId="1688" priority="2364">
      <formula xml:space="preserve"> AND(#REF!="gg",$A838 = "end group")</formula>
    </cfRule>
  </conditionalFormatting>
  <conditionalFormatting sqref="O24 M24">
    <cfRule type="expression" dxfId="1687" priority="28586">
      <formula xml:space="preserve"> #REF! = "end repeat"</formula>
    </cfRule>
    <cfRule type="expression" dxfId="1686" priority="28585">
      <formula>#REF! = "begin repeat"</formula>
    </cfRule>
    <cfRule type="expression" dxfId="1685" priority="28584">
      <formula xml:space="preserve"> #REF! = "end group"</formula>
    </cfRule>
    <cfRule type="expression" dxfId="1684" priority="28581">
      <formula>AND($Z$1="disabled",#REF!="yes")</formula>
    </cfRule>
    <cfRule type="expression" dxfId="1683" priority="28582">
      <formula>#REF!="section"</formula>
    </cfRule>
    <cfRule type="expression" dxfId="1682" priority="28583">
      <formula xml:space="preserve"> #REF! = "begin group"</formula>
    </cfRule>
  </conditionalFormatting>
  <conditionalFormatting sqref="O132 A160 Q132 A132 I132 G39:G101 C132:D132 D133:D186 C133:C199 E1003:E1016 G1003:G1016">
    <cfRule type="expression" dxfId="1681" priority="8379">
      <formula xml:space="preserve"> $A44 = "end repeat"</formula>
    </cfRule>
    <cfRule type="expression" dxfId="1680" priority="8377">
      <formula>AND($U$1="disabled",$U43="yes")</formula>
    </cfRule>
    <cfRule type="expression" dxfId="1679" priority="8378">
      <formula>$A39 = "begin repeat"</formula>
    </cfRule>
  </conditionalFormatting>
  <conditionalFormatting sqref="O134 A134 A162 Q134 I134">
    <cfRule type="expression" dxfId="1678" priority="8374">
      <formula>AND($U$1="disabled",$U137="yes")</formula>
    </cfRule>
    <cfRule type="expression" dxfId="1677" priority="8376">
      <formula xml:space="preserve"> $A139 = "end repeat"</formula>
    </cfRule>
    <cfRule type="expression" dxfId="1676" priority="8375">
      <formula>$A134 = "begin repeat"</formula>
    </cfRule>
  </conditionalFormatting>
  <conditionalFormatting sqref="O135 A135 A163 Q135 I135">
    <cfRule type="expression" dxfId="1675" priority="8460">
      <formula xml:space="preserve"> $A143 = "end repeat"</formula>
    </cfRule>
    <cfRule type="expression" dxfId="1674" priority="8459">
      <formula>$A135 = "begin repeat"</formula>
    </cfRule>
    <cfRule type="expression" dxfId="1673" priority="8458">
      <formula>AND($U$1="disabled",$U141="yes")</formula>
    </cfRule>
  </conditionalFormatting>
  <conditionalFormatting sqref="O136 A136 A164 Q136 I136">
    <cfRule type="expression" dxfId="1672" priority="8446">
      <formula>AND($U$1="disabled",$U143="yes")</formula>
    </cfRule>
    <cfRule type="expression" dxfId="1671" priority="8448">
      <formula xml:space="preserve"> $A157 = "end repeat"</formula>
    </cfRule>
    <cfRule type="expression" dxfId="1670" priority="8447">
      <formula>$A136 = "begin repeat"</formula>
    </cfRule>
  </conditionalFormatting>
  <conditionalFormatting sqref="O138 A138 Q138 I138 L138 A166">
    <cfRule type="expression" dxfId="1669" priority="8409">
      <formula xml:space="preserve"> $A162 = "end repeat"</formula>
    </cfRule>
    <cfRule type="expression" dxfId="1668" priority="8408">
      <formula>$A138 = "begin repeat"</formula>
    </cfRule>
    <cfRule type="expression" dxfId="1667" priority="8407">
      <formula>AND($U$1="disabled",$U158="yes")</formula>
    </cfRule>
  </conditionalFormatting>
  <conditionalFormatting sqref="O139:O140 A139:A140 I139:I142 Q139:Q140 A167:A168">
    <cfRule type="expression" dxfId="1666" priority="8402">
      <formula>$A139 = "begin repeat"</formula>
    </cfRule>
    <cfRule type="expression" dxfId="1665" priority="8401">
      <formula>AND($U$1="disabled",$U159="yes")</formula>
    </cfRule>
    <cfRule type="expression" dxfId="1664" priority="8403">
      <formula xml:space="preserve"> $A160 = "end repeat"</formula>
    </cfRule>
  </conditionalFormatting>
  <conditionalFormatting sqref="O141 O137 A141 A137 Q141 Q137 I141 L141 I137:I139 A169 A165">
    <cfRule type="expression" dxfId="1663" priority="8410">
      <formula>AND($U$1="disabled",$U157="yes")</formula>
    </cfRule>
    <cfRule type="expression" dxfId="1662" priority="8411">
      <formula>$A137 = "begin repeat"</formula>
    </cfRule>
    <cfRule type="expression" dxfId="1661" priority="8412">
      <formula xml:space="preserve"> $A159 = "end repeat"</formula>
    </cfRule>
  </conditionalFormatting>
  <conditionalFormatting sqref="O142:O143 A142:A143 Q142:Q143 I142:I143 A170:A171">
    <cfRule type="expression" dxfId="1660" priority="8398">
      <formula>AND($U$1="disabled",$U162="yes")</formula>
    </cfRule>
    <cfRule type="expression" dxfId="1659" priority="8399">
      <formula>$A142 = "begin repeat"</formula>
    </cfRule>
    <cfRule type="expression" dxfId="1658" priority="8400">
      <formula xml:space="preserve"> #REF! = "end repeat"</formula>
    </cfRule>
  </conditionalFormatting>
  <conditionalFormatting sqref="O144:O147 O156:O159 A144:A147 A156:A159 A172:A175 Q144:Q147 Q156:Q159 I156:I159 I144:I147">
    <cfRule type="expression" dxfId="1657" priority="8511">
      <formula xml:space="preserve"> #REF! = "end repeat"</formula>
    </cfRule>
    <cfRule type="expression" dxfId="1656" priority="8509">
      <formula>AND($U$1="disabled",$U152="yes")</formula>
    </cfRule>
    <cfRule type="expression" dxfId="1655" priority="8510">
      <formula>$A144 = "begin repeat"</formula>
    </cfRule>
  </conditionalFormatting>
  <conditionalFormatting sqref="O155 A155 Q155 I155 G119 O149:O153 A149:A153 Q149:Q153 I149:I153 E119 G133 G135 G137 G139 G141 G143 G145 G147 G149 G151 G153 G155 G157 G159 G161 G163 G165 G167 G169 G171 G173 G175 G177 G179 E133 E135 E137 E139 E141 E143 E145 E147 E149 E151 E153 E155 E157 E159 E161 E163 E165 E167 E169 E171 E173 E175 E177 E179 A183 A177:A181 G181 G183 E181 E183">
    <cfRule type="expression" dxfId="1654" priority="8457">
      <formula xml:space="preserve"> #REF! = "end repeat"</formula>
    </cfRule>
    <cfRule type="expression" dxfId="1653" priority="8456">
      <formula>$A119 = "begin repeat"</formula>
    </cfRule>
    <cfRule type="expression" dxfId="1652" priority="8455">
      <formula>AND($U$1="disabled",$U126="yes")</formula>
    </cfRule>
  </conditionalFormatting>
  <conditionalFormatting sqref="O160 Q160 I160">
    <cfRule type="expression" dxfId="1651" priority="8350">
      <formula>AND($U$1="disabled",$U133="yes")</formula>
    </cfRule>
    <cfRule type="expression" dxfId="1650" priority="8352">
      <formula xml:space="preserve"> #REF! = "end repeat"</formula>
    </cfRule>
    <cfRule type="expression" dxfId="1649" priority="8351">
      <formula>$A160 = "begin repeat"</formula>
    </cfRule>
  </conditionalFormatting>
  <conditionalFormatting sqref="O160:O161 Q160:Q161 I160:I161">
    <cfRule type="expression" dxfId="1648" priority="8607">
      <formula xml:space="preserve"> AND($J133="gg",$A160 = "end group")</formula>
    </cfRule>
    <cfRule type="expression" dxfId="1647" priority="8604">
      <formula>AND($J133="section",$A160="begin group")</formula>
    </cfRule>
    <cfRule type="expression" dxfId="1646" priority="8605">
      <formula>AND($J133 = "section",$A160 = "end group")</formula>
    </cfRule>
    <cfRule type="expression" dxfId="1645" priority="8606">
      <formula xml:space="preserve"> $A160 = "begin group"</formula>
    </cfRule>
  </conditionalFormatting>
  <conditionalFormatting sqref="O161 Q161 I161 L161">
    <cfRule type="expression" dxfId="1644" priority="8344">
      <formula>AND($U$1="disabled",$U134="yes")</formula>
    </cfRule>
    <cfRule type="expression" dxfId="1643" priority="8345">
      <formula>$A161 = "begin repeat"</formula>
    </cfRule>
    <cfRule type="expression" dxfId="1642" priority="8346">
      <formula xml:space="preserve"> $A165 = "end repeat"</formula>
    </cfRule>
  </conditionalFormatting>
  <conditionalFormatting sqref="O164 Q164 I164">
    <cfRule type="expression" dxfId="1641" priority="8624">
      <formula>AND($J135="section",$A164="begin group")</formula>
    </cfRule>
    <cfRule type="expression" dxfId="1640" priority="8625">
      <formula>AND($J135 = "section",$A164 = "end group")</formula>
    </cfRule>
    <cfRule type="expression" dxfId="1639" priority="8626">
      <formula xml:space="preserve"> $A164 = "begin group"</formula>
    </cfRule>
    <cfRule type="expression" dxfId="1638" priority="8627">
      <formula xml:space="preserve"> AND($J135="gg",$A164 = "end group")</formula>
    </cfRule>
  </conditionalFormatting>
  <conditionalFormatting sqref="O165 Q165 I165">
    <cfRule type="expression" dxfId="1637" priority="8384">
      <formula>$A165 = "begin repeat"</formula>
    </cfRule>
    <cfRule type="expression" dxfId="1636" priority="8385">
      <formula xml:space="preserve"> $A186 = "end repeat"</formula>
    </cfRule>
    <cfRule type="expression" dxfId="1635" priority="8383">
      <formula>AND($U$1="disabled",$U135="yes")</formula>
    </cfRule>
  </conditionalFormatting>
  <conditionalFormatting sqref="O166 Q166 I166">
    <cfRule type="expression" dxfId="1634" priority="8643">
      <formula xml:space="preserve"> AND($J136="gg",$A166 = "end group")</formula>
    </cfRule>
    <cfRule type="expression" dxfId="1633" priority="8642">
      <formula xml:space="preserve"> $A166 = "begin group"</formula>
    </cfRule>
    <cfRule type="expression" dxfId="1632" priority="8640">
      <formula>AND($J136="section",$A166="begin group")</formula>
    </cfRule>
    <cfRule type="expression" dxfId="1631" priority="8641">
      <formula>AND($J136 = "section",$A166 = "end group")</formula>
    </cfRule>
  </conditionalFormatting>
  <conditionalFormatting sqref="O167 Q167 I167">
    <cfRule type="expression" dxfId="1630" priority="8441">
      <formula>$A167 = "begin repeat"</formula>
    </cfRule>
    <cfRule type="expression" dxfId="1629" priority="8440">
      <formula>AND($U$1="disabled",$U136="yes")</formula>
    </cfRule>
    <cfRule type="expression" dxfId="1628" priority="8442">
      <formula xml:space="preserve"> $A188 = "end repeat"</formula>
    </cfRule>
  </conditionalFormatting>
  <conditionalFormatting sqref="O953:O954 Q953:Q954 A953:A954">
    <cfRule type="expression" dxfId="1627" priority="838">
      <formula>AND(#REF!="section",$A953="begin group")</formula>
    </cfRule>
    <cfRule type="expression" dxfId="1626" priority="841">
      <formula xml:space="preserve"> AND(#REF!="gg",$A953 = "end group")</formula>
    </cfRule>
    <cfRule type="expression" dxfId="1625" priority="840">
      <formula xml:space="preserve"> $A953 = "begin group"</formula>
    </cfRule>
    <cfRule type="expression" dxfId="1624" priority="839">
      <formula>AND(#REF! = "section",$A953 = "end group")</formula>
    </cfRule>
  </conditionalFormatting>
  <conditionalFormatting sqref="P1:P8 P10:P17">
    <cfRule type="expression" dxfId="1623" priority="48161">
      <formula xml:space="preserve"> $P$1 = "constraint"</formula>
    </cfRule>
  </conditionalFormatting>
  <conditionalFormatting sqref="P32 S28:S32">
    <cfRule type="expression" dxfId="1622" priority="31908">
      <formula xml:space="preserve"> #REF! = "relevant"</formula>
    </cfRule>
  </conditionalFormatting>
  <conditionalFormatting sqref="P62:P63">
    <cfRule type="expression" dxfId="1621" priority="8875">
      <formula xml:space="preserve"> $P$1 = "constraint"</formula>
    </cfRule>
  </conditionalFormatting>
  <conditionalFormatting sqref="P64:P65">
    <cfRule type="expression" dxfId="1620" priority="8880">
      <formula xml:space="preserve"> $P$1 = "constraint"</formula>
    </cfRule>
  </conditionalFormatting>
  <conditionalFormatting sqref="P66:P67">
    <cfRule type="expression" dxfId="1619" priority="8885">
      <formula xml:space="preserve"> $P$1 = "constraint"</formula>
    </cfRule>
  </conditionalFormatting>
  <conditionalFormatting sqref="P81:P89">
    <cfRule type="expression" dxfId="1618" priority="8747">
      <formula xml:space="preserve"> $P$1 = "constraint"</formula>
    </cfRule>
  </conditionalFormatting>
  <conditionalFormatting sqref="P90:P94">
    <cfRule type="expression" dxfId="1617" priority="8734">
      <formula xml:space="preserve"> $P$1 = "constraint"</formula>
    </cfRule>
  </conditionalFormatting>
  <conditionalFormatting sqref="P104:P106 P110:P113">
    <cfRule type="expression" dxfId="1616" priority="8870">
      <formula xml:space="preserve"> $P$1 = "constraint"</formula>
    </cfRule>
  </conditionalFormatting>
  <conditionalFormatting sqref="P107:P108">
    <cfRule type="expression" dxfId="1615" priority="7934">
      <formula xml:space="preserve"> $P$1 = "constraint"</formula>
    </cfRule>
  </conditionalFormatting>
  <conditionalFormatting sqref="P109">
    <cfRule type="expression" dxfId="1614" priority="7903">
      <formula xml:space="preserve"> $P$1 = "constraint"</formula>
    </cfRule>
  </conditionalFormatting>
  <conditionalFormatting sqref="P117">
    <cfRule type="expression" dxfId="1613" priority="8240">
      <formula xml:space="preserve"> $P$1 = "constraint"</formula>
    </cfRule>
  </conditionalFormatting>
  <conditionalFormatting sqref="P118:P119">
    <cfRule type="expression" dxfId="1612" priority="8246">
      <formula xml:space="preserve"> $P$1 = "constraint"</formula>
    </cfRule>
  </conditionalFormatting>
  <conditionalFormatting sqref="P120">
    <cfRule type="expression" dxfId="1611" priority="8217">
      <formula xml:space="preserve"> $P$1 = "constraint"</formula>
    </cfRule>
  </conditionalFormatting>
  <conditionalFormatting sqref="P121:P122">
    <cfRule type="expression" dxfId="1610" priority="8200">
      <formula xml:space="preserve"> $P$1 = "constraint"</formula>
    </cfRule>
  </conditionalFormatting>
  <conditionalFormatting sqref="P126">
    <cfRule type="expression" dxfId="1609" priority="8935">
      <formula xml:space="preserve"> $P$1 = "constraint"</formula>
    </cfRule>
  </conditionalFormatting>
  <conditionalFormatting sqref="P131">
    <cfRule type="expression" dxfId="1608" priority="8313">
      <formula xml:space="preserve"> $P$1 = "constraint"</formula>
    </cfRule>
  </conditionalFormatting>
  <conditionalFormatting sqref="P132">
    <cfRule type="expression" dxfId="1607" priority="8839">
      <formula xml:space="preserve"> $P$1 = "constraint"</formula>
    </cfRule>
  </conditionalFormatting>
  <conditionalFormatting sqref="P132:P133 R132:W133 M132:N133">
    <cfRule type="expression" dxfId="1606" priority="8349">
      <formula xml:space="preserve"> #REF! = "end repeat"</formula>
    </cfRule>
    <cfRule type="expression" dxfId="1605" priority="8347">
      <formula>AND($U$1="disabled",$U132="yes")</formula>
    </cfRule>
    <cfRule type="expression" dxfId="1604" priority="8348">
      <formula>$A159 = "begin repeat"</formula>
    </cfRule>
  </conditionalFormatting>
  <conditionalFormatting sqref="P132:P134 R132:W134 M132:N134">
    <cfRule type="expression" dxfId="1603" priority="8622">
      <formula xml:space="preserve"> $A159 = "begin group"</formula>
    </cfRule>
    <cfRule type="expression" dxfId="1602" priority="8621">
      <formula>AND($J132 = "section",$A159 = "end group")</formula>
    </cfRule>
    <cfRule type="expression" dxfId="1601" priority="8623">
      <formula xml:space="preserve"> AND($J132="gg",$A159 = "end group")</formula>
    </cfRule>
    <cfRule type="expression" dxfId="1600" priority="8620">
      <formula>AND($J132="section",$A159="begin group")</formula>
    </cfRule>
  </conditionalFormatting>
  <conditionalFormatting sqref="P134 M134:N134 R134:W134">
    <cfRule type="expression" dxfId="1599" priority="8341">
      <formula>AND($U$1="disabled",$U134="yes")</formula>
    </cfRule>
    <cfRule type="expression" dxfId="1598" priority="8343">
      <formula xml:space="preserve"> $A165 = "end repeat"</formula>
    </cfRule>
    <cfRule type="expression" dxfId="1597" priority="8342">
      <formula>$A161 = "begin repeat"</formula>
    </cfRule>
  </conditionalFormatting>
  <conditionalFormatting sqref="P135 M135:N135 R135:W135">
    <cfRule type="expression" dxfId="1596" priority="8380">
      <formula>AND($U$1="disabled",$U135="yes")</formula>
    </cfRule>
    <cfRule type="expression" dxfId="1595" priority="8382">
      <formula xml:space="preserve"> $A186 = "end repeat"</formula>
    </cfRule>
    <cfRule type="expression" dxfId="1594" priority="8381">
      <formula>$A165 = "begin repeat"</formula>
    </cfRule>
  </conditionalFormatting>
  <conditionalFormatting sqref="P136 M136:N136 R136:W136">
    <cfRule type="expression" dxfId="1593" priority="8438">
      <formula>$A167 = "begin repeat"</formula>
    </cfRule>
    <cfRule type="expression" dxfId="1592" priority="8439">
      <formula xml:space="preserve"> $A188 = "end repeat"</formula>
    </cfRule>
    <cfRule type="expression" dxfId="1591" priority="8437">
      <formula>AND($U$1="disabled",$U136="yes")</formula>
    </cfRule>
  </conditionalFormatting>
  <conditionalFormatting sqref="P137 M137:N137 R137:W137">
    <cfRule type="expression" dxfId="1590" priority="8371">
      <formula>AND($U$1="disabled",$U137="yes")</formula>
    </cfRule>
    <cfRule type="expression" dxfId="1589" priority="8373">
      <formula xml:space="preserve"> $A139 = "end repeat"</formula>
    </cfRule>
    <cfRule type="expression" dxfId="1588" priority="8372">
      <formula>$A134 = "begin repeat"</formula>
    </cfRule>
  </conditionalFormatting>
  <conditionalFormatting sqref="P141 M141:N141 R141:W141">
    <cfRule type="expression" dxfId="1587" priority="8452">
      <formula>AND($U$1="disabled",$U141="yes")</formula>
    </cfRule>
    <cfRule type="expression" dxfId="1586" priority="8454">
      <formula xml:space="preserve"> $A143 = "end repeat"</formula>
    </cfRule>
    <cfRule type="expression" dxfId="1585" priority="8453">
      <formula>$A135 = "begin repeat"</formula>
    </cfRule>
  </conditionalFormatting>
  <conditionalFormatting sqref="P142 M142:N142 R142:W142">
    <cfRule type="expression" dxfId="1584" priority="8391">
      <formula xml:space="preserve"> $A156 = "end repeat"</formula>
    </cfRule>
    <cfRule type="expression" dxfId="1583" priority="8390">
      <formula>#REF! = "begin repeat"</formula>
    </cfRule>
    <cfRule type="expression" dxfId="1582" priority="8389">
      <formula>AND($U$1="disabled",$U142="yes")</formula>
    </cfRule>
  </conditionalFormatting>
  <conditionalFormatting sqref="P143 M143:N143 R143:W143">
    <cfRule type="expression" dxfId="1581" priority="8388">
      <formula xml:space="preserve"> $A157 = "end repeat"</formula>
    </cfRule>
    <cfRule type="expression" dxfId="1580" priority="8386">
      <formula>AND($U$1="disabled",$U143="yes")</formula>
    </cfRule>
    <cfRule type="expression" dxfId="1579" priority="8387">
      <formula>$A136 = "begin repeat"</formula>
    </cfRule>
  </conditionalFormatting>
  <conditionalFormatting sqref="P144:P148">
    <cfRule type="expression" dxfId="1578" priority="8825">
      <formula xml:space="preserve"> $P$1 = "constraint"</formula>
    </cfRule>
  </conditionalFormatting>
  <conditionalFormatting sqref="P146 M146:N146 R146:W146">
    <cfRule type="expression" dxfId="1577" priority="8364">
      <formula xml:space="preserve"> $A150 = "end repeat"</formula>
    </cfRule>
    <cfRule type="expression" dxfId="1576" priority="8363">
      <formula>$A129 = "begin repeat"</formula>
    </cfRule>
    <cfRule type="expression" dxfId="1575" priority="8362">
      <formula>AND($U$1="disabled",$U146="yes")</formula>
    </cfRule>
  </conditionalFormatting>
  <conditionalFormatting sqref="P147 M147:N147 R147:W147">
    <cfRule type="expression" dxfId="1574" priority="8314">
      <formula>AND($U$1="disabled",$U147="yes")</formula>
    </cfRule>
    <cfRule type="expression" dxfId="1573" priority="8315">
      <formula>$A130 = "begin repeat"</formula>
    </cfRule>
    <cfRule type="expression" dxfId="1572" priority="8316">
      <formula xml:space="preserve"> $A148 = "end repeat"</formula>
    </cfRule>
  </conditionalFormatting>
  <conditionalFormatting sqref="P148:P149 M148:N149 R148:W149">
    <cfRule type="expression" dxfId="1571" priority="8357">
      <formula>$A132 = "begin repeat"</formula>
    </cfRule>
    <cfRule type="expression" dxfId="1570" priority="8356">
      <formula>AND($U$1="disabled",$U148="yes")</formula>
    </cfRule>
    <cfRule type="expression" dxfId="1569" priority="8358">
      <formula xml:space="preserve"> $A149 = "end repeat"</formula>
    </cfRule>
  </conditionalFormatting>
  <conditionalFormatting sqref="P149">
    <cfRule type="expression" dxfId="1568" priority="8820">
      <formula xml:space="preserve"> $P$1 = "constraint"</formula>
    </cfRule>
  </conditionalFormatting>
  <conditionalFormatting sqref="P150 M150:N150 R150:W150 M144:N144 R144:W144 P144">
    <cfRule type="expression" dxfId="1567" priority="8368">
      <formula>AND($U$1="disabled",$U144="yes")</formula>
    </cfRule>
    <cfRule type="expression" dxfId="1566" priority="8370">
      <formula xml:space="preserve"> $A146 = "end repeat"</formula>
    </cfRule>
    <cfRule type="expression" dxfId="1565" priority="8369">
      <formula>$A128 = "begin repeat"</formula>
    </cfRule>
  </conditionalFormatting>
  <conditionalFormatting sqref="P150:P154">
    <cfRule type="expression" dxfId="1564" priority="8834">
      <formula xml:space="preserve"> $P$1 = "constraint"</formula>
    </cfRule>
  </conditionalFormatting>
  <conditionalFormatting sqref="P153 M153:N153 R153:W153">
    <cfRule type="expression" dxfId="1563" priority="8361">
      <formula xml:space="preserve"> $A154 = "end repeat"</formula>
    </cfRule>
    <cfRule type="expression" dxfId="1562" priority="8359">
      <formula>AND($U$1="disabled",$U153="yes")</formula>
    </cfRule>
    <cfRule type="expression" dxfId="1561" priority="8360">
      <formula>#REF! = "begin repeat"</formula>
    </cfRule>
  </conditionalFormatting>
  <conditionalFormatting sqref="P154 M154:N154 R154:W154">
    <cfRule type="expression" dxfId="1560" priority="8444">
      <formula>$A135 = "begin repeat"</formula>
    </cfRule>
    <cfRule type="expression" dxfId="1559" priority="8445">
      <formula xml:space="preserve"> $A155 = "end repeat"</formula>
    </cfRule>
    <cfRule type="expression" dxfId="1558" priority="8443">
      <formula>AND($U$1="disabled",$U154="yes")</formula>
    </cfRule>
  </conditionalFormatting>
  <conditionalFormatting sqref="P155">
    <cfRule type="expression" dxfId="1557" priority="8829">
      <formula xml:space="preserve"> $P$1 = "constraint"</formula>
    </cfRule>
  </conditionalFormatting>
  <conditionalFormatting sqref="P156 P151 M151:N151 M156:N156 R151:W151 R156:W156 P145 M145:N145 R145:W145 P138:P140 M138:N140 R138:W140">
    <cfRule type="expression" dxfId="1556" priority="8462">
      <formula>#REF! = "begin repeat"</formula>
    </cfRule>
    <cfRule type="expression" dxfId="1555" priority="8461">
      <formula>AND($U$1="disabled",$U138="yes")</formula>
    </cfRule>
    <cfRule type="expression" dxfId="1554" priority="8463">
      <formula xml:space="preserve"> $A140 = "end repeat"</formula>
    </cfRule>
  </conditionalFormatting>
  <conditionalFormatting sqref="P158 M158:N158 R158:W158">
    <cfRule type="expression" dxfId="1553" priority="8414">
      <formula>$A138 = "begin repeat"</formula>
    </cfRule>
    <cfRule type="expression" dxfId="1552" priority="8413">
      <formula>AND($U$1="disabled",$U158="yes")</formula>
    </cfRule>
    <cfRule type="expression" dxfId="1551" priority="8415">
      <formula xml:space="preserve"> $A162 = "end repeat"</formula>
    </cfRule>
  </conditionalFormatting>
  <conditionalFormatting sqref="P159:P160 M159:N160 R159:W160">
    <cfRule type="expression" dxfId="1550" priority="8449">
      <formula>AND($U$1="disabled",$U159="yes")</formula>
    </cfRule>
    <cfRule type="expression" dxfId="1549" priority="8450">
      <formula>$A139 = "begin repeat"</formula>
    </cfRule>
    <cfRule type="expression" dxfId="1548" priority="8451">
      <formula xml:space="preserve"> $A160 = "end repeat"</formula>
    </cfRule>
  </conditionalFormatting>
  <conditionalFormatting sqref="P161 P157 M157:N157 M161:N161 R157:W157 R161:W161">
    <cfRule type="expression" dxfId="1547" priority="8418">
      <formula xml:space="preserve"> $A159 = "end repeat"</formula>
    </cfRule>
    <cfRule type="expression" dxfId="1546" priority="8416">
      <formula>AND($U$1="disabled",$U157="yes")</formula>
    </cfRule>
    <cfRule type="expression" dxfId="1545" priority="8417">
      <formula>$A137 = "begin repeat"</formula>
    </cfRule>
  </conditionalFormatting>
  <conditionalFormatting sqref="P162:P163 M162:N163 R162:W163">
    <cfRule type="expression" dxfId="1544" priority="8395">
      <formula>AND($U$1="disabled",$U162="yes")</formula>
    </cfRule>
    <cfRule type="expression" dxfId="1543" priority="8397">
      <formula xml:space="preserve"> #REF! = "end repeat"</formula>
    </cfRule>
    <cfRule type="expression" dxfId="1542" priority="8396">
      <formula>$A142 = "begin repeat"</formula>
    </cfRule>
  </conditionalFormatting>
  <conditionalFormatting sqref="P164:P167 M164:N167 R164:W167">
    <cfRule type="expression" dxfId="1541" priority="8508">
      <formula xml:space="preserve"> #REF! = "end repeat"</formula>
    </cfRule>
    <cfRule type="expression" dxfId="1540" priority="8507">
      <formula>$A156 = "begin repeat"</formula>
    </cfRule>
    <cfRule type="expression" dxfId="1539" priority="8506">
      <formula>AND($U$1="disabled",$U164="yes")</formula>
    </cfRule>
  </conditionalFormatting>
  <conditionalFormatting sqref="P172:P182">
    <cfRule type="expression" dxfId="1538" priority="8859">
      <formula xml:space="preserve"> $P$1 = "constraint"</formula>
    </cfRule>
  </conditionalFormatting>
  <conditionalFormatting sqref="P183">
    <cfRule type="expression" dxfId="1537" priority="8844">
      <formula xml:space="preserve"> $P$1 = "constraint"</formula>
    </cfRule>
  </conditionalFormatting>
  <conditionalFormatting sqref="P192:P193">
    <cfRule type="expression" dxfId="1536" priority="7859">
      <formula xml:space="preserve"> $P$1 = "constraint"</formula>
    </cfRule>
  </conditionalFormatting>
  <conditionalFormatting sqref="P194">
    <cfRule type="expression" dxfId="1535" priority="7831">
      <formula xml:space="preserve"> $P$1 = "constraint"</formula>
    </cfRule>
  </conditionalFormatting>
  <conditionalFormatting sqref="P195:P199">
    <cfRule type="expression" dxfId="1534" priority="8713">
      <formula xml:space="preserve"> $P$1 = "constraint"</formula>
    </cfRule>
  </conditionalFormatting>
  <conditionalFormatting sqref="P202">
    <cfRule type="expression" dxfId="1533" priority="8163">
      <formula xml:space="preserve"> $P$1 = "constraint"</formula>
    </cfRule>
  </conditionalFormatting>
  <conditionalFormatting sqref="P203:P204">
    <cfRule type="expression" dxfId="1532" priority="8142">
      <formula xml:space="preserve"> $P$1 = "constraint"</formula>
    </cfRule>
  </conditionalFormatting>
  <conditionalFormatting sqref="P205">
    <cfRule type="expression" dxfId="1531" priority="8176">
      <formula xml:space="preserve"> $P$1 = "constraint"</formula>
    </cfRule>
  </conditionalFormatting>
  <conditionalFormatting sqref="P206">
    <cfRule type="expression" dxfId="1530" priority="8931">
      <formula xml:space="preserve"> $P$1 = "constraint"</formula>
    </cfRule>
  </conditionalFormatting>
  <conditionalFormatting sqref="P207 P68:P80 P184:P191 P156:P171 P133:P143 P95:P103 P210 P36:P61 P127:P130 P123:P125 P114:P116 P200:P201">
    <cfRule type="expression" dxfId="1529" priority="8941">
      <formula xml:space="preserve"> $P$1 = "constraint"</formula>
    </cfRule>
  </conditionalFormatting>
  <conditionalFormatting sqref="P208">
    <cfRule type="expression" dxfId="1528" priority="8923">
      <formula xml:space="preserve"> $P$1 = "constraint"</formula>
    </cfRule>
  </conditionalFormatting>
  <conditionalFormatting sqref="P209">
    <cfRule type="expression" dxfId="1527" priority="8927">
      <formula xml:space="preserve"> $P$1 = "constraint"</formula>
    </cfRule>
  </conditionalFormatting>
  <conditionalFormatting sqref="P219">
    <cfRule type="expression" dxfId="1526" priority="7641">
      <formula xml:space="preserve"> $P$1 = "constraint"</formula>
    </cfRule>
  </conditionalFormatting>
  <conditionalFormatting sqref="P220">
    <cfRule type="expression" dxfId="1525" priority="7646">
      <formula xml:space="preserve"> $P$1 = "constraint"</formula>
    </cfRule>
  </conditionalFormatting>
  <conditionalFormatting sqref="P221">
    <cfRule type="expression" dxfId="1524" priority="7758">
      <formula xml:space="preserve"> $P$1 = "constraint"</formula>
    </cfRule>
  </conditionalFormatting>
  <conditionalFormatting sqref="P222">
    <cfRule type="expression" dxfId="1523" priority="7763">
      <formula xml:space="preserve"> $P$1 = "constraint"</formula>
    </cfRule>
  </conditionalFormatting>
  <conditionalFormatting sqref="P252">
    <cfRule type="expression" dxfId="1522" priority="7775">
      <formula xml:space="preserve"> $P$1 = "constraint"</formula>
    </cfRule>
  </conditionalFormatting>
  <conditionalFormatting sqref="P253">
    <cfRule type="expression" dxfId="1521" priority="7631">
      <formula xml:space="preserve"> $P$1 = "constraint"</formula>
    </cfRule>
  </conditionalFormatting>
  <conditionalFormatting sqref="P254">
    <cfRule type="expression" dxfId="1520" priority="7636">
      <formula xml:space="preserve"> $P$1 = "constraint"</formula>
    </cfRule>
  </conditionalFormatting>
  <conditionalFormatting sqref="P258">
    <cfRule type="expression" dxfId="1519" priority="7749">
      <formula xml:space="preserve"> $P$1 = "constraint"</formula>
    </cfRule>
  </conditionalFormatting>
  <conditionalFormatting sqref="P259:P261">
    <cfRule type="expression" dxfId="1518" priority="7753">
      <formula xml:space="preserve"> $P$1 = "constraint"</formula>
    </cfRule>
  </conditionalFormatting>
  <conditionalFormatting sqref="P262">
    <cfRule type="expression" dxfId="1517" priority="7745">
      <formula xml:space="preserve"> $P$1 = "constraint"</formula>
    </cfRule>
  </conditionalFormatting>
  <conditionalFormatting sqref="P263">
    <cfRule type="expression" dxfId="1516" priority="7771">
      <formula xml:space="preserve"> $P$1 = "constraint"</formula>
    </cfRule>
  </conditionalFormatting>
  <conditionalFormatting sqref="P282">
    <cfRule type="expression" dxfId="1515" priority="7735">
      <formula xml:space="preserve"> $P$1 = "constraint"</formula>
    </cfRule>
  </conditionalFormatting>
  <conditionalFormatting sqref="P283:P284">
    <cfRule type="expression" dxfId="1514" priority="7740">
      <formula xml:space="preserve"> $P$1 = "constraint"</formula>
    </cfRule>
  </conditionalFormatting>
  <conditionalFormatting sqref="P285">
    <cfRule type="expression" dxfId="1513" priority="7730">
      <formula xml:space="preserve"> $P$1 = "constraint"</formula>
    </cfRule>
  </conditionalFormatting>
  <conditionalFormatting sqref="P288">
    <cfRule type="expression" dxfId="1512" priority="7725">
      <formula xml:space="preserve"> $P$1 = "constraint"</formula>
    </cfRule>
  </conditionalFormatting>
  <conditionalFormatting sqref="P289">
    <cfRule type="expression" dxfId="1511" priority="7720">
      <formula xml:space="preserve"> $P$1 = "constraint"</formula>
    </cfRule>
  </conditionalFormatting>
  <conditionalFormatting sqref="P294">
    <cfRule type="expression" dxfId="1510" priority="7785">
      <formula xml:space="preserve"> $P$1 = "constraint"</formula>
    </cfRule>
  </conditionalFormatting>
  <conditionalFormatting sqref="P295:P296 P298:P299 P346 P255:P257 P348:P351 P223:P226 P290:P293 P286:P287 P357 P241:P251 P211:P218 P264:P267 P273:P281 P353 P355">
    <cfRule type="expression" dxfId="1509" priority="7800">
      <formula xml:space="preserve"> $P$1 = "constraint"</formula>
    </cfRule>
  </conditionalFormatting>
  <conditionalFormatting sqref="P297">
    <cfRule type="expression" dxfId="1508" priority="7780">
      <formula xml:space="preserve"> $P$1 = "constraint"</formula>
    </cfRule>
  </conditionalFormatting>
  <conditionalFormatting sqref="P300">
    <cfRule type="expression" dxfId="1507" priority="7676">
      <formula xml:space="preserve"> $P$1 = "constraint"</formula>
    </cfRule>
  </conditionalFormatting>
  <conditionalFormatting sqref="P301">
    <cfRule type="expression" dxfId="1506" priority="7671">
      <formula xml:space="preserve"> $P$1 = "constraint"</formula>
    </cfRule>
  </conditionalFormatting>
  <conditionalFormatting sqref="P302">
    <cfRule type="expression" dxfId="1505" priority="7686">
      <formula xml:space="preserve"> $P$1 = "constraint"</formula>
    </cfRule>
  </conditionalFormatting>
  <conditionalFormatting sqref="P303">
    <cfRule type="expression" dxfId="1504" priority="7681">
      <formula xml:space="preserve"> $P$1 = "constraint"</formula>
    </cfRule>
  </conditionalFormatting>
  <conditionalFormatting sqref="P304">
    <cfRule type="expression" dxfId="1503" priority="7696">
      <formula xml:space="preserve"> $P$1 = "constraint"</formula>
    </cfRule>
  </conditionalFormatting>
  <conditionalFormatting sqref="P305">
    <cfRule type="expression" dxfId="1502" priority="7691">
      <formula xml:space="preserve"> $P$1 = "constraint"</formula>
    </cfRule>
  </conditionalFormatting>
  <conditionalFormatting sqref="P306">
    <cfRule type="expression" dxfId="1501" priority="7249">
      <formula xml:space="preserve"> $P$1 = "constraint"</formula>
    </cfRule>
  </conditionalFormatting>
  <conditionalFormatting sqref="P307">
    <cfRule type="expression" dxfId="1500" priority="7244">
      <formula xml:space="preserve"> $P$1 = "constraint"</formula>
    </cfRule>
  </conditionalFormatting>
  <conditionalFormatting sqref="P308">
    <cfRule type="expression" dxfId="1499" priority="7260">
      <formula xml:space="preserve"> $P$1 = "constraint"</formula>
    </cfRule>
  </conditionalFormatting>
  <conditionalFormatting sqref="P309:P311">
    <cfRule type="expression" dxfId="1498" priority="7255">
      <formula xml:space="preserve"> $P$1 = "constraint"</formula>
    </cfRule>
  </conditionalFormatting>
  <conditionalFormatting sqref="P312">
    <cfRule type="expression" dxfId="1497" priority="7706">
      <formula xml:space="preserve"> $P$1 = "constraint"</formula>
    </cfRule>
  </conditionalFormatting>
  <conditionalFormatting sqref="P313">
    <cfRule type="expression" dxfId="1496" priority="7701">
      <formula xml:space="preserve"> $P$1 = "constraint"</formula>
    </cfRule>
  </conditionalFormatting>
  <conditionalFormatting sqref="P314">
    <cfRule type="expression" dxfId="1495" priority="7715">
      <formula xml:space="preserve"> $P$1 = "constraint"</formula>
    </cfRule>
  </conditionalFormatting>
  <conditionalFormatting sqref="P315:P317">
    <cfRule type="expression" dxfId="1494" priority="7710">
      <formula xml:space="preserve"> $P$1 = "constraint"</formula>
    </cfRule>
  </conditionalFormatting>
  <conditionalFormatting sqref="P322">
    <cfRule type="expression" dxfId="1493" priority="7131">
      <formula xml:space="preserve"> $P$1 = "constraint"</formula>
    </cfRule>
  </conditionalFormatting>
  <conditionalFormatting sqref="P323">
    <cfRule type="expression" dxfId="1492" priority="6999">
      <formula xml:space="preserve"> $P$1 = "constraint"</formula>
    </cfRule>
  </conditionalFormatting>
  <conditionalFormatting sqref="P324 P326">
    <cfRule type="expression" dxfId="1491" priority="7136">
      <formula xml:space="preserve"> $P$1 = "constraint"</formula>
    </cfRule>
  </conditionalFormatting>
  <conditionalFormatting sqref="P325">
    <cfRule type="expression" dxfId="1490" priority="6979">
      <formula xml:space="preserve"> $P$1 = "constraint"</formula>
    </cfRule>
  </conditionalFormatting>
  <conditionalFormatting sqref="P329">
    <cfRule type="expression" dxfId="1489" priority="7126">
      <formula xml:space="preserve"> $P$1 = "constraint"</formula>
    </cfRule>
  </conditionalFormatting>
  <conditionalFormatting sqref="P330">
    <cfRule type="expression" dxfId="1488" priority="7121">
      <formula xml:space="preserve"> $P$1 = "constraint"</formula>
    </cfRule>
  </conditionalFormatting>
  <conditionalFormatting sqref="P335">
    <cfRule type="expression" dxfId="1487" priority="7146">
      <formula xml:space="preserve"> $P$1 = "constraint"</formula>
    </cfRule>
  </conditionalFormatting>
  <conditionalFormatting sqref="P336:P337 P339 P331:P334 P327:P328 P318:P321">
    <cfRule type="expression" dxfId="1486" priority="7151">
      <formula xml:space="preserve"> $P$1 = "constraint"</formula>
    </cfRule>
  </conditionalFormatting>
  <conditionalFormatting sqref="P338">
    <cfRule type="expression" dxfId="1485" priority="7141">
      <formula xml:space="preserve"> $P$1 = "constraint"</formula>
    </cfRule>
  </conditionalFormatting>
  <conditionalFormatting sqref="P340">
    <cfRule type="expression" dxfId="1484" priority="7071">
      <formula xml:space="preserve"> $P$1 = "constraint"</formula>
    </cfRule>
  </conditionalFormatting>
  <conditionalFormatting sqref="P341">
    <cfRule type="expression" dxfId="1483" priority="7054">
      <formula xml:space="preserve"> $P$1 = "constraint"</formula>
    </cfRule>
  </conditionalFormatting>
  <conditionalFormatting sqref="P342:P344">
    <cfRule type="expression" dxfId="1482" priority="7037">
      <formula xml:space="preserve"> $P$1 = "constraint"</formula>
    </cfRule>
  </conditionalFormatting>
  <conditionalFormatting sqref="P347">
    <cfRule type="expression" dxfId="1481" priority="7789">
      <formula xml:space="preserve"> $P$1 = "constraint"</formula>
    </cfRule>
  </conditionalFormatting>
  <conditionalFormatting sqref="P352">
    <cfRule type="expression" dxfId="1480" priority="7030">
      <formula xml:space="preserve"> $P$1 = "constraint"</formula>
    </cfRule>
  </conditionalFormatting>
  <conditionalFormatting sqref="P354">
    <cfRule type="expression" dxfId="1479" priority="6955">
      <formula xml:space="preserve"> $P$1 = "constraint"</formula>
    </cfRule>
  </conditionalFormatting>
  <conditionalFormatting sqref="P356">
    <cfRule type="expression" dxfId="1478" priority="7794">
      <formula xml:space="preserve"> $P$1 = "constraint"</formula>
    </cfRule>
  </conditionalFormatting>
  <conditionalFormatting sqref="P361:P362">
    <cfRule type="expression" dxfId="1477" priority="6638">
      <formula xml:space="preserve"> $P$1 = "constraint"</formula>
    </cfRule>
  </conditionalFormatting>
  <conditionalFormatting sqref="P363:P366">
    <cfRule type="expression" dxfId="1476" priority="6627">
      <formula xml:space="preserve"> $P$1 = "constraint"</formula>
    </cfRule>
  </conditionalFormatting>
  <conditionalFormatting sqref="P367">
    <cfRule type="expression" dxfId="1475" priority="6622">
      <formula xml:space="preserve"> $P$1 = "constraint"</formula>
    </cfRule>
  </conditionalFormatting>
  <conditionalFormatting sqref="P368:P371">
    <cfRule type="expression" dxfId="1474" priority="6632">
      <formula xml:space="preserve"> $P$1 = "constraint"</formula>
    </cfRule>
  </conditionalFormatting>
  <conditionalFormatting sqref="P374:P377">
    <cfRule type="expression" dxfId="1473" priority="6832">
      <formula xml:space="preserve"> $P$1 = "constraint"</formula>
    </cfRule>
  </conditionalFormatting>
  <conditionalFormatting sqref="P378">
    <cfRule type="expression" dxfId="1472" priority="6828">
      <formula xml:space="preserve"> $P$1 = "constraint"</formula>
    </cfRule>
  </conditionalFormatting>
  <conditionalFormatting sqref="P379:P382">
    <cfRule type="expression" dxfId="1471" priority="6564">
      <formula xml:space="preserve"> $P$1 = "constraint"</formula>
    </cfRule>
  </conditionalFormatting>
  <conditionalFormatting sqref="P383">
    <cfRule type="expression" dxfId="1470" priority="6560">
      <formula xml:space="preserve"> $P$1 = "constraint"</formula>
    </cfRule>
  </conditionalFormatting>
  <conditionalFormatting sqref="P384:P391">
    <cfRule type="expression" dxfId="1469" priority="6572">
      <formula xml:space="preserve"> $P$1 = "constraint"</formula>
    </cfRule>
  </conditionalFormatting>
  <conditionalFormatting sqref="P392">
    <cfRule type="expression" dxfId="1468" priority="6374">
      <formula xml:space="preserve"> $P$1 = "constraint"</formula>
    </cfRule>
  </conditionalFormatting>
  <conditionalFormatting sqref="P394">
    <cfRule type="expression" dxfId="1467" priority="5764">
      <formula xml:space="preserve"> $P$1 = "constraint"</formula>
    </cfRule>
  </conditionalFormatting>
  <conditionalFormatting sqref="P395">
    <cfRule type="expression" dxfId="1466" priority="5743">
      <formula xml:space="preserve"> $P$1 = "constraint"</formula>
    </cfRule>
  </conditionalFormatting>
  <conditionalFormatting sqref="P396">
    <cfRule type="expression" dxfId="1465" priority="5984">
      <formula xml:space="preserve"> $P$1 = "constraint"</formula>
    </cfRule>
  </conditionalFormatting>
  <conditionalFormatting sqref="P397">
    <cfRule type="expression" dxfId="1464" priority="5713">
      <formula xml:space="preserve"> $P$1 = "constraint"</formula>
    </cfRule>
  </conditionalFormatting>
  <conditionalFormatting sqref="P398">
    <cfRule type="expression" dxfId="1463" priority="6316">
      <formula xml:space="preserve"> $P$1 = "constraint"</formula>
    </cfRule>
  </conditionalFormatting>
  <conditionalFormatting sqref="P399">
    <cfRule type="expression" dxfId="1462" priority="6285">
      <formula xml:space="preserve"> $P$1 = "constraint"</formula>
    </cfRule>
  </conditionalFormatting>
  <conditionalFormatting sqref="P400">
    <cfRule type="expression" dxfId="1461" priority="6254">
      <formula xml:space="preserve"> $P$1 = "constraint"</formula>
    </cfRule>
  </conditionalFormatting>
  <conditionalFormatting sqref="P401">
    <cfRule type="expression" dxfId="1460" priority="3440">
      <formula xml:space="preserve"> $P$1 = "constraint"</formula>
    </cfRule>
  </conditionalFormatting>
  <conditionalFormatting sqref="P402">
    <cfRule type="expression" dxfId="1459" priority="3406">
      <formula xml:space="preserve"> $P$1 = "constraint"</formula>
    </cfRule>
  </conditionalFormatting>
  <conditionalFormatting sqref="P403">
    <cfRule type="expression" dxfId="1458" priority="5950">
      <formula xml:space="preserve"> $P$1 = "constraint"</formula>
    </cfRule>
  </conditionalFormatting>
  <conditionalFormatting sqref="P404">
    <cfRule type="expression" dxfId="1457" priority="5789">
      <formula xml:space="preserve"> $P$1 = "constraint"</formula>
    </cfRule>
  </conditionalFormatting>
  <conditionalFormatting sqref="P405">
    <cfRule type="expression" dxfId="1456" priority="6223">
      <formula xml:space="preserve"> $P$1 = "constraint"</formula>
    </cfRule>
  </conditionalFormatting>
  <conditionalFormatting sqref="P406">
    <cfRule type="expression" dxfId="1455" priority="6192">
      <formula xml:space="preserve"> $P$1 = "constraint"</formula>
    </cfRule>
  </conditionalFormatting>
  <conditionalFormatting sqref="P407">
    <cfRule type="expression" dxfId="1454" priority="5919">
      <formula xml:space="preserve"> $P$1 = "constraint"</formula>
    </cfRule>
  </conditionalFormatting>
  <conditionalFormatting sqref="P408">
    <cfRule type="expression" dxfId="1453" priority="5820">
      <formula xml:space="preserve"> $P$1 = "constraint"</formula>
    </cfRule>
  </conditionalFormatting>
  <conditionalFormatting sqref="P409">
    <cfRule type="expression" dxfId="1452" priority="5888">
      <formula xml:space="preserve"> $P$1 = "constraint"</formula>
    </cfRule>
  </conditionalFormatting>
  <conditionalFormatting sqref="P410">
    <cfRule type="expression" dxfId="1451" priority="6152">
      <formula xml:space="preserve"> $P$1 = "constraint"</formula>
    </cfRule>
  </conditionalFormatting>
  <conditionalFormatting sqref="P411">
    <cfRule type="expression" dxfId="1450" priority="6121">
      <formula xml:space="preserve"> $P$1 = "constraint"</formula>
    </cfRule>
  </conditionalFormatting>
  <conditionalFormatting sqref="P412">
    <cfRule type="expression" dxfId="1449" priority="5857">
      <formula xml:space="preserve"> $P$1 = "constraint"</formula>
    </cfRule>
  </conditionalFormatting>
  <conditionalFormatting sqref="P413">
    <cfRule type="expression" dxfId="1448" priority="5679">
      <formula xml:space="preserve"> $P$1 = "constraint"</formula>
    </cfRule>
  </conditionalFormatting>
  <conditionalFormatting sqref="P414">
    <cfRule type="expression" dxfId="1447" priority="6090">
      <formula xml:space="preserve"> $P$1 = "constraint"</formula>
    </cfRule>
  </conditionalFormatting>
  <conditionalFormatting sqref="P415">
    <cfRule type="expression" dxfId="1446" priority="6059">
      <formula xml:space="preserve"> $P$1 = "constraint"</formula>
    </cfRule>
  </conditionalFormatting>
  <conditionalFormatting sqref="P416">
    <cfRule type="expression" dxfId="1445" priority="3369">
      <formula xml:space="preserve"> $P$1 = "constraint"</formula>
    </cfRule>
  </conditionalFormatting>
  <conditionalFormatting sqref="P417">
    <cfRule type="expression" dxfId="1444" priority="3249">
      <formula xml:space="preserve"> $P$1 = "constraint"</formula>
    </cfRule>
  </conditionalFormatting>
  <conditionalFormatting sqref="P418">
    <cfRule type="expression" dxfId="1443" priority="3218">
      <formula xml:space="preserve"> $P$1 = "constraint"</formula>
    </cfRule>
  </conditionalFormatting>
  <conditionalFormatting sqref="P419">
    <cfRule type="expression" dxfId="1442" priority="3311">
      <formula xml:space="preserve"> $P$1 = "constraint"</formula>
    </cfRule>
  </conditionalFormatting>
  <conditionalFormatting sqref="P420">
    <cfRule type="expression" dxfId="1441" priority="3280">
      <formula xml:space="preserve"> $P$1 = "constraint"</formula>
    </cfRule>
  </conditionalFormatting>
  <conditionalFormatting sqref="P421:P425 P358:P360 P372:P373 P496:P503 P454:P456 P448 P509:P521 P486:P494 P557:P558 P393">
    <cfRule type="expression" dxfId="1440" priority="6861">
      <formula xml:space="preserve"> $P$1 = "constraint"</formula>
    </cfRule>
  </conditionalFormatting>
  <conditionalFormatting sqref="P426:P427">
    <cfRule type="expression" dxfId="1439" priority="6586">
      <formula xml:space="preserve"> $P$1 = "constraint"</formula>
    </cfRule>
  </conditionalFormatting>
  <conditionalFormatting sqref="P428:P431">
    <cfRule type="expression" dxfId="1438" priority="6596">
      <formula xml:space="preserve"> $P$1 = "constraint"</formula>
    </cfRule>
  </conditionalFormatting>
  <conditionalFormatting sqref="P432">
    <cfRule type="expression" dxfId="1437" priority="6591">
      <formula xml:space="preserve"> $P$1 = "constraint"</formula>
    </cfRule>
  </conditionalFormatting>
  <conditionalFormatting sqref="P433:P436">
    <cfRule type="expression" dxfId="1436" priority="6602">
      <formula xml:space="preserve"> $P$1 = "constraint"</formula>
    </cfRule>
  </conditionalFormatting>
  <conditionalFormatting sqref="P437">
    <cfRule type="expression" dxfId="1435" priority="6836">
      <formula xml:space="preserve"> $P$1 = "constraint"</formula>
    </cfRule>
  </conditionalFormatting>
  <conditionalFormatting sqref="P438">
    <cfRule type="expression" dxfId="1434" priority="6521">
      <formula xml:space="preserve"> $P$1 = "constraint"</formula>
    </cfRule>
  </conditionalFormatting>
  <conditionalFormatting sqref="P439:P442">
    <cfRule type="expression" dxfId="1433" priority="6531">
      <formula xml:space="preserve"> $P$1 = "constraint"</formula>
    </cfRule>
  </conditionalFormatting>
  <conditionalFormatting sqref="P443">
    <cfRule type="expression" dxfId="1432" priority="6526">
      <formula xml:space="preserve"> $P$1 = "constraint"</formula>
    </cfRule>
  </conditionalFormatting>
  <conditionalFormatting sqref="P444:P447">
    <cfRule type="expression" dxfId="1431" priority="6537">
      <formula xml:space="preserve"> $P$1 = "constraint"</formula>
    </cfRule>
  </conditionalFormatting>
  <conditionalFormatting sqref="P449:P452">
    <cfRule type="expression" dxfId="1430" priority="6846">
      <formula xml:space="preserve"> $P$1 = "constraint"</formula>
    </cfRule>
  </conditionalFormatting>
  <conditionalFormatting sqref="P453">
    <cfRule type="expression" dxfId="1429" priority="6841">
      <formula xml:space="preserve"> $P$1 = "constraint"</formula>
    </cfRule>
  </conditionalFormatting>
  <conditionalFormatting sqref="P457">
    <cfRule type="expression" dxfId="1428" priority="6347">
      <formula xml:space="preserve"> $P$1 = "constraint"</formula>
    </cfRule>
  </conditionalFormatting>
  <conditionalFormatting sqref="P458">
    <cfRule type="expression" dxfId="1427" priority="5636">
      <formula xml:space="preserve"> $P$1 = "constraint"</formula>
    </cfRule>
  </conditionalFormatting>
  <conditionalFormatting sqref="P459">
    <cfRule type="expression" dxfId="1426" priority="5119">
      <formula xml:space="preserve"> $P$1 = "constraint"</formula>
    </cfRule>
  </conditionalFormatting>
  <conditionalFormatting sqref="P460">
    <cfRule type="expression" dxfId="1425" priority="5098">
      <formula xml:space="preserve"> $P$1 = "constraint"</formula>
    </cfRule>
  </conditionalFormatting>
  <conditionalFormatting sqref="P461">
    <cfRule type="expression" dxfId="1424" priority="5330">
      <formula xml:space="preserve"> $P$1 = "constraint"</formula>
    </cfRule>
  </conditionalFormatting>
  <conditionalFormatting sqref="P462">
    <cfRule type="expression" dxfId="1423" priority="5071">
      <formula xml:space="preserve"> $P$1 = "constraint"</formula>
    </cfRule>
  </conditionalFormatting>
  <conditionalFormatting sqref="P463">
    <cfRule type="expression" dxfId="1422" priority="5609">
      <formula xml:space="preserve"> $P$1 = "constraint"</formula>
    </cfRule>
  </conditionalFormatting>
  <conditionalFormatting sqref="P464">
    <cfRule type="expression" dxfId="1421" priority="5578">
      <formula xml:space="preserve"> $P$1 = "constraint"</formula>
    </cfRule>
  </conditionalFormatting>
  <conditionalFormatting sqref="P465">
    <cfRule type="expression" dxfId="1420" priority="5547">
      <formula xml:space="preserve"> $P$1 = "constraint"</formula>
    </cfRule>
  </conditionalFormatting>
  <conditionalFormatting sqref="P466">
    <cfRule type="expression" dxfId="1419" priority="3726">
      <formula xml:space="preserve"> $P$1 = "constraint"</formula>
    </cfRule>
  </conditionalFormatting>
  <conditionalFormatting sqref="P467">
    <cfRule type="expression" dxfId="1418" priority="3688">
      <formula xml:space="preserve"> $P$1 = "constraint"</formula>
    </cfRule>
  </conditionalFormatting>
  <conditionalFormatting sqref="P468">
    <cfRule type="expression" dxfId="1417" priority="5299">
      <formula xml:space="preserve"> $P$1 = "constraint"</formula>
    </cfRule>
  </conditionalFormatting>
  <conditionalFormatting sqref="P469">
    <cfRule type="expression" dxfId="1416" priority="5144">
      <formula xml:space="preserve"> $P$1 = "constraint"</formula>
    </cfRule>
  </conditionalFormatting>
  <conditionalFormatting sqref="P470">
    <cfRule type="expression" dxfId="1415" priority="5516">
      <formula xml:space="preserve"> $P$1 = "constraint"</formula>
    </cfRule>
  </conditionalFormatting>
  <conditionalFormatting sqref="P471">
    <cfRule type="expression" dxfId="1414" priority="5485">
      <formula xml:space="preserve"> $P$1 = "constraint"</formula>
    </cfRule>
  </conditionalFormatting>
  <conditionalFormatting sqref="P472">
    <cfRule type="expression" dxfId="1413" priority="5268">
      <formula xml:space="preserve"> $P$1 = "constraint"</formula>
    </cfRule>
  </conditionalFormatting>
  <conditionalFormatting sqref="P473">
    <cfRule type="expression" dxfId="1412" priority="5175">
      <formula xml:space="preserve"> $P$1 = "constraint"</formula>
    </cfRule>
  </conditionalFormatting>
  <conditionalFormatting sqref="P474">
    <cfRule type="expression" dxfId="1411" priority="5237">
      <formula xml:space="preserve"> $P$1 = "constraint"</formula>
    </cfRule>
  </conditionalFormatting>
  <conditionalFormatting sqref="P475">
    <cfRule type="expression" dxfId="1410" priority="5454">
      <formula xml:space="preserve"> $P$1 = "constraint"</formula>
    </cfRule>
  </conditionalFormatting>
  <conditionalFormatting sqref="P476">
    <cfRule type="expression" dxfId="1409" priority="5423">
      <formula xml:space="preserve"> $P$1 = "constraint"</formula>
    </cfRule>
  </conditionalFormatting>
  <conditionalFormatting sqref="P477">
    <cfRule type="expression" dxfId="1408" priority="5206">
      <formula xml:space="preserve"> $P$1 = "constraint"</formula>
    </cfRule>
  </conditionalFormatting>
  <conditionalFormatting sqref="P478">
    <cfRule type="expression" dxfId="1407" priority="5040">
      <formula xml:space="preserve"> $P$1 = "constraint"</formula>
    </cfRule>
  </conditionalFormatting>
  <conditionalFormatting sqref="P479">
    <cfRule type="expression" dxfId="1406" priority="5392">
      <formula xml:space="preserve"> $P$1 = "constraint"</formula>
    </cfRule>
  </conditionalFormatting>
  <conditionalFormatting sqref="P480">
    <cfRule type="expression" dxfId="1405" priority="5361">
      <formula xml:space="preserve"> $P$1 = "constraint"</formula>
    </cfRule>
  </conditionalFormatting>
  <conditionalFormatting sqref="P481">
    <cfRule type="expression" dxfId="1404" priority="3644">
      <formula xml:space="preserve"> $P$1 = "constraint"</formula>
    </cfRule>
  </conditionalFormatting>
  <conditionalFormatting sqref="P482">
    <cfRule type="expression" dxfId="1403" priority="3502">
      <formula xml:space="preserve"> $P$1 = "constraint"</formula>
    </cfRule>
  </conditionalFormatting>
  <conditionalFormatting sqref="P483">
    <cfRule type="expression" dxfId="1402" priority="3471">
      <formula xml:space="preserve"> $P$1 = "constraint"</formula>
    </cfRule>
  </conditionalFormatting>
  <conditionalFormatting sqref="P484">
    <cfRule type="expression" dxfId="1401" priority="3564">
      <formula xml:space="preserve"> $P$1 = "constraint"</formula>
    </cfRule>
  </conditionalFormatting>
  <conditionalFormatting sqref="P485">
    <cfRule type="expression" dxfId="1400" priority="3533">
      <formula xml:space="preserve"> $P$1 = "constraint"</formula>
    </cfRule>
  </conditionalFormatting>
  <conditionalFormatting sqref="P495">
    <cfRule type="expression" dxfId="1399" priority="6855">
      <formula xml:space="preserve"> $P$1 = "constraint"</formula>
    </cfRule>
  </conditionalFormatting>
  <conditionalFormatting sqref="P504:P507">
    <cfRule type="expression" dxfId="1398" priority="6656">
      <formula xml:space="preserve"> $P$1 = "constraint"</formula>
    </cfRule>
  </conditionalFormatting>
  <conditionalFormatting sqref="P508">
    <cfRule type="expression" dxfId="1397" priority="6651">
      <formula xml:space="preserve"> $P$1 = "constraint"</formula>
    </cfRule>
  </conditionalFormatting>
  <conditionalFormatting sqref="P522">
    <cfRule type="expression" dxfId="1396" priority="6019">
      <formula xml:space="preserve"> $P$1 = "constraint"</formula>
    </cfRule>
  </conditionalFormatting>
  <conditionalFormatting sqref="P523">
    <cfRule type="expression" dxfId="1395" priority="4653">
      <formula xml:space="preserve"> $P$1 = "constraint"</formula>
    </cfRule>
  </conditionalFormatting>
  <conditionalFormatting sqref="P524">
    <cfRule type="expression" dxfId="1394" priority="5015">
      <formula xml:space="preserve"> $P$1 = "constraint"</formula>
    </cfRule>
  </conditionalFormatting>
  <conditionalFormatting sqref="P525">
    <cfRule type="expression" dxfId="1393" priority="4735">
      <formula xml:space="preserve"> $P$1 = "constraint"</formula>
    </cfRule>
  </conditionalFormatting>
  <conditionalFormatting sqref="P526">
    <cfRule type="expression" dxfId="1392" priority="4681">
      <formula xml:space="preserve"> $P$1 = "constraint"</formula>
    </cfRule>
  </conditionalFormatting>
  <conditionalFormatting sqref="P527">
    <cfRule type="expression" dxfId="1391" priority="4628">
      <formula xml:space="preserve"> $P$1 = "constraint"</formula>
    </cfRule>
  </conditionalFormatting>
  <conditionalFormatting sqref="P528">
    <cfRule type="expression" dxfId="1390" priority="4657">
      <formula xml:space="preserve"> $P$1 = "constraint"</formula>
    </cfRule>
  </conditionalFormatting>
  <conditionalFormatting sqref="P529">
    <cfRule type="expression" dxfId="1389" priority="4990">
      <formula xml:space="preserve"> $P$1 = "constraint"</formula>
    </cfRule>
  </conditionalFormatting>
  <conditionalFormatting sqref="P530">
    <cfRule type="expression" dxfId="1388" priority="4961">
      <formula xml:space="preserve"> $P$1 = "constraint"</formula>
    </cfRule>
  </conditionalFormatting>
  <conditionalFormatting sqref="P531">
    <cfRule type="expression" dxfId="1387" priority="3826">
      <formula xml:space="preserve"> $P$1 = "constraint"</formula>
    </cfRule>
  </conditionalFormatting>
  <conditionalFormatting sqref="P532">
    <cfRule type="expression" dxfId="1386" priority="4599">
      <formula xml:space="preserve"> $P$1 = "constraint"</formula>
    </cfRule>
  </conditionalFormatting>
  <conditionalFormatting sqref="P533">
    <cfRule type="expression" dxfId="1385" priority="3764">
      <formula xml:space="preserve"> $P$1 = "constraint"</formula>
    </cfRule>
  </conditionalFormatting>
  <conditionalFormatting sqref="P534">
    <cfRule type="expression" dxfId="1384" priority="4816">
      <formula xml:space="preserve"> $P$1 = "constraint"</formula>
    </cfRule>
  </conditionalFormatting>
  <conditionalFormatting sqref="P535">
    <cfRule type="expression" dxfId="1383" priority="4758">
      <formula xml:space="preserve"> $P$1 = "constraint"</formula>
    </cfRule>
  </conditionalFormatting>
  <conditionalFormatting sqref="P536">
    <cfRule type="expression" dxfId="1382" priority="4932">
      <formula xml:space="preserve"> $P$1 = "constraint"</formula>
    </cfRule>
  </conditionalFormatting>
  <conditionalFormatting sqref="P537">
    <cfRule type="expression" dxfId="1381" priority="4570">
      <formula xml:space="preserve"> $P$1 = "constraint"</formula>
    </cfRule>
  </conditionalFormatting>
  <conditionalFormatting sqref="P538">
    <cfRule type="expression" dxfId="1380" priority="4541">
      <formula xml:space="preserve"> $P$1 = "constraint"</formula>
    </cfRule>
  </conditionalFormatting>
  <conditionalFormatting sqref="P539">
    <cfRule type="expression" dxfId="1379" priority="4512">
      <formula xml:space="preserve"> $P$1 = "constraint"</formula>
    </cfRule>
  </conditionalFormatting>
  <conditionalFormatting sqref="P540">
    <cfRule type="expression" dxfId="1378" priority="4903">
      <formula xml:space="preserve"> $P$1 = "constraint"</formula>
    </cfRule>
  </conditionalFormatting>
  <conditionalFormatting sqref="P541">
    <cfRule type="expression" dxfId="1377" priority="4874">
      <formula xml:space="preserve"> $P$1 = "constraint"</formula>
    </cfRule>
  </conditionalFormatting>
  <conditionalFormatting sqref="P542">
    <cfRule type="expression" dxfId="1376" priority="4396">
      <formula xml:space="preserve"> $P$1 = "constraint"</formula>
    </cfRule>
  </conditionalFormatting>
  <conditionalFormatting sqref="P543">
    <cfRule type="expression" dxfId="1375" priority="4787">
      <formula xml:space="preserve"> $P$1 = "constraint"</formula>
    </cfRule>
  </conditionalFormatting>
  <conditionalFormatting sqref="P544">
    <cfRule type="expression" dxfId="1374" priority="4710">
      <formula xml:space="preserve"> $P$1 = "constraint"</formula>
    </cfRule>
  </conditionalFormatting>
  <conditionalFormatting sqref="P545">
    <cfRule type="expression" dxfId="1373" priority="4845">
      <formula xml:space="preserve"> $P$1 = "constraint"</formula>
    </cfRule>
  </conditionalFormatting>
  <conditionalFormatting sqref="P546">
    <cfRule type="expression" dxfId="1372" priority="4483">
      <formula xml:space="preserve"> $P$1 = "constraint"</formula>
    </cfRule>
  </conditionalFormatting>
  <conditionalFormatting sqref="P547">
    <cfRule type="expression" dxfId="1371" priority="4454">
      <formula xml:space="preserve"> $P$1 = "constraint"</formula>
    </cfRule>
  </conditionalFormatting>
  <conditionalFormatting sqref="P548">
    <cfRule type="expression" dxfId="1370" priority="4425">
      <formula xml:space="preserve"> $P$1 = "constraint"</formula>
    </cfRule>
  </conditionalFormatting>
  <conditionalFormatting sqref="P549">
    <cfRule type="expression" dxfId="1369" priority="4154">
      <formula xml:space="preserve"> $P$1 = "constraint"</formula>
    </cfRule>
  </conditionalFormatting>
  <conditionalFormatting sqref="P550">
    <cfRule type="expression" dxfId="1368" priority="4095">
      <formula xml:space="preserve"> $P$1 = "constraint"</formula>
    </cfRule>
  </conditionalFormatting>
  <conditionalFormatting sqref="P551">
    <cfRule type="expression" dxfId="1367" priority="3986">
      <formula xml:space="preserve"> $P$1 = "constraint"</formula>
    </cfRule>
  </conditionalFormatting>
  <conditionalFormatting sqref="P552">
    <cfRule type="expression" dxfId="1366" priority="3957">
      <formula xml:space="preserve"> $P$1 = "constraint"</formula>
    </cfRule>
  </conditionalFormatting>
  <conditionalFormatting sqref="P553">
    <cfRule type="expression" dxfId="1365" priority="4015">
      <formula xml:space="preserve"> $P$1 = "constraint"</formula>
    </cfRule>
  </conditionalFormatting>
  <conditionalFormatting sqref="P554">
    <cfRule type="expression" dxfId="1364" priority="3928">
      <formula xml:space="preserve"> $P$1 = "constraint"</formula>
    </cfRule>
  </conditionalFormatting>
  <conditionalFormatting sqref="P555">
    <cfRule type="expression" dxfId="1363" priority="3899">
      <formula xml:space="preserve"> $P$1 = "constraint"</formula>
    </cfRule>
  </conditionalFormatting>
  <conditionalFormatting sqref="P556">
    <cfRule type="expression" dxfId="1362" priority="3870">
      <formula xml:space="preserve"> $P$1 = "constraint"</formula>
    </cfRule>
  </conditionalFormatting>
  <conditionalFormatting sqref="P563">
    <cfRule type="expression" dxfId="1361" priority="3184">
      <formula xml:space="preserve"> $P$1 = "constraint"</formula>
    </cfRule>
  </conditionalFormatting>
  <conditionalFormatting sqref="P579:P580">
    <cfRule type="expression" dxfId="1360" priority="3179">
      <formula xml:space="preserve"> $P$1 = "constraint"</formula>
    </cfRule>
  </conditionalFormatting>
  <conditionalFormatting sqref="P583">
    <cfRule type="expression" dxfId="1359" priority="3175">
      <formula xml:space="preserve"> $P$1 = "constraint"</formula>
    </cfRule>
  </conditionalFormatting>
  <conditionalFormatting sqref="P584 P586:P587 P589 P592 P594 P714 P717:P719 P788:P792 P739:P755 P656:P666 P704:P708 P671:P672 P802:P807 P810:P831 P839:P840 P564:P578 P606:P607 P559:P562 P580:P582 P596:P603 P610:P622 P624 P626:P643">
    <cfRule type="expression" dxfId="1358" priority="3190">
      <formula xml:space="preserve"> $P$1 = "constraint"</formula>
    </cfRule>
  </conditionalFormatting>
  <conditionalFormatting sqref="P585">
    <cfRule type="expression" dxfId="1357" priority="3169">
      <formula xml:space="preserve"> $P$1 = "constraint"</formula>
    </cfRule>
  </conditionalFormatting>
  <conditionalFormatting sqref="P588">
    <cfRule type="expression" dxfId="1356" priority="3163">
      <formula xml:space="preserve"> $P$1 = "constraint"</formula>
    </cfRule>
  </conditionalFormatting>
  <conditionalFormatting sqref="P590">
    <cfRule type="expression" dxfId="1355" priority="3157">
      <formula xml:space="preserve"> $P$1 = "constraint"</formula>
    </cfRule>
  </conditionalFormatting>
  <conditionalFormatting sqref="P591">
    <cfRule type="expression" dxfId="1354" priority="3151">
      <formula xml:space="preserve"> $P$1 = "constraint"</formula>
    </cfRule>
  </conditionalFormatting>
  <conditionalFormatting sqref="P593">
    <cfRule type="expression" dxfId="1353" priority="3145">
      <formula xml:space="preserve"> $P$1 = "constraint"</formula>
    </cfRule>
  </conditionalFormatting>
  <conditionalFormatting sqref="P595">
    <cfRule type="expression" dxfId="1352" priority="3139">
      <formula xml:space="preserve"> $P$1 = "constraint"</formula>
    </cfRule>
  </conditionalFormatting>
  <conditionalFormatting sqref="P604:P605">
    <cfRule type="expression" dxfId="1351" priority="2146">
      <formula xml:space="preserve"> $P$1 = "constraint"</formula>
    </cfRule>
  </conditionalFormatting>
  <conditionalFormatting sqref="P608">
    <cfRule type="expression" dxfId="1350" priority="2051">
      <formula xml:space="preserve"> $P$1 = "constraint"</formula>
    </cfRule>
  </conditionalFormatting>
  <conditionalFormatting sqref="P609">
    <cfRule type="expression" dxfId="1349" priority="2046">
      <formula xml:space="preserve"> $P$1 = "constraint"</formula>
    </cfRule>
  </conditionalFormatting>
  <conditionalFormatting sqref="P623:P624">
    <cfRule type="expression" dxfId="1348" priority="2041">
      <formula xml:space="preserve"> $P$1 = "constraint"</formula>
    </cfRule>
  </conditionalFormatting>
  <conditionalFormatting sqref="P625">
    <cfRule type="expression" dxfId="1347" priority="2009">
      <formula xml:space="preserve"> $P$1 = "constraint"</formula>
    </cfRule>
  </conditionalFormatting>
  <conditionalFormatting sqref="P634:P636">
    <cfRule type="expression" dxfId="1346" priority="2021">
      <formula xml:space="preserve"> $P$1 = "constraint"</formula>
    </cfRule>
  </conditionalFormatting>
  <conditionalFormatting sqref="P644:P654">
    <cfRule type="expression" dxfId="1345" priority="3114">
      <formula xml:space="preserve"> $P$1 = "constraint"</formula>
    </cfRule>
  </conditionalFormatting>
  <conditionalFormatting sqref="P655">
    <cfRule type="expression" dxfId="1344" priority="3108">
      <formula xml:space="preserve"> $P$1 = "constraint"</formula>
    </cfRule>
  </conditionalFormatting>
  <conditionalFormatting sqref="P667:P668">
    <cfRule type="expression" dxfId="1343" priority="2522">
      <formula xml:space="preserve"> $P$1 = "constraint"</formula>
    </cfRule>
  </conditionalFormatting>
  <conditionalFormatting sqref="P669:P670">
    <cfRule type="expression" dxfId="1342" priority="2507">
      <formula xml:space="preserve"> $P$1 = "constraint"</formula>
    </cfRule>
  </conditionalFormatting>
  <conditionalFormatting sqref="P673:P679">
    <cfRule type="expression" dxfId="1341" priority="2557">
      <formula xml:space="preserve"> $P$1 = "constraint"</formula>
    </cfRule>
  </conditionalFormatting>
  <conditionalFormatting sqref="P680 P682:P691">
    <cfRule type="expression" dxfId="1340" priority="1833">
      <formula xml:space="preserve"> $P$1 = "constraint"</formula>
    </cfRule>
  </conditionalFormatting>
  <conditionalFormatting sqref="P681">
    <cfRule type="expression" dxfId="1339" priority="1762">
      <formula xml:space="preserve"> $P$1 = "constraint"</formula>
    </cfRule>
  </conditionalFormatting>
  <conditionalFormatting sqref="P692">
    <cfRule type="expression" dxfId="1338" priority="1827">
      <formula xml:space="preserve"> $P$1 = "constraint"</formula>
    </cfRule>
  </conditionalFormatting>
  <conditionalFormatting sqref="P693">
    <cfRule type="expression" dxfId="1337" priority="1839">
      <formula xml:space="preserve"> $P$1 = "constraint"</formula>
    </cfRule>
  </conditionalFormatting>
  <conditionalFormatting sqref="P694:P698">
    <cfRule type="expression" dxfId="1336" priority="1796">
      <formula xml:space="preserve"> $P$1 = "constraint"</formula>
    </cfRule>
  </conditionalFormatting>
  <conditionalFormatting sqref="P699">
    <cfRule type="expression" dxfId="1335" priority="1695">
      <formula xml:space="preserve"> $P$1 = "constraint"</formula>
    </cfRule>
  </conditionalFormatting>
  <conditionalFormatting sqref="P700">
    <cfRule type="expression" dxfId="1334" priority="1668">
      <formula xml:space="preserve"> $P$1 = "constraint"</formula>
    </cfRule>
  </conditionalFormatting>
  <conditionalFormatting sqref="P701">
    <cfRule type="expression" dxfId="1333" priority="1634">
      <formula xml:space="preserve"> $P$1 = "constraint"</formula>
    </cfRule>
  </conditionalFormatting>
  <conditionalFormatting sqref="P702">
    <cfRule type="expression" dxfId="1332" priority="1595">
      <formula xml:space="preserve"> $P$1 = "constraint"</formula>
    </cfRule>
  </conditionalFormatting>
  <conditionalFormatting sqref="P703">
    <cfRule type="expression" dxfId="1331" priority="1547">
      <formula xml:space="preserve"> $P$1 = "constraint"</formula>
    </cfRule>
  </conditionalFormatting>
  <conditionalFormatting sqref="P709:P710">
    <cfRule type="expression" dxfId="1330" priority="3102">
      <formula xml:space="preserve"> $P$1 = "constraint"</formula>
    </cfRule>
  </conditionalFormatting>
  <conditionalFormatting sqref="P711">
    <cfRule type="expression" dxfId="1329" priority="3082">
      <formula xml:space="preserve"> $P$1 = "constraint"</formula>
    </cfRule>
  </conditionalFormatting>
  <conditionalFormatting sqref="P712">
    <cfRule type="expression" dxfId="1328" priority="3076">
      <formula xml:space="preserve"> $P$1 = "constraint"</formula>
    </cfRule>
  </conditionalFormatting>
  <conditionalFormatting sqref="P713">
    <cfRule type="expression" dxfId="1327" priority="3088">
      <formula xml:space="preserve"> $P$1 = "constraint"</formula>
    </cfRule>
  </conditionalFormatting>
  <conditionalFormatting sqref="P715:P716">
    <cfRule type="expression" dxfId="1326" priority="3092">
      <formula xml:space="preserve"> $P$1 = "constraint"</formula>
    </cfRule>
  </conditionalFormatting>
  <conditionalFormatting sqref="P720">
    <cfRule type="expression" dxfId="1325" priority="3098">
      <formula xml:space="preserve"> $P$1 = "constraint"</formula>
    </cfRule>
  </conditionalFormatting>
  <conditionalFormatting sqref="P721">
    <cfRule type="expression" dxfId="1324" priority="2811">
      <formula xml:space="preserve"> $P$1 = "constraint"</formula>
    </cfRule>
  </conditionalFormatting>
  <conditionalFormatting sqref="P722">
    <cfRule type="expression" dxfId="1323" priority="3134">
      <formula xml:space="preserve"> $P$1 = "constraint"</formula>
    </cfRule>
  </conditionalFormatting>
  <conditionalFormatting sqref="P723">
    <cfRule type="expression" dxfId="1322" priority="1517">
      <formula xml:space="preserve"> $P$1 = "constraint"</formula>
    </cfRule>
  </conditionalFormatting>
  <conditionalFormatting sqref="P724">
    <cfRule type="expression" dxfId="1321" priority="1497">
      <formula xml:space="preserve"> $P$1 = "constraint"</formula>
    </cfRule>
  </conditionalFormatting>
  <conditionalFormatting sqref="P725">
    <cfRule type="expression" dxfId="1320" priority="1491">
      <formula xml:space="preserve"> $P$1 = "constraint"</formula>
    </cfRule>
  </conditionalFormatting>
  <conditionalFormatting sqref="P726">
    <cfRule type="expression" dxfId="1319" priority="1503">
      <formula xml:space="preserve"> $P$1 = "constraint"</formula>
    </cfRule>
  </conditionalFormatting>
  <conditionalFormatting sqref="P727 P730:P732">
    <cfRule type="expression" dxfId="1318" priority="1529">
      <formula xml:space="preserve"> $P$1 = "constraint"</formula>
    </cfRule>
  </conditionalFormatting>
  <conditionalFormatting sqref="P728:P729">
    <cfRule type="expression" dxfId="1317" priority="1507">
      <formula xml:space="preserve"> $P$1 = "constraint"</formula>
    </cfRule>
  </conditionalFormatting>
  <conditionalFormatting sqref="P733">
    <cfRule type="expression" dxfId="1316" priority="1513">
      <formula xml:space="preserve"> $P$1 = "constraint"</formula>
    </cfRule>
  </conditionalFormatting>
  <conditionalFormatting sqref="P734">
    <cfRule type="expression" dxfId="1315" priority="1485">
      <formula xml:space="preserve"> $P$1 = "constraint"</formula>
    </cfRule>
  </conditionalFormatting>
  <conditionalFormatting sqref="P735">
    <cfRule type="expression" dxfId="1314" priority="1523">
      <formula xml:space="preserve"> $P$1 = "constraint"</formula>
    </cfRule>
  </conditionalFormatting>
  <conditionalFormatting sqref="P736">
    <cfRule type="expression" dxfId="1313" priority="1420">
      <formula xml:space="preserve"> $P$1 = "constraint"</formula>
    </cfRule>
  </conditionalFormatting>
  <conditionalFormatting sqref="P737">
    <cfRule type="expression" dxfId="1312" priority="1426">
      <formula xml:space="preserve"> $P$1 = "constraint"</formula>
    </cfRule>
  </conditionalFormatting>
  <conditionalFormatting sqref="P738">
    <cfRule type="expression" dxfId="1311" priority="1398">
      <formula xml:space="preserve"> $P$1 = "constraint"</formula>
    </cfRule>
  </conditionalFormatting>
  <conditionalFormatting sqref="P756">
    <cfRule type="expression" dxfId="1310" priority="3070">
      <formula xml:space="preserve"> $P$1 = "constraint"</formula>
    </cfRule>
  </conditionalFormatting>
  <conditionalFormatting sqref="P757">
    <cfRule type="expression" dxfId="1309" priority="3128">
      <formula xml:space="preserve"> $P$1 = "constraint"</formula>
    </cfRule>
  </conditionalFormatting>
  <conditionalFormatting sqref="P758:P761">
    <cfRule type="expression" dxfId="1308" priority="3064">
      <formula xml:space="preserve"> $P$1 = "constraint"</formula>
    </cfRule>
  </conditionalFormatting>
  <conditionalFormatting sqref="P762">
    <cfRule type="expression" dxfId="1307" priority="3046">
      <formula xml:space="preserve"> $P$1 = "constraint"</formula>
    </cfRule>
  </conditionalFormatting>
  <conditionalFormatting sqref="P763">
    <cfRule type="expression" dxfId="1306" priority="2866">
      <formula xml:space="preserve"> $P$1 = "constraint"</formula>
    </cfRule>
  </conditionalFormatting>
  <conditionalFormatting sqref="P764">
    <cfRule type="expression" dxfId="1305" priority="2876">
      <formula xml:space="preserve"> $P$1 = "constraint"</formula>
    </cfRule>
  </conditionalFormatting>
  <conditionalFormatting sqref="P765">
    <cfRule type="expression" dxfId="1304" priority="2886">
      <formula xml:space="preserve"> $P$1 = "constraint"</formula>
    </cfRule>
  </conditionalFormatting>
  <conditionalFormatting sqref="P766">
    <cfRule type="expression" dxfId="1303" priority="2896">
      <formula xml:space="preserve"> $P$1 = "constraint"</formula>
    </cfRule>
  </conditionalFormatting>
  <conditionalFormatting sqref="P767">
    <cfRule type="expression" dxfId="1302" priority="2826">
      <formula xml:space="preserve"> $P$1 = "constraint"</formula>
    </cfRule>
  </conditionalFormatting>
  <conditionalFormatting sqref="P768">
    <cfRule type="expression" dxfId="1301" priority="2836">
      <formula xml:space="preserve"> $P$1 = "constraint"</formula>
    </cfRule>
  </conditionalFormatting>
  <conditionalFormatting sqref="P769">
    <cfRule type="expression" dxfId="1300" priority="2846">
      <formula xml:space="preserve"> $P$1 = "constraint"</formula>
    </cfRule>
  </conditionalFormatting>
  <conditionalFormatting sqref="P770">
    <cfRule type="expression" dxfId="1299" priority="2856">
      <formula xml:space="preserve"> $P$1 = "constraint"</formula>
    </cfRule>
  </conditionalFormatting>
  <conditionalFormatting sqref="P771">
    <cfRule type="expression" dxfId="1298" priority="2906">
      <formula xml:space="preserve"> $P$1 = "constraint"</formula>
    </cfRule>
  </conditionalFormatting>
  <conditionalFormatting sqref="P772">
    <cfRule type="expression" dxfId="1297" priority="2916">
      <formula xml:space="preserve"> $P$1 = "constraint"</formula>
    </cfRule>
  </conditionalFormatting>
  <conditionalFormatting sqref="P773">
    <cfRule type="expression" dxfId="1296" priority="2926">
      <formula xml:space="preserve"> $P$1 = "constraint"</formula>
    </cfRule>
  </conditionalFormatting>
  <conditionalFormatting sqref="P774">
    <cfRule type="expression" dxfId="1295" priority="2936">
      <formula xml:space="preserve"> $P$1 = "constraint"</formula>
    </cfRule>
  </conditionalFormatting>
  <conditionalFormatting sqref="P775">
    <cfRule type="expression" dxfId="1294" priority="2986">
      <formula xml:space="preserve"> $P$1 = "constraint"</formula>
    </cfRule>
  </conditionalFormatting>
  <conditionalFormatting sqref="P776">
    <cfRule type="expression" dxfId="1293" priority="2996">
      <formula xml:space="preserve"> $P$1 = "constraint"</formula>
    </cfRule>
  </conditionalFormatting>
  <conditionalFormatting sqref="P777">
    <cfRule type="expression" dxfId="1292" priority="3006">
      <formula xml:space="preserve"> $P$1 = "constraint"</formula>
    </cfRule>
  </conditionalFormatting>
  <conditionalFormatting sqref="P778">
    <cfRule type="expression" dxfId="1291" priority="3016">
      <formula xml:space="preserve"> $P$1 = "constraint"</formula>
    </cfRule>
  </conditionalFormatting>
  <conditionalFormatting sqref="P779">
    <cfRule type="expression" dxfId="1290" priority="2946">
      <formula xml:space="preserve"> $P$1 = "constraint"</formula>
    </cfRule>
  </conditionalFormatting>
  <conditionalFormatting sqref="P780">
    <cfRule type="expression" dxfId="1289" priority="2956">
      <formula xml:space="preserve"> $P$1 = "constraint"</formula>
    </cfRule>
  </conditionalFormatting>
  <conditionalFormatting sqref="P781">
    <cfRule type="expression" dxfId="1288" priority="2966">
      <formula xml:space="preserve"> $P$1 = "constraint"</formula>
    </cfRule>
  </conditionalFormatting>
  <conditionalFormatting sqref="P782">
    <cfRule type="expression" dxfId="1287" priority="2976">
      <formula xml:space="preserve"> $P$1 = "constraint"</formula>
    </cfRule>
  </conditionalFormatting>
  <conditionalFormatting sqref="P783">
    <cfRule type="expression" dxfId="1286" priority="3026">
      <formula xml:space="preserve"> $P$1 = "constraint"</formula>
    </cfRule>
  </conditionalFormatting>
  <conditionalFormatting sqref="P784:P787">
    <cfRule type="expression" dxfId="1285" priority="3036">
      <formula xml:space="preserve"> $P$1 = "constraint"</formula>
    </cfRule>
  </conditionalFormatting>
  <conditionalFormatting sqref="P793:P800">
    <cfRule type="expression" dxfId="1284" priority="3056">
      <formula xml:space="preserve"> $P$1 = "constraint"</formula>
    </cfRule>
  </conditionalFormatting>
  <conditionalFormatting sqref="P801">
    <cfRule type="expression" dxfId="1283" priority="3052">
      <formula xml:space="preserve"> $P$1 = "constraint"</formula>
    </cfRule>
  </conditionalFormatting>
  <conditionalFormatting sqref="P808:P809">
    <cfRule type="expression" dxfId="1282" priority="2473">
      <formula xml:space="preserve"> $P$1 = "constraint"</formula>
    </cfRule>
  </conditionalFormatting>
  <conditionalFormatting sqref="P832:P836">
    <cfRule type="expression" dxfId="1281" priority="2374">
      <formula xml:space="preserve"> $P$1 = "constraint"</formula>
    </cfRule>
  </conditionalFormatting>
  <conditionalFormatting sqref="P837">
    <cfRule type="expression" dxfId="1280" priority="2360">
      <formula xml:space="preserve"> $P$1 = "constraint"</formula>
    </cfRule>
  </conditionalFormatting>
  <conditionalFormatting sqref="P838">
    <cfRule type="expression" dxfId="1279" priority="2369">
      <formula xml:space="preserve"> $P$1 = "constraint"</formula>
    </cfRule>
  </conditionalFormatting>
  <conditionalFormatting sqref="P850">
    <cfRule type="expression" dxfId="1278" priority="1147">
      <formula xml:space="preserve"> $P$1 = "constraint"</formula>
    </cfRule>
  </conditionalFormatting>
  <conditionalFormatting sqref="P851">
    <cfRule type="expression" dxfId="1277" priority="1152">
      <formula xml:space="preserve"> $P$1 = "constraint"</formula>
    </cfRule>
  </conditionalFormatting>
  <conditionalFormatting sqref="P852">
    <cfRule type="expression" dxfId="1276" priority="34">
      <formula xml:space="preserve"> $P$1 = "constraint"</formula>
    </cfRule>
  </conditionalFormatting>
  <conditionalFormatting sqref="P856">
    <cfRule type="expression" dxfId="1275" priority="1230">
      <formula xml:space="preserve"> $P$1 = "constraint"</formula>
    </cfRule>
  </conditionalFormatting>
  <conditionalFormatting sqref="P858:P862">
    <cfRule type="expression" dxfId="1274" priority="1186">
      <formula xml:space="preserve"> $P$1 = "constraint"</formula>
    </cfRule>
  </conditionalFormatting>
  <conditionalFormatting sqref="P863:P865">
    <cfRule type="expression" dxfId="1273" priority="1181">
      <formula xml:space="preserve"> $P$1 = "constraint"</formula>
    </cfRule>
  </conditionalFormatting>
  <conditionalFormatting sqref="P871:P872">
    <cfRule type="expression" dxfId="1272" priority="1291">
      <formula xml:space="preserve"> $P$1 = "constraint"</formula>
    </cfRule>
  </conditionalFormatting>
  <conditionalFormatting sqref="P873:P907 P857 P866:P870 P853:P855 P970 P1003:P1007 P998:P999 P972:P995 P841:P849 P1015:P1018 P968 P962:P964">
    <cfRule type="expression" dxfId="1271" priority="1308">
      <formula xml:space="preserve"> $P$1 = "constraint"</formula>
    </cfRule>
  </conditionalFormatting>
  <conditionalFormatting sqref="P908">
    <cfRule type="expression" dxfId="1270" priority="1287">
      <formula xml:space="preserve"> $P$1 = "constraint"</formula>
    </cfRule>
  </conditionalFormatting>
  <conditionalFormatting sqref="P909:P911">
    <cfRule type="expression" dxfId="1269" priority="1218">
      <formula xml:space="preserve"> $P$1 = "constraint"</formula>
    </cfRule>
  </conditionalFormatting>
  <conditionalFormatting sqref="P912">
    <cfRule type="expression" dxfId="1268" priority="1201">
      <formula xml:space="preserve"> $P$1 = "constraint"</formula>
    </cfRule>
  </conditionalFormatting>
  <conditionalFormatting sqref="P913:P915">
    <cfRule type="expression" dxfId="1267" priority="1210">
      <formula xml:space="preserve"> $P$1 = "constraint"</formula>
    </cfRule>
  </conditionalFormatting>
  <conditionalFormatting sqref="P916:P924">
    <cfRule type="expression" dxfId="1266" priority="1222">
      <formula xml:space="preserve"> $P$1 = "constraint"</formula>
    </cfRule>
  </conditionalFormatting>
  <conditionalFormatting sqref="P925:P927">
    <cfRule type="expression" dxfId="1265" priority="1282">
      <formula xml:space="preserve"> $P$1 = "constraint"</formula>
    </cfRule>
  </conditionalFormatting>
  <conditionalFormatting sqref="P928">
    <cfRule type="expression" dxfId="1264" priority="1269">
      <formula xml:space="preserve"> $P$1 = "constraint"</formula>
    </cfRule>
  </conditionalFormatting>
  <conditionalFormatting sqref="P929:P942">
    <cfRule type="expression" dxfId="1263" priority="1273">
      <formula xml:space="preserve"> $P$1 = "constraint"</formula>
    </cfRule>
  </conditionalFormatting>
  <conditionalFormatting sqref="P943:P952">
    <cfRule type="expression" dxfId="1262" priority="864">
      <formula xml:space="preserve"> $P$1 = "constraint"</formula>
    </cfRule>
  </conditionalFormatting>
  <conditionalFormatting sqref="P953:P954">
    <cfRule type="expression" dxfId="1261" priority="837">
      <formula xml:space="preserve"> $P$1 = "constraint"</formula>
    </cfRule>
  </conditionalFormatting>
  <conditionalFormatting sqref="P955:P956">
    <cfRule type="expression" dxfId="1260" priority="1299">
      <formula xml:space="preserve"> $P$1 = "constraint"</formula>
    </cfRule>
  </conditionalFormatting>
  <conditionalFormatting sqref="P957 S957:W957 A957 K957:N957 H957:I957 P1000 R1000:W1000 P1002 S1002:W1002 A1000:B1000 A1002 K1002:N1002 K1000:N1000 H1002:I1002 F957 F1002 D1000:I1000">
    <cfRule type="expression" dxfId="1259" priority="1001">
      <formula xml:space="preserve"> #REF! = "end repeat"</formula>
    </cfRule>
    <cfRule type="expression" dxfId="1258" priority="1000">
      <formula>$A957 = "begin repeat"</formula>
    </cfRule>
    <cfRule type="expression" dxfId="1257" priority="999">
      <formula>AND($P$1="disabled",$P957="yes")</formula>
    </cfRule>
  </conditionalFormatting>
  <conditionalFormatting sqref="P957 S957:W957 P1002 P1000 R1000:W1000 S1002:W1002">
    <cfRule type="expression" dxfId="1256" priority="1134">
      <formula>AND(#REF!="section",$A957="begin group")</formula>
    </cfRule>
    <cfRule type="expression" dxfId="1255" priority="1136">
      <formula xml:space="preserve"> $A957 = "begin group"</formula>
    </cfRule>
    <cfRule type="expression" dxfId="1254" priority="1135">
      <formula>AND(#REF! = "section",$A957 = "end group")</formula>
    </cfRule>
    <cfRule type="expression" dxfId="1253" priority="1137">
      <formula xml:space="preserve"> AND(#REF!="gg",$A957 = "end group")</formula>
    </cfRule>
  </conditionalFormatting>
  <conditionalFormatting sqref="P958">
    <cfRule type="expression" dxfId="1252" priority="748">
      <formula xml:space="preserve"> $P$1 = "constraint"</formula>
    </cfRule>
  </conditionalFormatting>
  <conditionalFormatting sqref="P959:P960">
    <cfRule type="expression" dxfId="1251" priority="741">
      <formula xml:space="preserve"> $P$1 = "constraint"</formula>
    </cfRule>
  </conditionalFormatting>
  <conditionalFormatting sqref="P961">
    <cfRule type="expression" dxfId="1250" priority="757">
      <formula xml:space="preserve"> $P$1 = "constraint"</formula>
    </cfRule>
  </conditionalFormatting>
  <conditionalFormatting sqref="P965">
    <cfRule type="expression" dxfId="1249" priority="1302">
      <formula xml:space="preserve"> $P$1 = "constraint"</formula>
    </cfRule>
  </conditionalFormatting>
  <conditionalFormatting sqref="P966">
    <cfRule type="expression" dxfId="1248" priority="732">
      <formula xml:space="preserve"> $P$1 = "constraint"</formula>
    </cfRule>
  </conditionalFormatting>
  <conditionalFormatting sqref="P969">
    <cfRule type="expression" dxfId="1247" priority="1141">
      <formula xml:space="preserve"> $P$1 = "constraint"</formula>
    </cfRule>
  </conditionalFormatting>
  <conditionalFormatting sqref="P971">
    <cfRule type="expression" dxfId="1246" priority="1295">
      <formula xml:space="preserve"> $P$1 = "constraint"</formula>
    </cfRule>
  </conditionalFormatting>
  <conditionalFormatting sqref="P996:P997">
    <cfRule type="expression" dxfId="1245" priority="817">
      <formula xml:space="preserve"> $P$1 = "constraint"</formula>
    </cfRule>
  </conditionalFormatting>
  <conditionalFormatting sqref="P1001">
    <cfRule type="expression" dxfId="1244" priority="1165">
      <formula xml:space="preserve"> $P$1 = "constraint"</formula>
    </cfRule>
  </conditionalFormatting>
  <conditionalFormatting sqref="P1008">
    <cfRule type="expression" dxfId="1243" priority="1246">
      <formula xml:space="preserve"> $P$1 = "constraint"</formula>
    </cfRule>
  </conditionalFormatting>
  <conditionalFormatting sqref="P1009">
    <cfRule type="expression" dxfId="1242" priority="1251">
      <formula xml:space="preserve"> $P$1 = "constraint"</formula>
    </cfRule>
  </conditionalFormatting>
  <conditionalFormatting sqref="P1010">
    <cfRule type="expression" dxfId="1241" priority="1256">
      <formula xml:space="preserve"> $P$1 = "constraint"</formula>
    </cfRule>
  </conditionalFormatting>
  <conditionalFormatting sqref="P1011">
    <cfRule type="expression" dxfId="1240" priority="1260">
      <formula xml:space="preserve"> $P$1 = "constraint"</formula>
    </cfRule>
  </conditionalFormatting>
  <conditionalFormatting sqref="P1012">
    <cfRule type="expression" dxfId="1239" priority="1238">
      <formula xml:space="preserve"> $P$1 = "constraint"</formula>
    </cfRule>
  </conditionalFormatting>
  <conditionalFormatting sqref="P1013:P1014">
    <cfRule type="expression" dxfId="1238" priority="1242">
      <formula xml:space="preserve"> $P$1 = "constraint"</formula>
    </cfRule>
  </conditionalFormatting>
  <conditionalFormatting sqref="Q27">
    <cfRule type="expression" dxfId="1237" priority="29882">
      <formula xml:space="preserve"> $Q$1 = "relevant"</formula>
    </cfRule>
  </conditionalFormatting>
  <conditionalFormatting sqref="Q133 O133 A133 I133 A161">
    <cfRule type="expression" dxfId="1236" priority="8769">
      <formula xml:space="preserve"> $A138 = "end repeat"</formula>
    </cfRule>
    <cfRule type="expression" dxfId="1235" priority="8768">
      <formula>$A133 = "begin repeat"</formula>
    </cfRule>
  </conditionalFormatting>
  <conditionalFormatting sqref="Q148 Q162 O148 O162 I148 A148 A176 I162 L162 E202:E204 G202:G204 E208 G207:G208">
    <cfRule type="expression" dxfId="1234" priority="8772">
      <formula xml:space="preserve"> #REF! = "end repeat"</formula>
    </cfRule>
    <cfRule type="expression" dxfId="1233" priority="8771">
      <formula>$A148 = "begin repeat"</formula>
    </cfRule>
  </conditionalFormatting>
  <conditionalFormatting sqref="Q164 O164 I164 Q166 O166 I166">
    <cfRule type="expression" dxfId="1232" priority="8806">
      <formula>$A164 = "begin repeat"</formula>
    </cfRule>
    <cfRule type="expression" dxfId="1231" priority="8807">
      <formula xml:space="preserve"> $A185 = "end repeat"</formula>
    </cfRule>
  </conditionalFormatting>
  <conditionalFormatting sqref="R1:R8 R10:R17">
    <cfRule type="expression" dxfId="1230" priority="60839">
      <formula xml:space="preserve"> $R$1 = "relevant"</formula>
    </cfRule>
  </conditionalFormatting>
  <conditionalFormatting sqref="R18:R19 T18:T19 AB18:AC19 V18:W19 M18:M20 O18:O20 B18:B20 G18:G20 G22:G23 B22:B23 O22:O23 M22:M23">
    <cfRule type="expression" dxfId="1229" priority="28590">
      <formula xml:space="preserve"> $A18 = "end group"</formula>
    </cfRule>
    <cfRule type="expression" dxfId="1228" priority="28589">
      <formula xml:space="preserve"> $A18 = "begin group"</formula>
    </cfRule>
    <cfRule type="expression" dxfId="1227" priority="28588">
      <formula>#REF!="section"</formula>
    </cfRule>
    <cfRule type="expression" dxfId="1226" priority="28587">
      <formula>AND($Z$1="disabled",#REF!="yes")</formula>
    </cfRule>
    <cfRule type="expression" dxfId="1225" priority="28591">
      <formula>$A18 = "begin repeat"</formula>
    </cfRule>
    <cfRule type="expression" dxfId="1224" priority="28592">
      <formula xml:space="preserve"> $A18 = "end repeat"</formula>
    </cfRule>
  </conditionalFormatting>
  <conditionalFormatting sqref="R34:R35">
    <cfRule type="expression" dxfId="1223" priority="30159">
      <formula xml:space="preserve"> $R$1 = "required"</formula>
    </cfRule>
  </conditionalFormatting>
  <conditionalFormatting sqref="R62:R63">
    <cfRule type="expression" dxfId="1222" priority="8872">
      <formula xml:space="preserve"> $R$1 = "relevant"</formula>
    </cfRule>
  </conditionalFormatting>
  <conditionalFormatting sqref="R64:R65">
    <cfRule type="expression" dxfId="1221" priority="8877">
      <formula xml:space="preserve"> $R$1 = "relevant"</formula>
    </cfRule>
  </conditionalFormatting>
  <conditionalFormatting sqref="R66:R67">
    <cfRule type="expression" dxfId="1220" priority="8882">
      <formula xml:space="preserve"> $R$1 = "relevant"</formula>
    </cfRule>
  </conditionalFormatting>
  <conditionalFormatting sqref="R81:R89">
    <cfRule type="expression" dxfId="1219" priority="8744">
      <formula xml:space="preserve"> $R$1 = "relevant"</formula>
    </cfRule>
  </conditionalFormatting>
  <conditionalFormatting sqref="R90:R94">
    <cfRule type="expression" dxfId="1218" priority="8731">
      <formula xml:space="preserve"> $R$1 = "relevant"</formula>
    </cfRule>
  </conditionalFormatting>
  <conditionalFormatting sqref="R104:R106 R110:R113">
    <cfRule type="expression" dxfId="1217" priority="8867">
      <formula xml:space="preserve"> $R$1 = "relevant"</formula>
    </cfRule>
  </conditionalFormatting>
  <conditionalFormatting sqref="R107:R108">
    <cfRule type="expression" dxfId="1216" priority="7931">
      <formula xml:space="preserve"> $R$1 = "relevant"</formula>
    </cfRule>
  </conditionalFormatting>
  <conditionalFormatting sqref="R109">
    <cfRule type="expression" dxfId="1215" priority="7900">
      <formula xml:space="preserve"> $R$1 = "relevant"</formula>
    </cfRule>
  </conditionalFormatting>
  <conditionalFormatting sqref="R117">
    <cfRule type="expression" dxfId="1214" priority="8237">
      <formula xml:space="preserve"> $R$1 = "relevant"</formula>
    </cfRule>
  </conditionalFormatting>
  <conditionalFormatting sqref="R118:R119">
    <cfRule type="expression" dxfId="1213" priority="8242">
      <formula xml:space="preserve"> $R$1 = "relevant"</formula>
    </cfRule>
  </conditionalFormatting>
  <conditionalFormatting sqref="R120">
    <cfRule type="expression" dxfId="1212" priority="8213">
      <formula xml:space="preserve"> $R$1 = "relevant"</formula>
    </cfRule>
  </conditionalFormatting>
  <conditionalFormatting sqref="R121:R122">
    <cfRule type="expression" dxfId="1211" priority="8196">
      <formula xml:space="preserve"> $R$1 = "relevant"</formula>
    </cfRule>
  </conditionalFormatting>
  <conditionalFormatting sqref="R126">
    <cfRule type="expression" dxfId="1210" priority="8932">
      <formula xml:space="preserve"> $R$1 = "relevant"</formula>
    </cfRule>
  </conditionalFormatting>
  <conditionalFormatting sqref="R131">
    <cfRule type="expression" dxfId="1209" priority="8310">
      <formula xml:space="preserve"> $R$1 = "relevant"</formula>
    </cfRule>
  </conditionalFormatting>
  <conditionalFormatting sqref="R132">
    <cfRule type="expression" dxfId="1208" priority="8836">
      <formula xml:space="preserve"> $R$1 = "relevant"</formula>
    </cfRule>
  </conditionalFormatting>
  <conditionalFormatting sqref="R144:R148">
    <cfRule type="expression" dxfId="1207" priority="8822">
      <formula xml:space="preserve"> $R$1 = "relevant"</formula>
    </cfRule>
  </conditionalFormatting>
  <conditionalFormatting sqref="R149">
    <cfRule type="expression" dxfId="1206" priority="8817">
      <formula xml:space="preserve"> $R$1 = "relevant"</formula>
    </cfRule>
  </conditionalFormatting>
  <conditionalFormatting sqref="R150:R154">
    <cfRule type="expression" dxfId="1205" priority="8831">
      <formula xml:space="preserve"> $R$1 = "relevant"</formula>
    </cfRule>
  </conditionalFormatting>
  <conditionalFormatting sqref="R155">
    <cfRule type="expression" dxfId="1204" priority="8826">
      <formula xml:space="preserve"> $R$1 = "relevant"</formula>
    </cfRule>
  </conditionalFormatting>
  <conditionalFormatting sqref="R172:R182">
    <cfRule type="expression" dxfId="1203" priority="8856">
      <formula xml:space="preserve"> $R$1 = "relevant"</formula>
    </cfRule>
  </conditionalFormatting>
  <conditionalFormatting sqref="R183">
    <cfRule type="expression" dxfId="1202" priority="8841">
      <formula xml:space="preserve"> $R$1 = "relevant"</formula>
    </cfRule>
  </conditionalFormatting>
  <conditionalFormatting sqref="R192:R193">
    <cfRule type="expression" dxfId="1201" priority="7856">
      <formula xml:space="preserve"> $R$1 = "relevant"</formula>
    </cfRule>
  </conditionalFormatting>
  <conditionalFormatting sqref="R194">
    <cfRule type="expression" dxfId="1200" priority="7828">
      <formula xml:space="preserve"> $R$1 = "relevant"</formula>
    </cfRule>
  </conditionalFormatting>
  <conditionalFormatting sqref="R195:R199">
    <cfRule type="expression" dxfId="1199" priority="8710">
      <formula xml:space="preserve"> $R$1 = "relevant"</formula>
    </cfRule>
  </conditionalFormatting>
  <conditionalFormatting sqref="R202">
    <cfRule type="expression" dxfId="1198" priority="8159">
      <formula xml:space="preserve"> $R$1 = "relevant"</formula>
    </cfRule>
  </conditionalFormatting>
  <conditionalFormatting sqref="R203:R204">
    <cfRule type="expression" dxfId="1197" priority="8138">
      <formula xml:space="preserve"> $R$1 = "relevant"</formula>
    </cfRule>
  </conditionalFormatting>
  <conditionalFormatting sqref="R205">
    <cfRule type="expression" dxfId="1196" priority="8172">
      <formula xml:space="preserve"> $R$1 = "relevant"</formula>
    </cfRule>
  </conditionalFormatting>
  <conditionalFormatting sqref="R206">
    <cfRule type="expression" dxfId="1195" priority="8928">
      <formula xml:space="preserve"> $R$1 = "relevant"</formula>
    </cfRule>
  </conditionalFormatting>
  <conditionalFormatting sqref="R207 R68:R80 R184:R191 R156:R171 R133:R143 R95:R103 R210 R36:R61 R127:R130 R123:R125 R114:R116 R200:R201">
    <cfRule type="expression" dxfId="1194" priority="8937">
      <formula xml:space="preserve"> $R$1 = "relevant"</formula>
    </cfRule>
  </conditionalFormatting>
  <conditionalFormatting sqref="R208">
    <cfRule type="expression" dxfId="1193" priority="8920">
      <formula xml:space="preserve"> $R$1 = "relevant"</formula>
    </cfRule>
  </conditionalFormatting>
  <conditionalFormatting sqref="R209">
    <cfRule type="expression" dxfId="1192" priority="8924">
      <formula xml:space="preserve"> $R$1 = "relevant"</formula>
    </cfRule>
  </conditionalFormatting>
  <conditionalFormatting sqref="R211 F355 H355 F347:I347 K347:W347 A347 F343:F344 H343:H344 J343:J345 B343:B344 C347:D347">
    <cfRule type="expression" dxfId="1191" priority="7562">
      <formula xml:space="preserve"> $A224 = "end repeat"</formula>
    </cfRule>
    <cfRule type="expression" dxfId="1190" priority="7561">
      <formula>$A211 = "begin repeat"</formula>
    </cfRule>
    <cfRule type="expression" dxfId="1189" priority="7560">
      <formula>AND($U$1="disabled",$U211="yes")</formula>
    </cfRule>
  </conditionalFormatting>
  <conditionalFormatting sqref="R219">
    <cfRule type="expression" dxfId="1188" priority="7638">
      <formula xml:space="preserve"> $R$1 = "relevant"</formula>
    </cfRule>
  </conditionalFormatting>
  <conditionalFormatting sqref="R220">
    <cfRule type="expression" dxfId="1187" priority="7643">
      <formula xml:space="preserve"> $R$1 = "relevant"</formula>
    </cfRule>
  </conditionalFormatting>
  <conditionalFormatting sqref="R221">
    <cfRule type="expression" dxfId="1186" priority="7755">
      <formula xml:space="preserve"> $R$1 = "relevant"</formula>
    </cfRule>
  </conditionalFormatting>
  <conditionalFormatting sqref="R222">
    <cfRule type="expression" dxfId="1185" priority="7760">
      <formula xml:space="preserve"> $R$1 = "relevant"</formula>
    </cfRule>
  </conditionalFormatting>
  <conditionalFormatting sqref="R223:R224">
    <cfRule type="expression" dxfId="1184" priority="7279">
      <formula xml:space="preserve"> $A223 = "begin group"</formula>
    </cfRule>
    <cfRule type="expression" dxfId="1183" priority="7280">
      <formula xml:space="preserve"> AND($J223="gg",$A223 = "end group")</formula>
    </cfRule>
    <cfRule type="expression" dxfId="1182" priority="7277">
      <formula>AND($J223="section",$A223="begin group")</formula>
    </cfRule>
    <cfRule type="expression" dxfId="1181" priority="7278">
      <formula>AND($J223 = "section",$A223 = "end group")</formula>
    </cfRule>
  </conditionalFormatting>
  <conditionalFormatting sqref="R243 I341 L341:W341 F326 H326 J326 F342 H342 J342 B342 B216:B223 B248:B255 B280:B296 A341 B324:B330">
    <cfRule type="expression" dxfId="1180" priority="7596">
      <formula>AND($U$1="disabled",$U216="yes")</formula>
    </cfRule>
    <cfRule type="expression" dxfId="1179" priority="7598">
      <formula xml:space="preserve"> $A225 = "end repeat"</formula>
    </cfRule>
    <cfRule type="expression" dxfId="1178" priority="7597">
      <formula>$A216 = "begin repeat"</formula>
    </cfRule>
  </conditionalFormatting>
  <conditionalFormatting sqref="R252">
    <cfRule type="expression" dxfId="1177" priority="7772">
      <formula xml:space="preserve"> $R$1 = "relevant"</formula>
    </cfRule>
  </conditionalFormatting>
  <conditionalFormatting sqref="R253">
    <cfRule type="expression" dxfId="1176" priority="7628">
      <formula xml:space="preserve"> $R$1 = "relevant"</formula>
    </cfRule>
  </conditionalFormatting>
  <conditionalFormatting sqref="R254">
    <cfRule type="expression" dxfId="1175" priority="7633">
      <formula xml:space="preserve"> $R$1 = "relevant"</formula>
    </cfRule>
  </conditionalFormatting>
  <conditionalFormatting sqref="R258">
    <cfRule type="expression" dxfId="1174" priority="7746">
      <formula xml:space="preserve"> $R$1 = "relevant"</formula>
    </cfRule>
  </conditionalFormatting>
  <conditionalFormatting sqref="R259:R261">
    <cfRule type="expression" dxfId="1173" priority="7750">
      <formula xml:space="preserve"> $R$1 = "relevant"</formula>
    </cfRule>
  </conditionalFormatting>
  <conditionalFormatting sqref="R262">
    <cfRule type="expression" dxfId="1172" priority="7742">
      <formula xml:space="preserve"> $R$1 = "relevant"</formula>
    </cfRule>
  </conditionalFormatting>
  <conditionalFormatting sqref="R263">
    <cfRule type="expression" dxfId="1171" priority="7768">
      <formula xml:space="preserve"> $R$1 = "relevant"</formula>
    </cfRule>
  </conditionalFormatting>
  <conditionalFormatting sqref="R275 K350 K355">
    <cfRule type="expression" dxfId="1170" priority="7532">
      <formula xml:space="preserve"> $A297 = "end repeat"</formula>
    </cfRule>
    <cfRule type="expression" dxfId="1169" priority="7531">
      <formula>$A275 = "begin repeat"</formula>
    </cfRule>
    <cfRule type="expression" dxfId="1168" priority="7530">
      <formula>AND($U$1="disabled",$U275="yes")</formula>
    </cfRule>
  </conditionalFormatting>
  <conditionalFormatting sqref="R282">
    <cfRule type="expression" dxfId="1167" priority="7732">
      <formula xml:space="preserve"> $R$1 = "relevant"</formula>
    </cfRule>
  </conditionalFormatting>
  <conditionalFormatting sqref="R283:R284">
    <cfRule type="expression" dxfId="1166" priority="7737">
      <formula xml:space="preserve"> $R$1 = "relevant"</formula>
    </cfRule>
  </conditionalFormatting>
  <conditionalFormatting sqref="R285">
    <cfRule type="expression" dxfId="1165" priority="7727">
      <formula xml:space="preserve"> $R$1 = "relevant"</formula>
    </cfRule>
  </conditionalFormatting>
  <conditionalFormatting sqref="R288">
    <cfRule type="expression" dxfId="1164" priority="7722">
      <formula xml:space="preserve"> $R$1 = "relevant"</formula>
    </cfRule>
  </conditionalFormatting>
  <conditionalFormatting sqref="R289">
    <cfRule type="expression" dxfId="1163" priority="7717">
      <formula xml:space="preserve"> $R$1 = "relevant"</formula>
    </cfRule>
  </conditionalFormatting>
  <conditionalFormatting sqref="R294">
    <cfRule type="expression" dxfId="1162" priority="7782">
      <formula xml:space="preserve"> $R$1 = "relevant"</formula>
    </cfRule>
  </conditionalFormatting>
  <conditionalFormatting sqref="R295:R296 R298:R299 R346 R348:R351 R290:R293 R286:R287 R357 R241:R251 R211:R218 R264:R267 R273:R281 R255:R257 R223:R226 R353 R355">
    <cfRule type="expression" dxfId="1161" priority="7796">
      <formula xml:space="preserve"> $R$1 = "relevant"</formula>
    </cfRule>
  </conditionalFormatting>
  <conditionalFormatting sqref="R297">
    <cfRule type="expression" dxfId="1160" priority="7777">
      <formula xml:space="preserve"> $R$1 = "relevant"</formula>
    </cfRule>
  </conditionalFormatting>
  <conditionalFormatting sqref="R300">
    <cfRule type="expression" dxfId="1159" priority="7673">
      <formula xml:space="preserve"> $R$1 = "relevant"</formula>
    </cfRule>
  </conditionalFormatting>
  <conditionalFormatting sqref="R301">
    <cfRule type="expression" dxfId="1158" priority="7668">
      <formula xml:space="preserve"> $R$1 = "relevant"</formula>
    </cfRule>
  </conditionalFormatting>
  <conditionalFormatting sqref="R302">
    <cfRule type="expression" dxfId="1157" priority="7683">
      <formula xml:space="preserve"> $R$1 = "relevant"</formula>
    </cfRule>
  </conditionalFormatting>
  <conditionalFormatting sqref="R303">
    <cfRule type="expression" dxfId="1156" priority="7678">
      <formula xml:space="preserve"> $R$1 = "relevant"</formula>
    </cfRule>
  </conditionalFormatting>
  <conditionalFormatting sqref="R304">
    <cfRule type="expression" dxfId="1155" priority="7693">
      <formula xml:space="preserve"> $R$1 = "relevant"</formula>
    </cfRule>
  </conditionalFormatting>
  <conditionalFormatting sqref="R305">
    <cfRule type="expression" dxfId="1154" priority="7688">
      <formula xml:space="preserve"> $R$1 = "relevant"</formula>
    </cfRule>
  </conditionalFormatting>
  <conditionalFormatting sqref="R306">
    <cfRule type="expression" dxfId="1153" priority="7246">
      <formula xml:space="preserve"> $R$1 = "relevant"</formula>
    </cfRule>
  </conditionalFormatting>
  <conditionalFormatting sqref="R307">
    <cfRule type="expression" dxfId="1152" priority="7241">
      <formula xml:space="preserve"> $R$1 = "relevant"</formula>
    </cfRule>
  </conditionalFormatting>
  <conditionalFormatting sqref="R308">
    <cfRule type="expression" dxfId="1151" priority="7257">
      <formula xml:space="preserve"> $R$1 = "relevant"</formula>
    </cfRule>
  </conditionalFormatting>
  <conditionalFormatting sqref="R309:R311">
    <cfRule type="expression" dxfId="1150" priority="7252">
      <formula xml:space="preserve"> $R$1 = "relevant"</formula>
    </cfRule>
  </conditionalFormatting>
  <conditionalFormatting sqref="R312">
    <cfRule type="expression" dxfId="1149" priority="7703">
      <formula xml:space="preserve"> $R$1 = "relevant"</formula>
    </cfRule>
  </conditionalFormatting>
  <conditionalFormatting sqref="R313">
    <cfRule type="expression" dxfId="1148" priority="7698">
      <formula xml:space="preserve"> $R$1 = "relevant"</formula>
    </cfRule>
  </conditionalFormatting>
  <conditionalFormatting sqref="R314">
    <cfRule type="expression" dxfId="1147" priority="7712">
      <formula xml:space="preserve"> $R$1 = "relevant"</formula>
    </cfRule>
  </conditionalFormatting>
  <conditionalFormatting sqref="R315:R317">
    <cfRule type="expression" dxfId="1146" priority="7707">
      <formula xml:space="preserve"> $R$1 = "relevant"</formula>
    </cfRule>
  </conditionalFormatting>
  <conditionalFormatting sqref="R322">
    <cfRule type="expression" dxfId="1145" priority="7128">
      <formula xml:space="preserve"> $R$1 = "relevant"</formula>
    </cfRule>
  </conditionalFormatting>
  <conditionalFormatting sqref="R323">
    <cfRule type="expression" dxfId="1144" priority="6996">
      <formula xml:space="preserve"> $R$1 = "relevant"</formula>
    </cfRule>
  </conditionalFormatting>
  <conditionalFormatting sqref="R324 R326">
    <cfRule type="expression" dxfId="1143" priority="7133">
      <formula xml:space="preserve"> $R$1 = "relevant"</formula>
    </cfRule>
  </conditionalFormatting>
  <conditionalFormatting sqref="R325">
    <cfRule type="expression" dxfId="1142" priority="6976">
      <formula xml:space="preserve"> $R$1 = "relevant"</formula>
    </cfRule>
  </conditionalFormatting>
  <conditionalFormatting sqref="R329">
    <cfRule type="expression" dxfId="1141" priority="7123">
      <formula xml:space="preserve"> $R$1 = "relevant"</formula>
    </cfRule>
  </conditionalFormatting>
  <conditionalFormatting sqref="R330">
    <cfRule type="expression" dxfId="1140" priority="7118">
      <formula xml:space="preserve"> $R$1 = "relevant"</formula>
    </cfRule>
  </conditionalFormatting>
  <conditionalFormatting sqref="R335">
    <cfRule type="expression" dxfId="1139" priority="7143">
      <formula xml:space="preserve"> $R$1 = "relevant"</formula>
    </cfRule>
  </conditionalFormatting>
  <conditionalFormatting sqref="R336:R337 R339 R331:R334 R327:R328 R318:R321">
    <cfRule type="expression" dxfId="1138" priority="7148">
      <formula xml:space="preserve"> $R$1 = "relevant"</formula>
    </cfRule>
  </conditionalFormatting>
  <conditionalFormatting sqref="R338">
    <cfRule type="expression" dxfId="1137" priority="7138">
      <formula xml:space="preserve"> $R$1 = "relevant"</formula>
    </cfRule>
  </conditionalFormatting>
  <conditionalFormatting sqref="R340">
    <cfRule type="expression" dxfId="1136" priority="7068">
      <formula xml:space="preserve"> $R$1 = "relevant"</formula>
    </cfRule>
  </conditionalFormatting>
  <conditionalFormatting sqref="R341">
    <cfRule type="expression" dxfId="1135" priority="7051">
      <formula xml:space="preserve"> $R$1 = "relevant"</formula>
    </cfRule>
  </conditionalFormatting>
  <conditionalFormatting sqref="R342:R344">
    <cfRule type="expression" dxfId="1134" priority="7034">
      <formula xml:space="preserve"> $R$1 = "relevant"</formula>
    </cfRule>
  </conditionalFormatting>
  <conditionalFormatting sqref="R345">
    <cfRule type="expression" dxfId="1133" priority="7439">
      <formula xml:space="preserve"> $R$1 = "required"</formula>
    </cfRule>
  </conditionalFormatting>
  <conditionalFormatting sqref="R347">
    <cfRule type="expression" dxfId="1132" priority="7786">
      <formula xml:space="preserve"> $R$1 = "relevant"</formula>
    </cfRule>
  </conditionalFormatting>
  <conditionalFormatting sqref="R352">
    <cfRule type="expression" dxfId="1131" priority="7027">
      <formula xml:space="preserve"> $R$1 = "relevant"</formula>
    </cfRule>
  </conditionalFormatting>
  <conditionalFormatting sqref="R354">
    <cfRule type="expression" dxfId="1130" priority="6952">
      <formula xml:space="preserve"> $R$1 = "relevant"</formula>
    </cfRule>
  </conditionalFormatting>
  <conditionalFormatting sqref="R356">
    <cfRule type="expression" dxfId="1129" priority="7791">
      <formula xml:space="preserve"> $R$1 = "relevant"</formula>
    </cfRule>
  </conditionalFormatting>
  <conditionalFormatting sqref="R361:R362">
    <cfRule type="expression" dxfId="1128" priority="6634">
      <formula xml:space="preserve"> $R$1 = "relevant"</formula>
    </cfRule>
  </conditionalFormatting>
  <conditionalFormatting sqref="R363:R366">
    <cfRule type="expression" dxfId="1127" priority="6624">
      <formula xml:space="preserve"> $R$1 = "relevant"</formula>
    </cfRule>
  </conditionalFormatting>
  <conditionalFormatting sqref="R367">
    <cfRule type="expression" dxfId="1126" priority="6619">
      <formula xml:space="preserve"> $R$1 = "relevant"</formula>
    </cfRule>
  </conditionalFormatting>
  <conditionalFormatting sqref="R368:R371">
    <cfRule type="expression" dxfId="1125" priority="6629">
      <formula xml:space="preserve"> $R$1 = "relevant"</formula>
    </cfRule>
  </conditionalFormatting>
  <conditionalFormatting sqref="R374:R377">
    <cfRule type="expression" dxfId="1124" priority="6829">
      <formula xml:space="preserve"> $R$1 = "relevant"</formula>
    </cfRule>
  </conditionalFormatting>
  <conditionalFormatting sqref="R378">
    <cfRule type="expression" dxfId="1123" priority="6825">
      <formula xml:space="preserve"> $R$1 = "relevant"</formula>
    </cfRule>
  </conditionalFormatting>
  <conditionalFormatting sqref="R379:R382">
    <cfRule type="expression" dxfId="1122" priority="6561">
      <formula xml:space="preserve"> $R$1 = "relevant"</formula>
    </cfRule>
  </conditionalFormatting>
  <conditionalFormatting sqref="R383">
    <cfRule type="expression" dxfId="1121" priority="6557">
      <formula xml:space="preserve"> $R$1 = "relevant"</formula>
    </cfRule>
  </conditionalFormatting>
  <conditionalFormatting sqref="R384:R391">
    <cfRule type="expression" dxfId="1120" priority="6569">
      <formula xml:space="preserve"> $R$1 = "relevant"</formula>
    </cfRule>
  </conditionalFormatting>
  <conditionalFormatting sqref="R392">
    <cfRule type="expression" dxfId="1119" priority="6370">
      <formula xml:space="preserve"> $R$1 = "relevant"</formula>
    </cfRule>
  </conditionalFormatting>
  <conditionalFormatting sqref="R394">
    <cfRule type="expression" dxfId="1118" priority="5760">
      <formula xml:space="preserve"> $R$1 = "relevant"</formula>
    </cfRule>
  </conditionalFormatting>
  <conditionalFormatting sqref="R395">
    <cfRule type="expression" dxfId="1117" priority="5739">
      <formula xml:space="preserve"> $R$1 = "relevant"</formula>
    </cfRule>
  </conditionalFormatting>
  <conditionalFormatting sqref="R396">
    <cfRule type="expression" dxfId="1116" priority="5981">
      <formula xml:space="preserve"> $R$1 = "relevant"</formula>
    </cfRule>
  </conditionalFormatting>
  <conditionalFormatting sqref="R397">
    <cfRule type="expression" dxfId="1115" priority="5710">
      <formula xml:space="preserve"> $R$1 = "relevant"</formula>
    </cfRule>
  </conditionalFormatting>
  <conditionalFormatting sqref="R398">
    <cfRule type="expression" dxfId="1114" priority="6313">
      <formula xml:space="preserve"> $R$1 = "relevant"</formula>
    </cfRule>
  </conditionalFormatting>
  <conditionalFormatting sqref="R399">
    <cfRule type="expression" dxfId="1113" priority="6282">
      <formula xml:space="preserve"> $R$1 = "relevant"</formula>
    </cfRule>
  </conditionalFormatting>
  <conditionalFormatting sqref="R400">
    <cfRule type="expression" dxfId="1112" priority="6251">
      <formula xml:space="preserve"> $R$1 = "relevant"</formula>
    </cfRule>
  </conditionalFormatting>
  <conditionalFormatting sqref="R401">
    <cfRule type="expression" dxfId="1111" priority="3437">
      <formula xml:space="preserve"> $R$1 = "relevant"</formula>
    </cfRule>
  </conditionalFormatting>
  <conditionalFormatting sqref="R402">
    <cfRule type="expression" dxfId="1110" priority="3403">
      <formula xml:space="preserve"> $R$1 = "relevant"</formula>
    </cfRule>
  </conditionalFormatting>
  <conditionalFormatting sqref="R403">
    <cfRule type="expression" dxfId="1109" priority="5947">
      <formula xml:space="preserve"> $R$1 = "relevant"</formula>
    </cfRule>
  </conditionalFormatting>
  <conditionalFormatting sqref="R404">
    <cfRule type="expression" dxfId="1108" priority="5786">
      <formula xml:space="preserve"> $R$1 = "relevant"</formula>
    </cfRule>
  </conditionalFormatting>
  <conditionalFormatting sqref="R405">
    <cfRule type="expression" dxfId="1107" priority="6220">
      <formula xml:space="preserve"> $R$1 = "relevant"</formula>
    </cfRule>
  </conditionalFormatting>
  <conditionalFormatting sqref="R406">
    <cfRule type="expression" dxfId="1106" priority="6189">
      <formula xml:space="preserve"> $R$1 = "relevant"</formula>
    </cfRule>
  </conditionalFormatting>
  <conditionalFormatting sqref="R407">
    <cfRule type="expression" dxfId="1105" priority="5916">
      <formula xml:space="preserve"> $R$1 = "relevant"</formula>
    </cfRule>
  </conditionalFormatting>
  <conditionalFormatting sqref="R408">
    <cfRule type="expression" dxfId="1104" priority="5817">
      <formula xml:space="preserve"> $R$1 = "relevant"</formula>
    </cfRule>
  </conditionalFormatting>
  <conditionalFormatting sqref="R409">
    <cfRule type="expression" dxfId="1103" priority="5885">
      <formula xml:space="preserve"> $R$1 = "relevant"</formula>
    </cfRule>
  </conditionalFormatting>
  <conditionalFormatting sqref="R410">
    <cfRule type="expression" dxfId="1102" priority="6149">
      <formula xml:space="preserve"> $R$1 = "relevant"</formula>
    </cfRule>
  </conditionalFormatting>
  <conditionalFormatting sqref="R411">
    <cfRule type="expression" dxfId="1101" priority="6118">
      <formula xml:space="preserve"> $R$1 = "relevant"</formula>
    </cfRule>
  </conditionalFormatting>
  <conditionalFormatting sqref="R412">
    <cfRule type="expression" dxfId="1100" priority="5854">
      <formula xml:space="preserve"> $R$1 = "relevant"</formula>
    </cfRule>
  </conditionalFormatting>
  <conditionalFormatting sqref="R413">
    <cfRule type="expression" dxfId="1099" priority="5676">
      <formula xml:space="preserve"> $R$1 = "relevant"</formula>
    </cfRule>
  </conditionalFormatting>
  <conditionalFormatting sqref="R414">
    <cfRule type="expression" dxfId="1098" priority="6087">
      <formula xml:space="preserve"> $R$1 = "relevant"</formula>
    </cfRule>
  </conditionalFormatting>
  <conditionalFormatting sqref="R415">
    <cfRule type="expression" dxfId="1097" priority="6056">
      <formula xml:space="preserve"> $R$1 = "relevant"</formula>
    </cfRule>
  </conditionalFormatting>
  <conditionalFormatting sqref="R416">
    <cfRule type="expression" dxfId="1096" priority="3366">
      <formula xml:space="preserve"> $R$1 = "relevant"</formula>
    </cfRule>
  </conditionalFormatting>
  <conditionalFormatting sqref="R417">
    <cfRule type="expression" dxfId="1095" priority="3246">
      <formula xml:space="preserve"> $R$1 = "relevant"</formula>
    </cfRule>
  </conditionalFormatting>
  <conditionalFormatting sqref="R418">
    <cfRule type="expression" dxfId="1094" priority="3215">
      <formula xml:space="preserve"> $R$1 = "relevant"</formula>
    </cfRule>
  </conditionalFormatting>
  <conditionalFormatting sqref="R419">
    <cfRule type="expression" dxfId="1093" priority="3308">
      <formula xml:space="preserve"> $R$1 = "relevant"</formula>
    </cfRule>
  </conditionalFormatting>
  <conditionalFormatting sqref="R420">
    <cfRule type="expression" dxfId="1092" priority="3277">
      <formula xml:space="preserve"> $R$1 = "relevant"</formula>
    </cfRule>
  </conditionalFormatting>
  <conditionalFormatting sqref="R421:R425 R358:R360 R372:R373 R496:R503 R454:R456 R448 R509:R521 R486:R494 R557:R558 R393">
    <cfRule type="expression" dxfId="1091" priority="6857">
      <formula xml:space="preserve"> $R$1 = "relevant"</formula>
    </cfRule>
  </conditionalFormatting>
  <conditionalFormatting sqref="R423 R358 B392 A493:A494 I493:I494 M493:W494">
    <cfRule type="expression" dxfId="1090" priority="6163">
      <formula>$A358 = "begin repeat"</formula>
    </cfRule>
    <cfRule type="expression" dxfId="1089" priority="6162">
      <formula>AND($U$1="disabled",$U358="yes")</formula>
    </cfRule>
    <cfRule type="expression" dxfId="1088" priority="6164">
      <formula xml:space="preserve"> $A422 = "end repeat"</formula>
    </cfRule>
  </conditionalFormatting>
  <conditionalFormatting sqref="R426:R427">
    <cfRule type="expression" dxfId="1087" priority="6583">
      <formula xml:space="preserve"> $R$1 = "relevant"</formula>
    </cfRule>
  </conditionalFormatting>
  <conditionalFormatting sqref="R428:R431">
    <cfRule type="expression" dxfId="1086" priority="6593">
      <formula xml:space="preserve"> $R$1 = "relevant"</formula>
    </cfRule>
  </conditionalFormatting>
  <conditionalFormatting sqref="R432">
    <cfRule type="expression" dxfId="1085" priority="6588">
      <formula xml:space="preserve"> $R$1 = "relevant"</formula>
    </cfRule>
  </conditionalFormatting>
  <conditionalFormatting sqref="R433:R436">
    <cfRule type="expression" dxfId="1084" priority="6598">
      <formula xml:space="preserve"> $R$1 = "relevant"</formula>
    </cfRule>
  </conditionalFormatting>
  <conditionalFormatting sqref="R437">
    <cfRule type="expression" dxfId="1083" priority="6833">
      <formula xml:space="preserve"> $R$1 = "relevant"</formula>
    </cfRule>
  </conditionalFormatting>
  <conditionalFormatting sqref="R438">
    <cfRule type="expression" dxfId="1082" priority="6518">
      <formula xml:space="preserve"> $R$1 = "relevant"</formula>
    </cfRule>
  </conditionalFormatting>
  <conditionalFormatting sqref="R439:R442">
    <cfRule type="expression" dxfId="1081" priority="6528">
      <formula xml:space="preserve"> $R$1 = "relevant"</formula>
    </cfRule>
  </conditionalFormatting>
  <conditionalFormatting sqref="R443">
    <cfRule type="expression" dxfId="1080" priority="6523">
      <formula xml:space="preserve"> $R$1 = "relevant"</formula>
    </cfRule>
  </conditionalFormatting>
  <conditionalFormatting sqref="R444:R447">
    <cfRule type="expression" dxfId="1079" priority="6533">
      <formula xml:space="preserve"> $R$1 = "relevant"</formula>
    </cfRule>
  </conditionalFormatting>
  <conditionalFormatting sqref="R449:R452">
    <cfRule type="expression" dxfId="1078" priority="6843">
      <formula xml:space="preserve"> $R$1 = "relevant"</formula>
    </cfRule>
  </conditionalFormatting>
  <conditionalFormatting sqref="R453">
    <cfRule type="expression" dxfId="1077" priority="6838">
      <formula xml:space="preserve"> $R$1 = "relevant"</formula>
    </cfRule>
  </conditionalFormatting>
  <conditionalFormatting sqref="R457">
    <cfRule type="expression" dxfId="1076" priority="6343">
      <formula xml:space="preserve"> $R$1 = "relevant"</formula>
    </cfRule>
  </conditionalFormatting>
  <conditionalFormatting sqref="R458">
    <cfRule type="expression" dxfId="1075" priority="5632">
      <formula xml:space="preserve"> $R$1 = "relevant"</formula>
    </cfRule>
  </conditionalFormatting>
  <conditionalFormatting sqref="R459">
    <cfRule type="expression" dxfId="1074" priority="5115">
      <formula xml:space="preserve"> $R$1 = "relevant"</formula>
    </cfRule>
  </conditionalFormatting>
  <conditionalFormatting sqref="R460">
    <cfRule type="expression" dxfId="1073" priority="5094">
      <formula xml:space="preserve"> $R$1 = "relevant"</formula>
    </cfRule>
  </conditionalFormatting>
  <conditionalFormatting sqref="R461">
    <cfRule type="expression" dxfId="1072" priority="5327">
      <formula xml:space="preserve"> $R$1 = "relevant"</formula>
    </cfRule>
  </conditionalFormatting>
  <conditionalFormatting sqref="R462">
    <cfRule type="expression" dxfId="1071" priority="5068">
      <formula xml:space="preserve"> $R$1 = "relevant"</formula>
    </cfRule>
  </conditionalFormatting>
  <conditionalFormatting sqref="R463">
    <cfRule type="expression" dxfId="1070" priority="5606">
      <formula xml:space="preserve"> $R$1 = "relevant"</formula>
    </cfRule>
  </conditionalFormatting>
  <conditionalFormatting sqref="R464">
    <cfRule type="expression" dxfId="1069" priority="5575">
      <formula xml:space="preserve"> $R$1 = "relevant"</formula>
    </cfRule>
  </conditionalFormatting>
  <conditionalFormatting sqref="R465">
    <cfRule type="expression" dxfId="1068" priority="5544">
      <formula xml:space="preserve"> $R$1 = "relevant"</formula>
    </cfRule>
  </conditionalFormatting>
  <conditionalFormatting sqref="R466">
    <cfRule type="expression" dxfId="1067" priority="3723">
      <formula xml:space="preserve"> $R$1 = "relevant"</formula>
    </cfRule>
  </conditionalFormatting>
  <conditionalFormatting sqref="R467">
    <cfRule type="expression" dxfId="1066" priority="3685">
      <formula xml:space="preserve"> $R$1 = "relevant"</formula>
    </cfRule>
  </conditionalFormatting>
  <conditionalFormatting sqref="R468">
    <cfRule type="expression" dxfId="1065" priority="5296">
      <formula xml:space="preserve"> $R$1 = "relevant"</formula>
    </cfRule>
  </conditionalFormatting>
  <conditionalFormatting sqref="R469">
    <cfRule type="expression" dxfId="1064" priority="5141">
      <formula xml:space="preserve"> $R$1 = "relevant"</formula>
    </cfRule>
  </conditionalFormatting>
  <conditionalFormatting sqref="R470">
    <cfRule type="expression" dxfId="1063" priority="5513">
      <formula xml:space="preserve"> $R$1 = "relevant"</formula>
    </cfRule>
  </conditionalFormatting>
  <conditionalFormatting sqref="R471">
    <cfRule type="expression" dxfId="1062" priority="5482">
      <formula xml:space="preserve"> $R$1 = "relevant"</formula>
    </cfRule>
  </conditionalFormatting>
  <conditionalFormatting sqref="R472">
    <cfRule type="expression" dxfId="1061" priority="5265">
      <formula xml:space="preserve"> $R$1 = "relevant"</formula>
    </cfRule>
  </conditionalFormatting>
  <conditionalFormatting sqref="R473">
    <cfRule type="expression" dxfId="1060" priority="5172">
      <formula xml:space="preserve"> $R$1 = "relevant"</formula>
    </cfRule>
  </conditionalFormatting>
  <conditionalFormatting sqref="R474">
    <cfRule type="expression" dxfId="1059" priority="5234">
      <formula xml:space="preserve"> $R$1 = "relevant"</formula>
    </cfRule>
  </conditionalFormatting>
  <conditionalFormatting sqref="R475">
    <cfRule type="expression" dxfId="1058" priority="5451">
      <formula xml:space="preserve"> $R$1 = "relevant"</formula>
    </cfRule>
  </conditionalFormatting>
  <conditionalFormatting sqref="R476">
    <cfRule type="expression" dxfId="1057" priority="5420">
      <formula xml:space="preserve"> $R$1 = "relevant"</formula>
    </cfRule>
  </conditionalFormatting>
  <conditionalFormatting sqref="R477">
    <cfRule type="expression" dxfId="1056" priority="5203">
      <formula xml:space="preserve"> $R$1 = "relevant"</formula>
    </cfRule>
  </conditionalFormatting>
  <conditionalFormatting sqref="R478">
    <cfRule type="expression" dxfId="1055" priority="5037">
      <formula xml:space="preserve"> $R$1 = "relevant"</formula>
    </cfRule>
  </conditionalFormatting>
  <conditionalFormatting sqref="R479">
    <cfRule type="expression" dxfId="1054" priority="5389">
      <formula xml:space="preserve"> $R$1 = "relevant"</formula>
    </cfRule>
  </conditionalFormatting>
  <conditionalFormatting sqref="R480">
    <cfRule type="expression" dxfId="1053" priority="5358">
      <formula xml:space="preserve"> $R$1 = "relevant"</formula>
    </cfRule>
  </conditionalFormatting>
  <conditionalFormatting sqref="R481">
    <cfRule type="expression" dxfId="1052" priority="3641">
      <formula xml:space="preserve"> $R$1 = "relevant"</formula>
    </cfRule>
  </conditionalFormatting>
  <conditionalFormatting sqref="R482">
    <cfRule type="expression" dxfId="1051" priority="3499">
      <formula xml:space="preserve"> $R$1 = "relevant"</formula>
    </cfRule>
  </conditionalFormatting>
  <conditionalFormatting sqref="R483">
    <cfRule type="expression" dxfId="1050" priority="3468">
      <formula xml:space="preserve"> $R$1 = "relevant"</formula>
    </cfRule>
  </conditionalFormatting>
  <conditionalFormatting sqref="R484">
    <cfRule type="expression" dxfId="1049" priority="3561">
      <formula xml:space="preserve"> $R$1 = "relevant"</formula>
    </cfRule>
  </conditionalFormatting>
  <conditionalFormatting sqref="R485">
    <cfRule type="expression" dxfId="1048" priority="3530">
      <formula xml:space="preserve"> $R$1 = "relevant"</formula>
    </cfRule>
  </conditionalFormatting>
  <conditionalFormatting sqref="R488 B500 B493:B496 D519:D521 G423:G425 E423:E425">
    <cfRule type="expression" dxfId="1047" priority="5994">
      <formula>AND($U$1="disabled",$U423="yes")</formula>
    </cfRule>
    <cfRule type="expression" dxfId="1046" priority="5996">
      <formula xml:space="preserve"> $A492 = "end repeat"</formula>
    </cfRule>
    <cfRule type="expression" dxfId="1045" priority="5995">
      <formula>$A423 = "begin repeat"</formula>
    </cfRule>
  </conditionalFormatting>
  <conditionalFormatting sqref="R495">
    <cfRule type="expression" dxfId="1044" priority="6852">
      <formula xml:space="preserve"> $R$1 = "relevant"</formula>
    </cfRule>
  </conditionalFormatting>
  <conditionalFormatting sqref="R504:R507">
    <cfRule type="expression" dxfId="1043" priority="6653">
      <formula xml:space="preserve"> $R$1 = "relevant"</formula>
    </cfRule>
  </conditionalFormatting>
  <conditionalFormatting sqref="R508">
    <cfRule type="expression" dxfId="1042" priority="6648">
      <formula xml:space="preserve"> $R$1 = "relevant"</formula>
    </cfRule>
  </conditionalFormatting>
  <conditionalFormatting sqref="R522">
    <cfRule type="expression" dxfId="1041" priority="6016">
      <formula xml:space="preserve"> $R$1 = "relevant"</formula>
    </cfRule>
  </conditionalFormatting>
  <conditionalFormatting sqref="R523">
    <cfRule type="expression" dxfId="1040" priority="4649">
      <formula xml:space="preserve"> $R$1 = "relevant"</formula>
    </cfRule>
  </conditionalFormatting>
  <conditionalFormatting sqref="R524">
    <cfRule type="expression" dxfId="1039" priority="5011">
      <formula xml:space="preserve"> $R$1 = "relevant"</formula>
    </cfRule>
  </conditionalFormatting>
  <conditionalFormatting sqref="R525">
    <cfRule type="expression" dxfId="1038" priority="4731">
      <formula xml:space="preserve"> $R$1 = "relevant"</formula>
    </cfRule>
  </conditionalFormatting>
  <conditionalFormatting sqref="R526">
    <cfRule type="expression" dxfId="1037" priority="4678">
      <formula xml:space="preserve"> $R$1 = "relevant"</formula>
    </cfRule>
  </conditionalFormatting>
  <conditionalFormatting sqref="R527">
    <cfRule type="expression" dxfId="1036" priority="4625">
      <formula xml:space="preserve"> $R$1 = "relevant"</formula>
    </cfRule>
  </conditionalFormatting>
  <conditionalFormatting sqref="R528">
    <cfRule type="expression" dxfId="1035" priority="4654">
      <formula xml:space="preserve"> $R$1 = "relevant"</formula>
    </cfRule>
  </conditionalFormatting>
  <conditionalFormatting sqref="R529">
    <cfRule type="expression" dxfId="1034" priority="4987">
      <formula xml:space="preserve"> $R$1 = "relevant"</formula>
    </cfRule>
  </conditionalFormatting>
  <conditionalFormatting sqref="R530">
    <cfRule type="expression" dxfId="1033" priority="4958">
      <formula xml:space="preserve"> $R$1 = "relevant"</formula>
    </cfRule>
  </conditionalFormatting>
  <conditionalFormatting sqref="R531">
    <cfRule type="expression" dxfId="1032" priority="3823">
      <formula xml:space="preserve"> $R$1 = "relevant"</formula>
    </cfRule>
  </conditionalFormatting>
  <conditionalFormatting sqref="R532">
    <cfRule type="expression" dxfId="1031" priority="4596">
      <formula xml:space="preserve"> $R$1 = "relevant"</formula>
    </cfRule>
  </conditionalFormatting>
  <conditionalFormatting sqref="R533">
    <cfRule type="expression" dxfId="1030" priority="3761">
      <formula xml:space="preserve"> $R$1 = "relevant"</formula>
    </cfRule>
  </conditionalFormatting>
  <conditionalFormatting sqref="R534">
    <cfRule type="expression" dxfId="1029" priority="4813">
      <formula xml:space="preserve"> $R$1 = "relevant"</formula>
    </cfRule>
  </conditionalFormatting>
  <conditionalFormatting sqref="R535">
    <cfRule type="expression" dxfId="1028" priority="4755">
      <formula xml:space="preserve"> $R$1 = "relevant"</formula>
    </cfRule>
  </conditionalFormatting>
  <conditionalFormatting sqref="R536">
    <cfRule type="expression" dxfId="1027" priority="4929">
      <formula xml:space="preserve"> $R$1 = "relevant"</formula>
    </cfRule>
  </conditionalFormatting>
  <conditionalFormatting sqref="R537">
    <cfRule type="expression" dxfId="1026" priority="4567">
      <formula xml:space="preserve"> $R$1 = "relevant"</formula>
    </cfRule>
  </conditionalFormatting>
  <conditionalFormatting sqref="R538">
    <cfRule type="expression" dxfId="1025" priority="4538">
      <formula xml:space="preserve"> $R$1 = "relevant"</formula>
    </cfRule>
  </conditionalFormatting>
  <conditionalFormatting sqref="R539">
    <cfRule type="expression" dxfId="1024" priority="4509">
      <formula xml:space="preserve"> $R$1 = "relevant"</formula>
    </cfRule>
  </conditionalFormatting>
  <conditionalFormatting sqref="R540">
    <cfRule type="expression" dxfId="1023" priority="4900">
      <formula xml:space="preserve"> $R$1 = "relevant"</formula>
    </cfRule>
  </conditionalFormatting>
  <conditionalFormatting sqref="R541">
    <cfRule type="expression" dxfId="1022" priority="4871">
      <formula xml:space="preserve"> $R$1 = "relevant"</formula>
    </cfRule>
  </conditionalFormatting>
  <conditionalFormatting sqref="R542">
    <cfRule type="expression" dxfId="1021" priority="4393">
      <formula xml:space="preserve"> $R$1 = "relevant"</formula>
    </cfRule>
  </conditionalFormatting>
  <conditionalFormatting sqref="R543">
    <cfRule type="expression" dxfId="1020" priority="4784">
      <formula xml:space="preserve"> $R$1 = "relevant"</formula>
    </cfRule>
  </conditionalFormatting>
  <conditionalFormatting sqref="R544">
    <cfRule type="expression" dxfId="1019" priority="4707">
      <formula xml:space="preserve"> $R$1 = "relevant"</formula>
    </cfRule>
  </conditionalFormatting>
  <conditionalFormatting sqref="R545">
    <cfRule type="expression" dxfId="1018" priority="4842">
      <formula xml:space="preserve"> $R$1 = "relevant"</formula>
    </cfRule>
  </conditionalFormatting>
  <conditionalFormatting sqref="R546">
    <cfRule type="expression" dxfId="1017" priority="4480">
      <formula xml:space="preserve"> $R$1 = "relevant"</formula>
    </cfRule>
  </conditionalFormatting>
  <conditionalFormatting sqref="R547">
    <cfRule type="expression" dxfId="1016" priority="4451">
      <formula xml:space="preserve"> $R$1 = "relevant"</formula>
    </cfRule>
  </conditionalFormatting>
  <conditionalFormatting sqref="R548">
    <cfRule type="expression" dxfId="1015" priority="4422">
      <formula xml:space="preserve"> $R$1 = "relevant"</formula>
    </cfRule>
  </conditionalFormatting>
  <conditionalFormatting sqref="R549">
    <cfRule type="expression" dxfId="1014" priority="4151">
      <formula xml:space="preserve"> $R$1 = "relevant"</formula>
    </cfRule>
  </conditionalFormatting>
  <conditionalFormatting sqref="R550">
    <cfRule type="expression" dxfId="1013" priority="4092">
      <formula xml:space="preserve"> $R$1 = "relevant"</formula>
    </cfRule>
  </conditionalFormatting>
  <conditionalFormatting sqref="R551">
    <cfRule type="expression" dxfId="1012" priority="3983">
      <formula xml:space="preserve"> $R$1 = "relevant"</formula>
    </cfRule>
  </conditionalFormatting>
  <conditionalFormatting sqref="R552">
    <cfRule type="expression" dxfId="1011" priority="3954">
      <formula xml:space="preserve"> $R$1 = "relevant"</formula>
    </cfRule>
  </conditionalFormatting>
  <conditionalFormatting sqref="R553">
    <cfRule type="expression" dxfId="1010" priority="4012">
      <formula xml:space="preserve"> $R$1 = "relevant"</formula>
    </cfRule>
  </conditionalFormatting>
  <conditionalFormatting sqref="R554">
    <cfRule type="expression" dxfId="1009" priority="3925">
      <formula xml:space="preserve"> $R$1 = "relevant"</formula>
    </cfRule>
  </conditionalFormatting>
  <conditionalFormatting sqref="R555">
    <cfRule type="expression" dxfId="1008" priority="3896">
      <formula xml:space="preserve"> $R$1 = "relevant"</formula>
    </cfRule>
  </conditionalFormatting>
  <conditionalFormatting sqref="R556">
    <cfRule type="expression" dxfId="1007" priority="3867">
      <formula xml:space="preserve"> $R$1 = "relevant"</formula>
    </cfRule>
  </conditionalFormatting>
  <conditionalFormatting sqref="R559 D566 I566 I575 M575:W575 A575 D575 M566:W566 A566 E559:E560 L577:W579 L581:W581 D582 L583:L584 M580:W580 D580 K574:K594 I577:I607 M582:W607 A577:A607 D586:D607 K598:K607 M620:W620 D620 K619:K620 L621:W623 K623:K624 I620:I624 A620:A624 I628 A628 K627:K628 L636:W636 I636 A636 R641 A645:A646 D657:D659 A657:A660 M645:W646 M657:W660 I645:I646 K645:K646 I657:I660 K657:K661 A663 M663:W663 I663 K663 D662 R706 A707 K707:W707 C707:D707 H707:I707 F707 E706:E707 I744:I745 R741 A744:A745 I778 A760 I760 A762 M744:W745 M760:W760 K775:W775 K758:K761 K782:W782 K778:W779 A750 I750 M750:W750 K744:K755 B745 A799 I799 K799:K800 M790:W792 M799:W799 I801 C799:D802 A804 M804:W804 I804 K804 D804 B794 A783:A787 R815 L819:L821 M819:W825 A819:A825 M828:W831 K819:K826 A828:A838 B819:B838 C819:D826 C827 C828:D838 C839:C840 G839:G840 I782:I787 K770 K777 K773:K774 K828:K836 C803:C812 J775:J776 B775:B777 K781 K783:K787 K809:K812 C744:D787 I819:I825 I828:I838 E741:E742 E790:E791 E815:E816 E839:E840 D612 I612 M612:W612 A612 A682:A683 M682:W683 I682:I683 K682:K683 F587 H587 H625:H630 F694:F698 H694:H698 I694:W694 D694:D698 B710:B738 F703 D703 E641:E642 D637:D638 L638:W638 A629:B632 I629:J630 M631:W632 M624:W628 A625:B627 I625:J627 F625:F632 M637:W637 H637:J638 F637:F638 L629:W630 D624:D632 H631:K632 A637:B638 C726 A694:B698 M695:W698 I695:I698 K695:K698 A703:B703 M703:W703 H703:I703 K703 A681:B681 F681 D681 A700:B700 F700 D700 H681:W681 H700:W700">
    <cfRule type="expression" dxfId="1006" priority="2739">
      <formula>AND($U$1="disabled",$U559="yes")</formula>
    </cfRule>
    <cfRule type="expression" dxfId="1005" priority="2740">
      <formula>$A559 = "begin repeat"</formula>
    </cfRule>
    <cfRule type="expression" dxfId="1004" priority="2741">
      <formula xml:space="preserve"> #REF! = "end repeat"</formula>
    </cfRule>
  </conditionalFormatting>
  <conditionalFormatting sqref="R559 F588 H588 H635 F635 K634 A684 M684:W684 I684 K684 F723 H723 R741 J787 R815 D809 C808 C830 C832 C834 C836 C838 J735 F608:F611 H608:H611 F613:F614 H613:H614 A647:A648 M647:W648 I647:I648 K647:K648 B730:B738 M739:W740 K739:K740 B746:B775 A793:A798 K793:K798 M793:W798 C793:D798 B795:B798 B786:B787 K813:W814 D811:D812 M839:W840 A813:I814 A739:I740 I793:I798">
    <cfRule type="expression" dxfId="1003" priority="2750">
      <formula xml:space="preserve"> $A568 = "end repeat"</formula>
    </cfRule>
    <cfRule type="expression" dxfId="1002" priority="2748">
      <formula>AND($U$1="disabled",$U559="yes")</formula>
    </cfRule>
    <cfRule type="expression" dxfId="1001" priority="2749">
      <formula>$A559 = "begin repeat"</formula>
    </cfRule>
  </conditionalFormatting>
  <conditionalFormatting sqref="R563">
    <cfRule type="expression" dxfId="1000" priority="3181">
      <formula xml:space="preserve"> $R$1 = "relevant"</formula>
    </cfRule>
  </conditionalFormatting>
  <conditionalFormatting sqref="R579:R580">
    <cfRule type="expression" dxfId="999" priority="3176">
      <formula xml:space="preserve"> $R$1 = "relevant"</formula>
    </cfRule>
  </conditionalFormatting>
  <conditionalFormatting sqref="R583">
    <cfRule type="expression" dxfId="998" priority="3172">
      <formula xml:space="preserve"> $R$1 = "relevant"</formula>
    </cfRule>
  </conditionalFormatting>
  <conditionalFormatting sqref="R584 R586:R587 R589 R592 R594 R714 R717:R719 R788:R792 R739:R755 R656:R666 R704:R708 R671:R672 R802:R807 R810:R831 R564:R578 R839:R840 R606:R607 R559:R562 R580:R582 R596:R603 R610:R622 R624 R626:R643">
    <cfRule type="expression" dxfId="997" priority="3186">
      <formula xml:space="preserve"> $R$1 = "relevant"</formula>
    </cfRule>
  </conditionalFormatting>
  <conditionalFormatting sqref="R585">
    <cfRule type="expression" dxfId="996" priority="3166">
      <formula xml:space="preserve"> $R$1 = "relevant"</formula>
    </cfRule>
  </conditionalFormatting>
  <conditionalFormatting sqref="R588">
    <cfRule type="expression" dxfId="995" priority="3160">
      <formula xml:space="preserve"> $R$1 = "relevant"</formula>
    </cfRule>
  </conditionalFormatting>
  <conditionalFormatting sqref="R590">
    <cfRule type="expression" dxfId="994" priority="3154">
      <formula xml:space="preserve"> $R$1 = "relevant"</formula>
    </cfRule>
  </conditionalFormatting>
  <conditionalFormatting sqref="R591">
    <cfRule type="expression" dxfId="993" priority="3148">
      <formula xml:space="preserve"> $R$1 = "relevant"</formula>
    </cfRule>
  </conditionalFormatting>
  <conditionalFormatting sqref="R593">
    <cfRule type="expression" dxfId="992" priority="3142">
      <formula xml:space="preserve"> $R$1 = "relevant"</formula>
    </cfRule>
  </conditionalFormatting>
  <conditionalFormatting sqref="R595">
    <cfRule type="expression" dxfId="991" priority="3136">
      <formula xml:space="preserve"> $R$1 = "relevant"</formula>
    </cfRule>
  </conditionalFormatting>
  <conditionalFormatting sqref="R604:R605">
    <cfRule type="expression" dxfId="990" priority="2142">
      <formula xml:space="preserve"> $R$1 = "relevant"</formula>
    </cfRule>
  </conditionalFormatting>
  <conditionalFormatting sqref="R608">
    <cfRule type="expression" dxfId="989" priority="2048">
      <formula xml:space="preserve"> $R$1 = "relevant"</formula>
    </cfRule>
  </conditionalFormatting>
  <conditionalFormatting sqref="R609">
    <cfRule type="expression" dxfId="988" priority="2043">
      <formula xml:space="preserve"> $R$1 = "relevant"</formula>
    </cfRule>
  </conditionalFormatting>
  <conditionalFormatting sqref="R623:R624">
    <cfRule type="expression" dxfId="987" priority="2038">
      <formula xml:space="preserve"> $R$1 = "relevant"</formula>
    </cfRule>
  </conditionalFormatting>
  <conditionalFormatting sqref="R625">
    <cfRule type="expression" dxfId="986" priority="2006">
      <formula xml:space="preserve"> $R$1 = "relevant"</formula>
    </cfRule>
  </conditionalFormatting>
  <conditionalFormatting sqref="R634:R636">
    <cfRule type="expression" dxfId="985" priority="2017">
      <formula xml:space="preserve"> $R$1 = "relevant"</formula>
    </cfRule>
  </conditionalFormatting>
  <conditionalFormatting sqref="R644:R654">
    <cfRule type="expression" dxfId="984" priority="3111">
      <formula xml:space="preserve"> $R$1 = "relevant"</formula>
    </cfRule>
  </conditionalFormatting>
  <conditionalFormatting sqref="R655">
    <cfRule type="expression" dxfId="983" priority="3105">
      <formula xml:space="preserve"> $R$1 = "relevant"</formula>
    </cfRule>
  </conditionalFormatting>
  <conditionalFormatting sqref="R667:R668">
    <cfRule type="expression" dxfId="982" priority="2519">
      <formula xml:space="preserve"> $R$1 = "relevant"</formula>
    </cfRule>
  </conditionalFormatting>
  <conditionalFormatting sqref="R669:R670">
    <cfRule type="expression" dxfId="981" priority="2504">
      <formula xml:space="preserve"> $R$1 = "relevant"</formula>
    </cfRule>
  </conditionalFormatting>
  <conditionalFormatting sqref="R673:R679">
    <cfRule type="expression" dxfId="980" priority="2554">
      <formula xml:space="preserve"> $R$1 = "relevant"</formula>
    </cfRule>
  </conditionalFormatting>
  <conditionalFormatting sqref="R680 R682:R691">
    <cfRule type="expression" dxfId="979" priority="1830">
      <formula xml:space="preserve"> $R$1 = "relevant"</formula>
    </cfRule>
  </conditionalFormatting>
  <conditionalFormatting sqref="R681">
    <cfRule type="expression" dxfId="978" priority="1759">
      <formula xml:space="preserve"> $R$1 = "relevant"</formula>
    </cfRule>
  </conditionalFormatting>
  <conditionalFormatting sqref="R692">
    <cfRule type="expression" dxfId="977" priority="1824">
      <formula xml:space="preserve"> $R$1 = "relevant"</formula>
    </cfRule>
  </conditionalFormatting>
  <conditionalFormatting sqref="R693">
    <cfRule type="expression" dxfId="976" priority="1835">
      <formula xml:space="preserve"> $R$1 = "relevant"</formula>
    </cfRule>
  </conditionalFormatting>
  <conditionalFormatting sqref="R694:R698">
    <cfRule type="expression" dxfId="975" priority="1793">
      <formula xml:space="preserve"> $R$1 = "relevant"</formula>
    </cfRule>
  </conditionalFormatting>
  <conditionalFormatting sqref="R699">
    <cfRule type="expression" dxfId="974" priority="1692">
      <formula xml:space="preserve"> $R$1 = "relevant"</formula>
    </cfRule>
  </conditionalFormatting>
  <conditionalFormatting sqref="R700">
    <cfRule type="expression" dxfId="973" priority="1665">
      <formula xml:space="preserve"> $R$1 = "relevant"</formula>
    </cfRule>
  </conditionalFormatting>
  <conditionalFormatting sqref="R701">
    <cfRule type="expression" dxfId="972" priority="1631">
      <formula xml:space="preserve"> $R$1 = "relevant"</formula>
    </cfRule>
  </conditionalFormatting>
  <conditionalFormatting sqref="R702">
    <cfRule type="expression" dxfId="971" priority="1592">
      <formula xml:space="preserve"> $R$1 = "relevant"</formula>
    </cfRule>
  </conditionalFormatting>
  <conditionalFormatting sqref="R703">
    <cfRule type="expression" dxfId="970" priority="1544">
      <formula xml:space="preserve"> $R$1 = "relevant"</formula>
    </cfRule>
  </conditionalFormatting>
  <conditionalFormatting sqref="R709:R710">
    <cfRule type="expression" dxfId="969" priority="3099">
      <formula xml:space="preserve"> $R$1 = "relevant"</formula>
    </cfRule>
  </conditionalFormatting>
  <conditionalFormatting sqref="R711">
    <cfRule type="expression" dxfId="968" priority="3079">
      <formula xml:space="preserve"> $R$1 = "relevant"</formula>
    </cfRule>
  </conditionalFormatting>
  <conditionalFormatting sqref="R712">
    <cfRule type="expression" dxfId="967" priority="3073">
      <formula xml:space="preserve"> $R$1 = "relevant"</formula>
    </cfRule>
  </conditionalFormatting>
  <conditionalFormatting sqref="R713">
    <cfRule type="expression" dxfId="966" priority="3085">
      <formula xml:space="preserve"> $R$1 = "relevant"</formula>
    </cfRule>
  </conditionalFormatting>
  <conditionalFormatting sqref="R715:R716">
    <cfRule type="expression" dxfId="965" priority="3089">
      <formula xml:space="preserve"> $R$1 = "relevant"</formula>
    </cfRule>
  </conditionalFormatting>
  <conditionalFormatting sqref="R720">
    <cfRule type="expression" dxfId="964" priority="3095">
      <formula xml:space="preserve"> $R$1 = "relevant"</formula>
    </cfRule>
  </conditionalFormatting>
  <conditionalFormatting sqref="R721">
    <cfRule type="expression" dxfId="963" priority="2808">
      <formula xml:space="preserve"> $R$1 = "relevant"</formula>
    </cfRule>
  </conditionalFormatting>
  <conditionalFormatting sqref="R722">
    <cfRule type="expression" dxfId="962" priority="3131">
      <formula xml:space="preserve"> $R$1 = "relevant"</formula>
    </cfRule>
  </conditionalFormatting>
  <conditionalFormatting sqref="R723">
    <cfRule type="expression" dxfId="961" priority="1514">
      <formula xml:space="preserve"> $R$1 = "relevant"</formula>
    </cfRule>
  </conditionalFormatting>
  <conditionalFormatting sqref="R724">
    <cfRule type="expression" dxfId="960" priority="1494">
      <formula xml:space="preserve"> $R$1 = "relevant"</formula>
    </cfRule>
  </conditionalFormatting>
  <conditionalFormatting sqref="R725">
    <cfRule type="expression" dxfId="959" priority="1488">
      <formula xml:space="preserve"> $R$1 = "relevant"</formula>
    </cfRule>
  </conditionalFormatting>
  <conditionalFormatting sqref="R726">
    <cfRule type="expression" dxfId="958" priority="1500">
      <formula xml:space="preserve"> $R$1 = "relevant"</formula>
    </cfRule>
  </conditionalFormatting>
  <conditionalFormatting sqref="R727 R730:R732">
    <cfRule type="expression" dxfId="957" priority="1525">
      <formula xml:space="preserve"> $R$1 = "relevant"</formula>
    </cfRule>
  </conditionalFormatting>
  <conditionalFormatting sqref="R728:R729">
    <cfRule type="expression" dxfId="956" priority="1504">
      <formula xml:space="preserve"> $R$1 = "relevant"</formula>
    </cfRule>
  </conditionalFormatting>
  <conditionalFormatting sqref="R733">
    <cfRule type="expression" dxfId="955" priority="1510">
      <formula xml:space="preserve"> $R$1 = "relevant"</formula>
    </cfRule>
  </conditionalFormatting>
  <conditionalFormatting sqref="R734">
    <cfRule type="expression" dxfId="954" priority="1482">
      <formula xml:space="preserve"> $R$1 = "relevant"</formula>
    </cfRule>
  </conditionalFormatting>
  <conditionalFormatting sqref="R735">
    <cfRule type="expression" dxfId="953" priority="1520">
      <formula xml:space="preserve"> $R$1 = "relevant"</formula>
    </cfRule>
  </conditionalFormatting>
  <conditionalFormatting sqref="R736">
    <cfRule type="expression" dxfId="952" priority="1417">
      <formula xml:space="preserve"> $R$1 = "relevant"</formula>
    </cfRule>
  </conditionalFormatting>
  <conditionalFormatting sqref="R737">
    <cfRule type="expression" dxfId="951" priority="1423">
      <formula xml:space="preserve"> $R$1 = "relevant"</formula>
    </cfRule>
  </conditionalFormatting>
  <conditionalFormatting sqref="R738">
    <cfRule type="expression" dxfId="950" priority="1395">
      <formula xml:space="preserve"> $R$1 = "relevant"</formula>
    </cfRule>
  </conditionalFormatting>
  <conditionalFormatting sqref="R741 B787 M810:W810 I810 D810 A808 M808:W808 I808 K808 D808 A810 R815 A746:A747 M746:W747 K746:K747 I746:I747">
    <cfRule type="expression" dxfId="949" priority="2742">
      <formula>AND($U$1="disabled",$U741="yes")</formula>
    </cfRule>
    <cfRule type="expression" dxfId="948" priority="2743">
      <formula>$A741 = "begin repeat"</formula>
    </cfRule>
    <cfRule type="expression" dxfId="947" priority="2744">
      <formula xml:space="preserve"> $A749 = "end repeat"</formula>
    </cfRule>
  </conditionalFormatting>
  <conditionalFormatting sqref="R756">
    <cfRule type="expression" dxfId="946" priority="3067">
      <formula xml:space="preserve"> $R$1 = "relevant"</formula>
    </cfRule>
  </conditionalFormatting>
  <conditionalFormatting sqref="R757">
    <cfRule type="expression" dxfId="945" priority="3125">
      <formula xml:space="preserve"> $R$1 = "relevant"</formula>
    </cfRule>
  </conditionalFormatting>
  <conditionalFormatting sqref="R758:R761">
    <cfRule type="expression" dxfId="944" priority="3061">
      <formula xml:space="preserve"> $R$1 = "relevant"</formula>
    </cfRule>
  </conditionalFormatting>
  <conditionalFormatting sqref="R762">
    <cfRule type="expression" dxfId="943" priority="3043">
      <formula xml:space="preserve"> $R$1 = "relevant"</formula>
    </cfRule>
  </conditionalFormatting>
  <conditionalFormatting sqref="R763">
    <cfRule type="expression" dxfId="942" priority="2863">
      <formula xml:space="preserve"> $R$1 = "relevant"</formula>
    </cfRule>
  </conditionalFormatting>
  <conditionalFormatting sqref="R764">
    <cfRule type="expression" dxfId="941" priority="2873">
      <formula xml:space="preserve"> $R$1 = "relevant"</formula>
    </cfRule>
  </conditionalFormatting>
  <conditionalFormatting sqref="R765">
    <cfRule type="expression" dxfId="940" priority="2883">
      <formula xml:space="preserve"> $R$1 = "relevant"</formula>
    </cfRule>
  </conditionalFormatting>
  <conditionalFormatting sqref="R766">
    <cfRule type="expression" dxfId="939" priority="2893">
      <formula xml:space="preserve"> $R$1 = "relevant"</formula>
    </cfRule>
  </conditionalFormatting>
  <conditionalFormatting sqref="R767">
    <cfRule type="expression" dxfId="938" priority="2823">
      <formula xml:space="preserve"> $R$1 = "relevant"</formula>
    </cfRule>
  </conditionalFormatting>
  <conditionalFormatting sqref="R768">
    <cfRule type="expression" dxfId="937" priority="2833">
      <formula xml:space="preserve"> $R$1 = "relevant"</formula>
    </cfRule>
  </conditionalFormatting>
  <conditionalFormatting sqref="R769">
    <cfRule type="expression" dxfId="936" priority="2843">
      <formula xml:space="preserve"> $R$1 = "relevant"</formula>
    </cfRule>
  </conditionalFormatting>
  <conditionalFormatting sqref="R770">
    <cfRule type="expression" dxfId="935" priority="2853">
      <formula xml:space="preserve"> $R$1 = "relevant"</formula>
    </cfRule>
  </conditionalFormatting>
  <conditionalFormatting sqref="R771">
    <cfRule type="expression" dxfId="934" priority="2903">
      <formula xml:space="preserve"> $R$1 = "relevant"</formula>
    </cfRule>
  </conditionalFormatting>
  <conditionalFormatting sqref="R772">
    <cfRule type="expression" dxfId="933" priority="2913">
      <formula xml:space="preserve"> $R$1 = "relevant"</formula>
    </cfRule>
  </conditionalFormatting>
  <conditionalFormatting sqref="R773">
    <cfRule type="expression" dxfId="932" priority="2923">
      <formula xml:space="preserve"> $R$1 = "relevant"</formula>
    </cfRule>
  </conditionalFormatting>
  <conditionalFormatting sqref="R774">
    <cfRule type="expression" dxfId="931" priority="2933">
      <formula xml:space="preserve"> $R$1 = "relevant"</formula>
    </cfRule>
  </conditionalFormatting>
  <conditionalFormatting sqref="R775">
    <cfRule type="expression" dxfId="930" priority="2983">
      <formula xml:space="preserve"> $R$1 = "relevant"</formula>
    </cfRule>
  </conditionalFormatting>
  <conditionalFormatting sqref="R776">
    <cfRule type="expression" dxfId="929" priority="2993">
      <formula xml:space="preserve"> $R$1 = "relevant"</formula>
    </cfRule>
  </conditionalFormatting>
  <conditionalFormatting sqref="R777">
    <cfRule type="expression" dxfId="928" priority="3003">
      <formula xml:space="preserve"> $R$1 = "relevant"</formula>
    </cfRule>
  </conditionalFormatting>
  <conditionalFormatting sqref="R778">
    <cfRule type="expression" dxfId="927" priority="3013">
      <formula xml:space="preserve"> $R$1 = "relevant"</formula>
    </cfRule>
  </conditionalFormatting>
  <conditionalFormatting sqref="R779">
    <cfRule type="expression" dxfId="926" priority="2943">
      <formula xml:space="preserve"> $R$1 = "relevant"</formula>
    </cfRule>
  </conditionalFormatting>
  <conditionalFormatting sqref="R780">
    <cfRule type="expression" dxfId="925" priority="2953">
      <formula xml:space="preserve"> $R$1 = "relevant"</formula>
    </cfRule>
  </conditionalFormatting>
  <conditionalFormatting sqref="R781">
    <cfRule type="expression" dxfId="924" priority="2963">
      <formula xml:space="preserve"> $R$1 = "relevant"</formula>
    </cfRule>
  </conditionalFormatting>
  <conditionalFormatting sqref="R782">
    <cfRule type="expression" dxfId="923" priority="2973">
      <formula xml:space="preserve"> $R$1 = "relevant"</formula>
    </cfRule>
  </conditionalFormatting>
  <conditionalFormatting sqref="R783">
    <cfRule type="expression" dxfId="922" priority="3023">
      <formula xml:space="preserve"> $R$1 = "relevant"</formula>
    </cfRule>
  </conditionalFormatting>
  <conditionalFormatting sqref="R784:R787">
    <cfRule type="expression" dxfId="921" priority="3033">
      <formula xml:space="preserve"> $R$1 = "relevant"</formula>
    </cfRule>
  </conditionalFormatting>
  <conditionalFormatting sqref="R793:R800">
    <cfRule type="expression" dxfId="920" priority="3053">
      <formula xml:space="preserve"> $R$1 = "relevant"</formula>
    </cfRule>
  </conditionalFormatting>
  <conditionalFormatting sqref="R801">
    <cfRule type="expression" dxfId="919" priority="3049">
      <formula xml:space="preserve"> $R$1 = "relevant"</formula>
    </cfRule>
  </conditionalFormatting>
  <conditionalFormatting sqref="R808:R809">
    <cfRule type="expression" dxfId="918" priority="2469">
      <formula xml:space="preserve"> $R$1 = "relevant"</formula>
    </cfRule>
  </conditionalFormatting>
  <conditionalFormatting sqref="R832:R836">
    <cfRule type="expression" dxfId="917" priority="2371">
      <formula xml:space="preserve"> $R$1 = "relevant"</formula>
    </cfRule>
  </conditionalFormatting>
  <conditionalFormatting sqref="R837">
    <cfRule type="expression" dxfId="916" priority="2357">
      <formula xml:space="preserve"> $R$1 = "relevant"</formula>
    </cfRule>
  </conditionalFormatting>
  <conditionalFormatting sqref="R838">
    <cfRule type="expression" dxfId="915" priority="2366">
      <formula xml:space="preserve"> $R$1 = "relevant"</formula>
    </cfRule>
  </conditionalFormatting>
  <conditionalFormatting sqref="R841 F949:F954 H949:H954">
    <cfRule type="expression" dxfId="914" priority="1090">
      <formula>$A841 = "begin repeat"</formula>
    </cfRule>
    <cfRule type="expression" dxfId="913" priority="1091">
      <formula xml:space="preserve"> $A849 = "end repeat"</formula>
    </cfRule>
    <cfRule type="expression" dxfId="912" priority="1089">
      <formula>AND($U$1="disabled",$U841="yes")</formula>
    </cfRule>
  </conditionalFormatting>
  <conditionalFormatting sqref="R850">
    <cfRule type="expression" dxfId="911" priority="1144">
      <formula xml:space="preserve"> $R$1 = "relevant"</formula>
    </cfRule>
  </conditionalFormatting>
  <conditionalFormatting sqref="R851">
    <cfRule type="expression" dxfId="910" priority="1149">
      <formula xml:space="preserve"> $R$1 = "relevant"</formula>
    </cfRule>
  </conditionalFormatting>
  <conditionalFormatting sqref="R852">
    <cfRule type="expression" dxfId="909" priority="31">
      <formula xml:space="preserve"> $R$1 = "relevant"</formula>
    </cfRule>
  </conditionalFormatting>
  <conditionalFormatting sqref="R856">
    <cfRule type="expression" dxfId="908" priority="1227">
      <formula xml:space="preserve"> $R$1 = "relevant"</formula>
    </cfRule>
  </conditionalFormatting>
  <conditionalFormatting sqref="R858:R862">
    <cfRule type="expression" dxfId="907" priority="1183">
      <formula xml:space="preserve"> $R$1 = "relevant"</formula>
    </cfRule>
  </conditionalFormatting>
  <conditionalFormatting sqref="R863:R865">
    <cfRule type="expression" dxfId="906" priority="1178">
      <formula xml:space="preserve"> $R$1 = "relevant"</formula>
    </cfRule>
  </conditionalFormatting>
  <conditionalFormatting sqref="R871:R872">
    <cfRule type="expression" dxfId="905" priority="1288">
      <formula xml:space="preserve"> $R$1 = "relevant"</formula>
    </cfRule>
  </conditionalFormatting>
  <conditionalFormatting sqref="R873:R907 R857 R866:R870 R853:R855 R970 R1003:R1007 R998:R999 R972:R995 R957 R1015:R1018 R968 R962:R966 R841:R849">
    <cfRule type="expression" dxfId="904" priority="1304">
      <formula xml:space="preserve"> $R$1 = "relevant"</formula>
    </cfRule>
  </conditionalFormatting>
  <conditionalFormatting sqref="R908">
    <cfRule type="expression" dxfId="903" priority="1284">
      <formula xml:space="preserve"> $R$1 = "relevant"</formula>
    </cfRule>
  </conditionalFormatting>
  <conditionalFormatting sqref="R909:R911">
    <cfRule type="expression" dxfId="902" priority="1215">
      <formula xml:space="preserve"> $R$1 = "relevant"</formula>
    </cfRule>
  </conditionalFormatting>
  <conditionalFormatting sqref="R912">
    <cfRule type="expression" dxfId="901" priority="1198">
      <formula xml:space="preserve"> $R$1 = "relevant"</formula>
    </cfRule>
  </conditionalFormatting>
  <conditionalFormatting sqref="R913:R915">
    <cfRule type="expression" dxfId="900" priority="1207">
      <formula xml:space="preserve"> $R$1 = "relevant"</formula>
    </cfRule>
  </conditionalFormatting>
  <conditionalFormatting sqref="R916:R924">
    <cfRule type="expression" dxfId="899" priority="1219">
      <formula xml:space="preserve"> $R$1 = "relevant"</formula>
    </cfRule>
  </conditionalFormatting>
  <conditionalFormatting sqref="R925:R927">
    <cfRule type="expression" dxfId="898" priority="1279">
      <formula xml:space="preserve"> $R$1 = "relevant"</formula>
    </cfRule>
  </conditionalFormatting>
  <conditionalFormatting sqref="R928">
    <cfRule type="expression" dxfId="897" priority="1266">
      <formula xml:space="preserve"> $R$1 = "relevant"</formula>
    </cfRule>
  </conditionalFormatting>
  <conditionalFormatting sqref="R929:R942">
    <cfRule type="expression" dxfId="896" priority="1270">
      <formula xml:space="preserve"> $R$1 = "relevant"</formula>
    </cfRule>
  </conditionalFormatting>
  <conditionalFormatting sqref="R943:R952">
    <cfRule type="expression" dxfId="895" priority="861">
      <formula xml:space="preserve"> $R$1 = "relevant"</formula>
    </cfRule>
  </conditionalFormatting>
  <conditionalFormatting sqref="R953:R954">
    <cfRule type="expression" dxfId="894" priority="834">
      <formula xml:space="preserve"> $R$1 = "relevant"</formula>
    </cfRule>
  </conditionalFormatting>
  <conditionalFormatting sqref="R955:R956">
    <cfRule type="expression" dxfId="893" priority="1296">
      <formula xml:space="preserve"> $R$1 = "relevant"</formula>
    </cfRule>
  </conditionalFormatting>
  <conditionalFormatting sqref="R957">
    <cfRule type="expression" dxfId="892" priority="760">
      <formula xml:space="preserve"> $R$1 = "relevant"</formula>
    </cfRule>
  </conditionalFormatting>
  <conditionalFormatting sqref="R958">
    <cfRule type="expression" dxfId="891" priority="749">
      <formula xml:space="preserve"> $R$1 = "relevant"</formula>
    </cfRule>
  </conditionalFormatting>
  <conditionalFormatting sqref="R959:R960">
    <cfRule type="expression" dxfId="890" priority="742">
      <formula xml:space="preserve"> $R$1 = "relevant"</formula>
    </cfRule>
    <cfRule type="expression" dxfId="889" priority="738">
      <formula xml:space="preserve"> $R$1 = "relevant"</formula>
    </cfRule>
  </conditionalFormatting>
  <conditionalFormatting sqref="R961">
    <cfRule type="expression" dxfId="888" priority="753">
      <formula xml:space="preserve"> $R$1 = "relevant"</formula>
    </cfRule>
  </conditionalFormatting>
  <conditionalFormatting sqref="R966">
    <cfRule type="expression" dxfId="887" priority="734">
      <formula xml:space="preserve"> $R$1 = "relevant"</formula>
    </cfRule>
  </conditionalFormatting>
  <conditionalFormatting sqref="R969 R841 A869:A872 I869:I872 L869:W872 B986:B995 J986:J995 B974:B984 J974:J984">
    <cfRule type="expression" dxfId="886" priority="1092">
      <formula>AND($U$1="disabled",$U841="yes")</formula>
    </cfRule>
    <cfRule type="expression" dxfId="885" priority="1093">
      <formula>$A841 = "begin repeat"</formula>
    </cfRule>
    <cfRule type="expression" dxfId="884" priority="1094">
      <formula xml:space="preserve"> $A853 = "end repeat"</formula>
    </cfRule>
  </conditionalFormatting>
  <conditionalFormatting sqref="R969">
    <cfRule type="expression" dxfId="883" priority="1097">
      <formula xml:space="preserve"> $A978 = "end repeat"</formula>
    </cfRule>
    <cfRule type="expression" dxfId="882" priority="1095">
      <formula>AND($U$1="disabled",$U969="yes")</formula>
    </cfRule>
    <cfRule type="expression" dxfId="881" priority="1096">
      <formula>$A969 = "begin repeat"</formula>
    </cfRule>
    <cfRule type="expression" dxfId="880" priority="1138">
      <formula xml:space="preserve"> $R$1 = "relevant"</formula>
    </cfRule>
  </conditionalFormatting>
  <conditionalFormatting sqref="R971">
    <cfRule type="expression" dxfId="879" priority="1292">
      <formula xml:space="preserve"> $R$1 = "relevant"</formula>
    </cfRule>
  </conditionalFormatting>
  <conditionalFormatting sqref="R996:R997">
    <cfRule type="expression" dxfId="878" priority="813">
      <formula xml:space="preserve"> $R$1 = "relevant"</formula>
    </cfRule>
  </conditionalFormatting>
  <conditionalFormatting sqref="R1001:R1002">
    <cfRule type="expression" dxfId="877" priority="1161">
      <formula xml:space="preserve"> $R$1 = "relevant"</formula>
    </cfRule>
  </conditionalFormatting>
  <conditionalFormatting sqref="R1008">
    <cfRule type="expression" dxfId="876" priority="1243">
      <formula xml:space="preserve"> $R$1 = "relevant"</formula>
    </cfRule>
  </conditionalFormatting>
  <conditionalFormatting sqref="R1009">
    <cfRule type="expression" dxfId="875" priority="1248">
      <formula xml:space="preserve"> $R$1 = "relevant"</formula>
    </cfRule>
  </conditionalFormatting>
  <conditionalFormatting sqref="R1010">
    <cfRule type="expression" dxfId="874" priority="1253">
      <formula xml:space="preserve"> $R$1 = "relevant"</formula>
    </cfRule>
  </conditionalFormatting>
  <conditionalFormatting sqref="R1011">
    <cfRule type="expression" dxfId="873" priority="1257">
      <formula xml:space="preserve"> $R$1 = "relevant"</formula>
    </cfRule>
  </conditionalFormatting>
  <conditionalFormatting sqref="R1012">
    <cfRule type="expression" dxfId="872" priority="1235">
      <formula xml:space="preserve"> $R$1 = "relevant"</formula>
    </cfRule>
  </conditionalFormatting>
  <conditionalFormatting sqref="R1013:R1016">
    <cfRule type="expression" dxfId="871" priority="1239">
      <formula xml:space="preserve"> $R$1 = "relevant"</formula>
    </cfRule>
  </conditionalFormatting>
  <conditionalFormatting sqref="R345:S345 P345 U345:V345 K345:N345 D345">
    <cfRule type="expression" dxfId="870" priority="7481">
      <formula>AND($K345="section",$A345="begin group")</formula>
    </cfRule>
    <cfRule type="expression" dxfId="869" priority="7483">
      <formula xml:space="preserve"> $A345 = "begin group"</formula>
    </cfRule>
    <cfRule type="expression" dxfId="868" priority="7484">
      <formula xml:space="preserve"> AND($K345="gg",$A345 = "end group")</formula>
    </cfRule>
    <cfRule type="expression" dxfId="867" priority="7482">
      <formula>AND($K345 = "section",$A345 = "end group")</formula>
    </cfRule>
  </conditionalFormatting>
  <conditionalFormatting sqref="S1:S8 S10:S17">
    <cfRule type="expression" dxfId="866" priority="60853">
      <formula xml:space="preserve"> $S$1 = "calculation"</formula>
    </cfRule>
  </conditionalFormatting>
  <conditionalFormatting sqref="S9 A16:J17 L16:W17">
    <cfRule type="expression" dxfId="865" priority="1630927">
      <formula>$A9 = "begin repeat"</formula>
    </cfRule>
    <cfRule type="expression" dxfId="864" priority="1630928">
      <formula xml:space="preserve"> #REF! = "end repeat"</formula>
    </cfRule>
  </conditionalFormatting>
  <conditionalFormatting sqref="S9">
    <cfRule type="expression" dxfId="863" priority="1630956">
      <formula>$A9 = "begin repeat"</formula>
    </cfRule>
    <cfRule type="expression" dxfId="862" priority="1630957">
      <formula xml:space="preserve"> #REF! = "end repeat"</formula>
    </cfRule>
    <cfRule type="expression" dxfId="861" priority="30241">
      <formula xml:space="preserve"> $S$1 = "calculation"</formula>
    </cfRule>
    <cfRule type="expression" dxfId="860" priority="1630955">
      <formula>AND($U$1="disabled",$U9="yes")</formula>
    </cfRule>
  </conditionalFormatting>
  <conditionalFormatting sqref="S18:S20 S22:S23">
    <cfRule type="expression" dxfId="859" priority="28558">
      <formula xml:space="preserve"> AND(#REF!="gg",$A18 = "end group")</formula>
    </cfRule>
    <cfRule type="expression" dxfId="858" priority="28555">
      <formula>AND(#REF!="section",$A18="begin group")</formula>
    </cfRule>
    <cfRule type="expression" dxfId="857" priority="28557">
      <formula xml:space="preserve"> $A18 = "begin group"</formula>
    </cfRule>
    <cfRule type="expression" dxfId="856" priority="28556">
      <formula>AND(#REF! = "section",$A18 = "end group")</formula>
    </cfRule>
  </conditionalFormatting>
  <conditionalFormatting sqref="S18:S20">
    <cfRule type="expression" dxfId="855" priority="28545">
      <formula>AND($U$1="disabled",#REF!="yes")</formula>
    </cfRule>
    <cfRule type="expression" dxfId="854" priority="28559">
      <formula xml:space="preserve"> $Z$1 = "calculation"</formula>
    </cfRule>
    <cfRule type="expression" dxfId="853" priority="28546">
      <formula>$A18 = "begin repeat"</formula>
    </cfRule>
    <cfRule type="expression" dxfId="852" priority="28547">
      <formula xml:space="preserve"> #REF! = "end repeat"</formula>
    </cfRule>
  </conditionalFormatting>
  <conditionalFormatting sqref="S22:S23 U18:U20 U22:U23">
    <cfRule type="expression" dxfId="851" priority="28560">
      <formula>AND($U$1="disabled",#REF!="yes")</formula>
    </cfRule>
  </conditionalFormatting>
  <conditionalFormatting sqref="S24">
    <cfRule type="expression" dxfId="850" priority="28553">
      <formula>#REF!="end repeat"</formula>
    </cfRule>
    <cfRule type="expression" dxfId="849" priority="28554">
      <formula>AND($M$1 = "disabled",$M24= "yes")</formula>
    </cfRule>
    <cfRule type="duplicateValues" dxfId="848" priority="28548"/>
    <cfRule type="expression" dxfId="847" priority="28549">
      <formula xml:space="preserve"> $K$1 = "calculation"</formula>
    </cfRule>
    <cfRule type="expression" dxfId="846" priority="28551">
      <formula>#REF! ="end group"</formula>
    </cfRule>
    <cfRule type="expression" dxfId="845" priority="28550">
      <formula>#REF!="begin group"</formula>
    </cfRule>
    <cfRule type="expression" dxfId="844" priority="28552">
      <formula>#REF!="begin repeat"</formula>
    </cfRule>
  </conditionalFormatting>
  <conditionalFormatting sqref="S27 Y27">
    <cfRule type="expression" dxfId="843" priority="29872">
      <formula>$A27 = "begin repeat"</formula>
    </cfRule>
    <cfRule type="expression" dxfId="842" priority="29873">
      <formula xml:space="preserve"> #REF! = "end repeat"</formula>
    </cfRule>
    <cfRule type="expression" dxfId="841" priority="29871">
      <formula>AND($AC$1="disabled",$AC27="yes")</formula>
    </cfRule>
  </conditionalFormatting>
  <conditionalFormatting sqref="S27">
    <cfRule type="expression" dxfId="840" priority="29848">
      <formula>AND(#REF!="section",$A27="begin group")</formula>
    </cfRule>
    <cfRule type="expression" dxfId="839" priority="29852">
      <formula xml:space="preserve"> $AB$1 = "calculation"</formula>
    </cfRule>
    <cfRule type="expression" dxfId="838" priority="29850">
      <formula xml:space="preserve"> $A27 = "begin group"</formula>
    </cfRule>
    <cfRule type="expression" dxfId="837" priority="29851">
      <formula xml:space="preserve"> AND(#REF!="gg",$A27 = "end group")</formula>
    </cfRule>
    <cfRule type="expression" dxfId="836" priority="29849">
      <formula>AND(#REF! = "section",$A27 = "end group")</formula>
    </cfRule>
  </conditionalFormatting>
  <conditionalFormatting sqref="S28 H28:I31 A28:D32 G28:G32 L28:L32 N28:O32 R28:R32 T28:W32 P32">
    <cfRule type="expression" dxfId="835" priority="741991">
      <formula>$B28 = "begin repeat"</formula>
    </cfRule>
    <cfRule type="expression" dxfId="834" priority="741992">
      <formula xml:space="preserve"> #REF! = "end repeat"</formula>
    </cfRule>
    <cfRule type="expression" dxfId="833" priority="744077">
      <formula xml:space="preserve"> $B28 = "begin group"</formula>
    </cfRule>
    <cfRule type="expression" dxfId="832" priority="744076">
      <formula>AND($L28 = "section",$B28 = "end group")</formula>
    </cfRule>
    <cfRule type="expression" dxfId="831" priority="744078">
      <formula xml:space="preserve"> AND($L28="gg",$B28 = "end group")</formula>
    </cfRule>
    <cfRule type="expression" dxfId="830" priority="744075">
      <formula>AND($L28="section",$B28="begin group")</formula>
    </cfRule>
  </conditionalFormatting>
  <conditionalFormatting sqref="S28 N28:O32 L28:L32 P32 A28:D32 H28:I31 G28:G32 R28:R32 T28:W32">
    <cfRule type="expression" dxfId="829" priority="741990">
      <formula>AND($N$1="disabled",$R28="yes")</formula>
    </cfRule>
  </conditionalFormatting>
  <conditionalFormatting sqref="S29">
    <cfRule type="expression" dxfId="828" priority="742017">
      <formula>AND($N$1="disabled",$R32="yes")</formula>
    </cfRule>
    <cfRule type="expression" dxfId="827" priority="744110">
      <formula xml:space="preserve"> AND($L32="gg",$B32 = "end group")</formula>
    </cfRule>
    <cfRule type="expression" dxfId="826" priority="744109">
      <formula xml:space="preserve"> $B32 = "begin group"</formula>
    </cfRule>
    <cfRule type="expression" dxfId="825" priority="742019">
      <formula xml:space="preserve"> #REF! = "end repeat"</formula>
    </cfRule>
    <cfRule type="expression" dxfId="824" priority="744107">
      <formula>AND($L32="section",$B32="begin group")</formula>
    </cfRule>
    <cfRule type="expression" dxfId="823" priority="744108">
      <formula>AND($L32 = "section",$B32 = "end group")</formula>
    </cfRule>
    <cfRule type="expression" dxfId="822" priority="742018">
      <formula>$B32 = "begin repeat"</formula>
    </cfRule>
  </conditionalFormatting>
  <conditionalFormatting sqref="S30:S32">
    <cfRule type="expression" dxfId="821" priority="744113">
      <formula xml:space="preserve"> $B29 = "begin group"</formula>
    </cfRule>
    <cfRule type="expression" dxfId="820" priority="744112">
      <formula>AND($L29 = "section",$B29 = "end group")</formula>
    </cfRule>
    <cfRule type="expression" dxfId="819" priority="744111">
      <formula>AND($L29="section",$B29="begin group")</formula>
    </cfRule>
    <cfRule type="expression" dxfId="818" priority="744114">
      <formula xml:space="preserve"> AND($L29="gg",$B29 = "end group")</formula>
    </cfRule>
    <cfRule type="expression" dxfId="817" priority="742016">
      <formula xml:space="preserve"> #REF! = "end repeat"</formula>
    </cfRule>
    <cfRule type="expression" dxfId="816" priority="742015">
      <formula>$B29 = "begin repeat"</formula>
    </cfRule>
    <cfRule type="expression" dxfId="815" priority="742014">
      <formula>AND($N$1="disabled",$R29="yes")</formula>
    </cfRule>
  </conditionalFormatting>
  <conditionalFormatting sqref="S34:S35">
    <cfRule type="expression" dxfId="814" priority="30162">
      <formula xml:space="preserve"> $S$1 = "relevant"</formula>
    </cfRule>
  </conditionalFormatting>
  <conditionalFormatting sqref="S62:S63">
    <cfRule type="expression" dxfId="813" priority="8873">
      <formula xml:space="preserve"> $S$1 = "calculation"</formula>
    </cfRule>
  </conditionalFormatting>
  <conditionalFormatting sqref="S64:S65">
    <cfRule type="expression" dxfId="812" priority="8878">
      <formula xml:space="preserve"> $S$1 = "calculation"</formula>
    </cfRule>
  </conditionalFormatting>
  <conditionalFormatting sqref="S66:S67">
    <cfRule type="expression" dxfId="811" priority="8883">
      <formula xml:space="preserve"> $S$1 = "calculation"</formula>
    </cfRule>
  </conditionalFormatting>
  <conditionalFormatting sqref="S81:S89">
    <cfRule type="expression" dxfId="810" priority="8745">
      <formula xml:space="preserve"> $S$1 = "calculation"</formula>
    </cfRule>
  </conditionalFormatting>
  <conditionalFormatting sqref="S90:S94">
    <cfRule type="expression" dxfId="809" priority="8732">
      <formula xml:space="preserve"> $S$1 = "calculation"</formula>
    </cfRule>
  </conditionalFormatting>
  <conditionalFormatting sqref="S104:S106 S110:S113">
    <cfRule type="expression" dxfId="808" priority="8868">
      <formula xml:space="preserve"> $S$1 = "calculation"</formula>
    </cfRule>
  </conditionalFormatting>
  <conditionalFormatting sqref="S107:S108">
    <cfRule type="expression" dxfId="807" priority="7932">
      <formula xml:space="preserve"> $S$1 = "calculation"</formula>
    </cfRule>
  </conditionalFormatting>
  <conditionalFormatting sqref="S109">
    <cfRule type="expression" dxfId="806" priority="7901">
      <formula xml:space="preserve"> $S$1 = "calculation"</formula>
    </cfRule>
  </conditionalFormatting>
  <conditionalFormatting sqref="S117">
    <cfRule type="expression" dxfId="805" priority="8238">
      <formula xml:space="preserve"> $S$1 = "calculation"</formula>
    </cfRule>
  </conditionalFormatting>
  <conditionalFormatting sqref="S118:S119">
    <cfRule type="expression" dxfId="804" priority="8244">
      <formula xml:space="preserve"> $S$1 = "calculation"</formula>
    </cfRule>
  </conditionalFormatting>
  <conditionalFormatting sqref="S120">
    <cfRule type="expression" dxfId="803" priority="8215">
      <formula xml:space="preserve"> $S$1 = "calculation"</formula>
    </cfRule>
  </conditionalFormatting>
  <conditionalFormatting sqref="S121:S122">
    <cfRule type="expression" dxfId="802" priority="8198">
      <formula xml:space="preserve"> $S$1 = "calculation"</formula>
    </cfRule>
  </conditionalFormatting>
  <conditionalFormatting sqref="S126">
    <cfRule type="expression" dxfId="801" priority="8933">
      <formula xml:space="preserve"> $S$1 = "calculation"</formula>
    </cfRule>
  </conditionalFormatting>
  <conditionalFormatting sqref="S131">
    <cfRule type="expression" dxfId="800" priority="8311">
      <formula xml:space="preserve"> $S$1 = "calculation"</formula>
    </cfRule>
  </conditionalFormatting>
  <conditionalFormatting sqref="S132">
    <cfRule type="expression" dxfId="799" priority="8837">
      <formula xml:space="preserve"> $S$1 = "calculation"</formula>
    </cfRule>
  </conditionalFormatting>
  <conditionalFormatting sqref="S144:S148">
    <cfRule type="expression" dxfId="798" priority="8823">
      <formula xml:space="preserve"> $S$1 = "calculation"</formula>
    </cfRule>
  </conditionalFormatting>
  <conditionalFormatting sqref="S149">
    <cfRule type="expression" dxfId="797" priority="8818">
      <formula xml:space="preserve"> $S$1 = "calculation"</formula>
    </cfRule>
  </conditionalFormatting>
  <conditionalFormatting sqref="S150:S154">
    <cfRule type="expression" dxfId="796" priority="8832">
      <formula xml:space="preserve"> $S$1 = "calculation"</formula>
    </cfRule>
  </conditionalFormatting>
  <conditionalFormatting sqref="S155">
    <cfRule type="expression" dxfId="795" priority="8827">
      <formula xml:space="preserve"> $S$1 = "calculation"</formula>
    </cfRule>
  </conditionalFormatting>
  <conditionalFormatting sqref="S172:S182">
    <cfRule type="expression" dxfId="794" priority="8857">
      <formula xml:space="preserve"> $S$1 = "calculation"</formula>
    </cfRule>
  </conditionalFormatting>
  <conditionalFormatting sqref="S183">
    <cfRule type="expression" dxfId="793" priority="8842">
      <formula xml:space="preserve"> $S$1 = "calculation"</formula>
    </cfRule>
  </conditionalFormatting>
  <conditionalFormatting sqref="S192:S193">
    <cfRule type="expression" dxfId="792" priority="7857">
      <formula xml:space="preserve"> $S$1 = "calculation"</formula>
    </cfRule>
  </conditionalFormatting>
  <conditionalFormatting sqref="S194">
    <cfRule type="expression" dxfId="791" priority="7829">
      <formula xml:space="preserve"> $S$1 = "calculation"</formula>
    </cfRule>
  </conditionalFormatting>
  <conditionalFormatting sqref="S195:S199">
    <cfRule type="expression" dxfId="790" priority="8711">
      <formula xml:space="preserve"> $S$1 = "calculation"</formula>
    </cfRule>
  </conditionalFormatting>
  <conditionalFormatting sqref="S202">
    <cfRule type="expression" dxfId="789" priority="8161">
      <formula xml:space="preserve"> $S$1 = "calculation"</formula>
    </cfRule>
  </conditionalFormatting>
  <conditionalFormatting sqref="S203:S204">
    <cfRule type="expression" dxfId="788" priority="8140">
      <formula xml:space="preserve"> $S$1 = "calculation"</formula>
    </cfRule>
  </conditionalFormatting>
  <conditionalFormatting sqref="S205">
    <cfRule type="expression" dxfId="787" priority="8174">
      <formula xml:space="preserve"> $S$1 = "calculation"</formula>
    </cfRule>
  </conditionalFormatting>
  <conditionalFormatting sqref="S206">
    <cfRule type="expression" dxfId="786" priority="8929">
      <formula xml:space="preserve"> $S$1 = "calculation"</formula>
    </cfRule>
  </conditionalFormatting>
  <conditionalFormatting sqref="S207 S68:S80 S184:S191 S156:S171 S133:S143 S95:S103 S210 S36:S61 S127:S130 S123:S125 S114:S116 S200:S201">
    <cfRule type="expression" dxfId="785" priority="8939">
      <formula xml:space="preserve"> $S$1 = "calculation"</formula>
    </cfRule>
  </conditionalFormatting>
  <conditionalFormatting sqref="S208">
    <cfRule type="expression" dxfId="784" priority="8921">
      <formula xml:space="preserve"> $S$1 = "calculation"</formula>
    </cfRule>
  </conditionalFormatting>
  <conditionalFormatting sqref="S209">
    <cfRule type="expression" dxfId="783" priority="8925">
      <formula xml:space="preserve"> $S$1 = "calculation"</formula>
    </cfRule>
  </conditionalFormatting>
  <conditionalFormatting sqref="S219">
    <cfRule type="expression" dxfId="782" priority="7639">
      <formula xml:space="preserve"> $S$1 = "calculation"</formula>
    </cfRule>
  </conditionalFormatting>
  <conditionalFormatting sqref="S220">
    <cfRule type="expression" dxfId="781" priority="7644">
      <formula xml:space="preserve"> $S$1 = "calculation"</formula>
    </cfRule>
  </conditionalFormatting>
  <conditionalFormatting sqref="S221">
    <cfRule type="expression" dxfId="780" priority="7756">
      <formula xml:space="preserve"> $S$1 = "calculation"</formula>
    </cfRule>
  </conditionalFormatting>
  <conditionalFormatting sqref="S222">
    <cfRule type="expression" dxfId="779" priority="7761">
      <formula xml:space="preserve"> $S$1 = "calculation"</formula>
    </cfRule>
  </conditionalFormatting>
  <conditionalFormatting sqref="S252">
    <cfRule type="expression" dxfId="778" priority="7773">
      <formula xml:space="preserve"> $S$1 = "calculation"</formula>
    </cfRule>
  </conditionalFormatting>
  <conditionalFormatting sqref="S253">
    <cfRule type="expression" dxfId="777" priority="7629">
      <formula xml:space="preserve"> $S$1 = "calculation"</formula>
    </cfRule>
  </conditionalFormatting>
  <conditionalFormatting sqref="S254">
    <cfRule type="expression" dxfId="776" priority="7634">
      <formula xml:space="preserve"> $S$1 = "calculation"</formula>
    </cfRule>
  </conditionalFormatting>
  <conditionalFormatting sqref="S258">
    <cfRule type="expression" dxfId="775" priority="7747">
      <formula xml:space="preserve"> $S$1 = "calculation"</formula>
    </cfRule>
  </conditionalFormatting>
  <conditionalFormatting sqref="S259:S261">
    <cfRule type="expression" dxfId="774" priority="7751">
      <formula xml:space="preserve"> $S$1 = "calculation"</formula>
    </cfRule>
  </conditionalFormatting>
  <conditionalFormatting sqref="S262">
    <cfRule type="expression" dxfId="773" priority="7743">
      <formula xml:space="preserve"> $S$1 = "calculation"</formula>
    </cfRule>
  </conditionalFormatting>
  <conditionalFormatting sqref="S263">
    <cfRule type="expression" dxfId="772" priority="7769">
      <formula xml:space="preserve"> $S$1 = "calculation"</formula>
    </cfRule>
  </conditionalFormatting>
  <conditionalFormatting sqref="S282">
    <cfRule type="expression" dxfId="771" priority="7733">
      <formula xml:space="preserve"> $S$1 = "calculation"</formula>
    </cfRule>
  </conditionalFormatting>
  <conditionalFormatting sqref="S283:S284">
    <cfRule type="expression" dxfId="770" priority="7738">
      <formula xml:space="preserve"> $S$1 = "calculation"</formula>
    </cfRule>
  </conditionalFormatting>
  <conditionalFormatting sqref="S285">
    <cfRule type="expression" dxfId="769" priority="7728">
      <formula xml:space="preserve"> $S$1 = "calculation"</formula>
    </cfRule>
  </conditionalFormatting>
  <conditionalFormatting sqref="S288">
    <cfRule type="expression" dxfId="768" priority="7723">
      <formula xml:space="preserve"> $S$1 = "calculation"</formula>
    </cfRule>
  </conditionalFormatting>
  <conditionalFormatting sqref="S289">
    <cfRule type="expression" dxfId="767" priority="7718">
      <formula xml:space="preserve"> $S$1 = "calculation"</formula>
    </cfRule>
  </conditionalFormatting>
  <conditionalFormatting sqref="S294">
    <cfRule type="expression" dxfId="766" priority="7783">
      <formula xml:space="preserve"> $S$1 = "calculation"</formula>
    </cfRule>
  </conditionalFormatting>
  <conditionalFormatting sqref="S295:S296 S298:S299 S346 S255:S257 S348:S351 S223:S226 S290:S293 S286:S287 S357 S241:S251 S211:S218 S264:S267 S273:S281 S353 S355">
    <cfRule type="expression" dxfId="765" priority="7798">
      <formula xml:space="preserve"> $S$1 = "calculation"</formula>
    </cfRule>
  </conditionalFormatting>
  <conditionalFormatting sqref="S297">
    <cfRule type="expression" dxfId="764" priority="7778">
      <formula xml:space="preserve"> $S$1 = "calculation"</formula>
    </cfRule>
  </conditionalFormatting>
  <conditionalFormatting sqref="S300">
    <cfRule type="expression" dxfId="763" priority="7674">
      <formula xml:space="preserve"> $S$1 = "calculation"</formula>
    </cfRule>
  </conditionalFormatting>
  <conditionalFormatting sqref="S301">
    <cfRule type="expression" dxfId="762" priority="7669">
      <formula xml:space="preserve"> $S$1 = "calculation"</formula>
    </cfRule>
  </conditionalFormatting>
  <conditionalFormatting sqref="S302">
    <cfRule type="expression" dxfId="761" priority="7684">
      <formula xml:space="preserve"> $S$1 = "calculation"</formula>
    </cfRule>
  </conditionalFormatting>
  <conditionalFormatting sqref="S303">
    <cfRule type="expression" dxfId="760" priority="7679">
      <formula xml:space="preserve"> $S$1 = "calculation"</formula>
    </cfRule>
  </conditionalFormatting>
  <conditionalFormatting sqref="S304">
    <cfRule type="expression" dxfId="759" priority="7694">
      <formula xml:space="preserve"> $S$1 = "calculation"</formula>
    </cfRule>
  </conditionalFormatting>
  <conditionalFormatting sqref="S305">
    <cfRule type="expression" dxfId="758" priority="7689">
      <formula xml:space="preserve"> $S$1 = "calculation"</formula>
    </cfRule>
  </conditionalFormatting>
  <conditionalFormatting sqref="S306">
    <cfRule type="expression" dxfId="757" priority="7247">
      <formula xml:space="preserve"> $S$1 = "calculation"</formula>
    </cfRule>
  </conditionalFormatting>
  <conditionalFormatting sqref="S307">
    <cfRule type="expression" dxfId="756" priority="7242">
      <formula xml:space="preserve"> $S$1 = "calculation"</formula>
    </cfRule>
  </conditionalFormatting>
  <conditionalFormatting sqref="S308">
    <cfRule type="expression" dxfId="755" priority="7258">
      <formula xml:space="preserve"> $S$1 = "calculation"</formula>
    </cfRule>
  </conditionalFormatting>
  <conditionalFormatting sqref="S309:S311">
    <cfRule type="expression" dxfId="754" priority="7253">
      <formula xml:space="preserve"> $S$1 = "calculation"</formula>
    </cfRule>
  </conditionalFormatting>
  <conditionalFormatting sqref="S312">
    <cfRule type="expression" dxfId="753" priority="7704">
      <formula xml:space="preserve"> $S$1 = "calculation"</formula>
    </cfRule>
  </conditionalFormatting>
  <conditionalFormatting sqref="S313">
    <cfRule type="expression" dxfId="752" priority="7699">
      <formula xml:space="preserve"> $S$1 = "calculation"</formula>
    </cfRule>
  </conditionalFormatting>
  <conditionalFormatting sqref="S314">
    <cfRule type="expression" dxfId="751" priority="7713">
      <formula xml:space="preserve"> $S$1 = "calculation"</formula>
    </cfRule>
  </conditionalFormatting>
  <conditionalFormatting sqref="S315:S317">
    <cfRule type="expression" dxfId="750" priority="7708">
      <formula xml:space="preserve"> $S$1 = "calculation"</formula>
    </cfRule>
  </conditionalFormatting>
  <conditionalFormatting sqref="S322">
    <cfRule type="expression" dxfId="749" priority="7129">
      <formula xml:space="preserve"> $S$1 = "calculation"</formula>
    </cfRule>
  </conditionalFormatting>
  <conditionalFormatting sqref="S323">
    <cfRule type="expression" dxfId="748" priority="6997">
      <formula xml:space="preserve"> $S$1 = "calculation"</formula>
    </cfRule>
  </conditionalFormatting>
  <conditionalFormatting sqref="S324 S326">
    <cfRule type="expression" dxfId="747" priority="7134">
      <formula xml:space="preserve"> $S$1 = "calculation"</formula>
    </cfRule>
  </conditionalFormatting>
  <conditionalFormatting sqref="S325">
    <cfRule type="expression" dxfId="746" priority="6977">
      <formula xml:space="preserve"> $S$1 = "calculation"</formula>
    </cfRule>
  </conditionalFormatting>
  <conditionalFormatting sqref="S329">
    <cfRule type="expression" dxfId="745" priority="7124">
      <formula xml:space="preserve"> $S$1 = "calculation"</formula>
    </cfRule>
  </conditionalFormatting>
  <conditionalFormatting sqref="S330">
    <cfRule type="expression" dxfId="744" priority="7119">
      <formula xml:space="preserve"> $S$1 = "calculation"</formula>
    </cfRule>
  </conditionalFormatting>
  <conditionalFormatting sqref="S335">
    <cfRule type="expression" dxfId="743" priority="7144">
      <formula xml:space="preserve"> $S$1 = "calculation"</formula>
    </cfRule>
  </conditionalFormatting>
  <conditionalFormatting sqref="S336:S337 S339 S331:S334 S327:S328 S318:S321">
    <cfRule type="expression" dxfId="742" priority="7149">
      <formula xml:space="preserve"> $S$1 = "calculation"</formula>
    </cfRule>
  </conditionalFormatting>
  <conditionalFormatting sqref="S338">
    <cfRule type="expression" dxfId="741" priority="7139">
      <formula xml:space="preserve"> $S$1 = "calculation"</formula>
    </cfRule>
  </conditionalFormatting>
  <conditionalFormatting sqref="S340">
    <cfRule type="expression" dxfId="740" priority="7069">
      <formula xml:space="preserve"> $S$1 = "calculation"</formula>
    </cfRule>
  </conditionalFormatting>
  <conditionalFormatting sqref="S341">
    <cfRule type="expression" dxfId="739" priority="7052">
      <formula xml:space="preserve"> $S$1 = "calculation"</formula>
    </cfRule>
  </conditionalFormatting>
  <conditionalFormatting sqref="S342:S344">
    <cfRule type="expression" dxfId="738" priority="7035">
      <formula xml:space="preserve"> $S$1 = "calculation"</formula>
    </cfRule>
  </conditionalFormatting>
  <conditionalFormatting sqref="S345">
    <cfRule type="expression" dxfId="737" priority="7441">
      <formula xml:space="preserve"> $S$1 = "relevant"</formula>
    </cfRule>
  </conditionalFormatting>
  <conditionalFormatting sqref="S347">
    <cfRule type="expression" dxfId="736" priority="7787">
      <formula xml:space="preserve"> $S$1 = "calculation"</formula>
    </cfRule>
  </conditionalFormatting>
  <conditionalFormatting sqref="S352">
    <cfRule type="expression" dxfId="735" priority="7028">
      <formula xml:space="preserve"> $S$1 = "calculation"</formula>
    </cfRule>
  </conditionalFormatting>
  <conditionalFormatting sqref="S354">
    <cfRule type="expression" dxfId="734" priority="6953">
      <formula xml:space="preserve"> $S$1 = "calculation"</formula>
    </cfRule>
  </conditionalFormatting>
  <conditionalFormatting sqref="S356">
    <cfRule type="expression" dxfId="733" priority="7792">
      <formula xml:space="preserve"> $S$1 = "calculation"</formula>
    </cfRule>
  </conditionalFormatting>
  <conditionalFormatting sqref="S361:S362">
    <cfRule type="expression" dxfId="732" priority="6636">
      <formula xml:space="preserve"> $S$1 = "calculation"</formula>
    </cfRule>
  </conditionalFormatting>
  <conditionalFormatting sqref="S363:S366">
    <cfRule type="expression" dxfId="731" priority="6625">
      <formula xml:space="preserve"> $S$1 = "calculation"</formula>
    </cfRule>
  </conditionalFormatting>
  <conditionalFormatting sqref="S367">
    <cfRule type="expression" dxfId="730" priority="6620">
      <formula xml:space="preserve"> $S$1 = "calculation"</formula>
    </cfRule>
  </conditionalFormatting>
  <conditionalFormatting sqref="S368:S371">
    <cfRule type="expression" dxfId="729" priority="6630">
      <formula xml:space="preserve"> $S$1 = "calculation"</formula>
    </cfRule>
  </conditionalFormatting>
  <conditionalFormatting sqref="S374:S377">
    <cfRule type="expression" dxfId="728" priority="6830">
      <formula xml:space="preserve"> $S$1 = "calculation"</formula>
    </cfRule>
  </conditionalFormatting>
  <conditionalFormatting sqref="S378">
    <cfRule type="expression" dxfId="727" priority="6826">
      <formula xml:space="preserve"> $S$1 = "calculation"</formula>
    </cfRule>
  </conditionalFormatting>
  <conditionalFormatting sqref="S379:S382">
    <cfRule type="expression" dxfId="726" priority="6562">
      <formula xml:space="preserve"> $S$1 = "calculation"</formula>
    </cfRule>
  </conditionalFormatting>
  <conditionalFormatting sqref="S383">
    <cfRule type="expression" dxfId="725" priority="6558">
      <formula xml:space="preserve"> $S$1 = "calculation"</formula>
    </cfRule>
  </conditionalFormatting>
  <conditionalFormatting sqref="S384:S391">
    <cfRule type="expression" dxfId="724" priority="6570">
      <formula xml:space="preserve"> $S$1 = "calculation"</formula>
    </cfRule>
  </conditionalFormatting>
  <conditionalFormatting sqref="S392">
    <cfRule type="expression" dxfId="723" priority="6372">
      <formula xml:space="preserve"> $S$1 = "calculation"</formula>
    </cfRule>
  </conditionalFormatting>
  <conditionalFormatting sqref="S394">
    <cfRule type="expression" dxfId="722" priority="5762">
      <formula xml:space="preserve"> $S$1 = "calculation"</formula>
    </cfRule>
  </conditionalFormatting>
  <conditionalFormatting sqref="S395">
    <cfRule type="expression" dxfId="721" priority="5741">
      <formula xml:space="preserve"> $S$1 = "calculation"</formula>
    </cfRule>
  </conditionalFormatting>
  <conditionalFormatting sqref="S396">
    <cfRule type="expression" dxfId="720" priority="5982">
      <formula xml:space="preserve"> $S$1 = "calculation"</formula>
    </cfRule>
  </conditionalFormatting>
  <conditionalFormatting sqref="S397">
    <cfRule type="expression" dxfId="719" priority="5711">
      <formula xml:space="preserve"> $S$1 = "calculation"</formula>
    </cfRule>
  </conditionalFormatting>
  <conditionalFormatting sqref="S398">
    <cfRule type="expression" dxfId="718" priority="6314">
      <formula xml:space="preserve"> $S$1 = "calculation"</formula>
    </cfRule>
  </conditionalFormatting>
  <conditionalFormatting sqref="S399">
    <cfRule type="expression" dxfId="717" priority="6283">
      <formula xml:space="preserve"> $S$1 = "calculation"</formula>
    </cfRule>
  </conditionalFormatting>
  <conditionalFormatting sqref="S400">
    <cfRule type="expression" dxfId="716" priority="6252">
      <formula xml:space="preserve"> $S$1 = "calculation"</formula>
    </cfRule>
  </conditionalFormatting>
  <conditionalFormatting sqref="S401">
    <cfRule type="expression" dxfId="715" priority="3438">
      <formula xml:space="preserve"> $S$1 = "calculation"</formula>
    </cfRule>
  </conditionalFormatting>
  <conditionalFormatting sqref="S402">
    <cfRule type="expression" dxfId="714" priority="3404">
      <formula xml:space="preserve"> $S$1 = "calculation"</formula>
    </cfRule>
  </conditionalFormatting>
  <conditionalFormatting sqref="S403">
    <cfRule type="expression" dxfId="713" priority="5948">
      <formula xml:space="preserve"> $S$1 = "calculation"</formula>
    </cfRule>
  </conditionalFormatting>
  <conditionalFormatting sqref="S404">
    <cfRule type="expression" dxfId="712" priority="5787">
      <formula xml:space="preserve"> $S$1 = "calculation"</formula>
    </cfRule>
  </conditionalFormatting>
  <conditionalFormatting sqref="S405">
    <cfRule type="expression" dxfId="711" priority="6221">
      <formula xml:space="preserve"> $S$1 = "calculation"</formula>
    </cfRule>
  </conditionalFormatting>
  <conditionalFormatting sqref="S406">
    <cfRule type="expression" dxfId="710" priority="6190">
      <formula xml:space="preserve"> $S$1 = "calculation"</formula>
    </cfRule>
  </conditionalFormatting>
  <conditionalFormatting sqref="S407">
    <cfRule type="expression" dxfId="709" priority="5917">
      <formula xml:space="preserve"> $S$1 = "calculation"</formula>
    </cfRule>
  </conditionalFormatting>
  <conditionalFormatting sqref="S408">
    <cfRule type="expression" dxfId="708" priority="5818">
      <formula xml:space="preserve"> $S$1 = "calculation"</formula>
    </cfRule>
  </conditionalFormatting>
  <conditionalFormatting sqref="S409">
    <cfRule type="expression" dxfId="707" priority="5886">
      <formula xml:space="preserve"> $S$1 = "calculation"</formula>
    </cfRule>
  </conditionalFormatting>
  <conditionalFormatting sqref="S410">
    <cfRule type="expression" dxfId="706" priority="6150">
      <formula xml:space="preserve"> $S$1 = "calculation"</formula>
    </cfRule>
  </conditionalFormatting>
  <conditionalFormatting sqref="S411">
    <cfRule type="expression" dxfId="705" priority="6119">
      <formula xml:space="preserve"> $S$1 = "calculation"</formula>
    </cfRule>
  </conditionalFormatting>
  <conditionalFormatting sqref="S412">
    <cfRule type="expression" dxfId="704" priority="5855">
      <formula xml:space="preserve"> $S$1 = "calculation"</formula>
    </cfRule>
  </conditionalFormatting>
  <conditionalFormatting sqref="S413">
    <cfRule type="expression" dxfId="703" priority="5677">
      <formula xml:space="preserve"> $S$1 = "calculation"</formula>
    </cfRule>
  </conditionalFormatting>
  <conditionalFormatting sqref="S414">
    <cfRule type="expression" dxfId="702" priority="6088">
      <formula xml:space="preserve"> $S$1 = "calculation"</formula>
    </cfRule>
  </conditionalFormatting>
  <conditionalFormatting sqref="S415">
    <cfRule type="expression" dxfId="701" priority="6057">
      <formula xml:space="preserve"> $S$1 = "calculation"</formula>
    </cfRule>
  </conditionalFormatting>
  <conditionalFormatting sqref="S416">
    <cfRule type="expression" dxfId="700" priority="3367">
      <formula xml:space="preserve"> $S$1 = "calculation"</formula>
    </cfRule>
  </conditionalFormatting>
  <conditionalFormatting sqref="S417">
    <cfRule type="expression" dxfId="699" priority="3247">
      <formula xml:space="preserve"> $S$1 = "calculation"</formula>
    </cfRule>
  </conditionalFormatting>
  <conditionalFormatting sqref="S418">
    <cfRule type="expression" dxfId="698" priority="3216">
      <formula xml:space="preserve"> $S$1 = "calculation"</formula>
    </cfRule>
  </conditionalFormatting>
  <conditionalFormatting sqref="S419">
    <cfRule type="expression" dxfId="697" priority="3309">
      <formula xml:space="preserve"> $S$1 = "calculation"</formula>
    </cfRule>
  </conditionalFormatting>
  <conditionalFormatting sqref="S420">
    <cfRule type="expression" dxfId="696" priority="3278">
      <formula xml:space="preserve"> $S$1 = "calculation"</formula>
    </cfRule>
  </conditionalFormatting>
  <conditionalFormatting sqref="S421:S425 S358:S360 S372:S373 S496:S503 S454:S456 S448 S509:S521 S486:S494 S557:S558 S393">
    <cfRule type="expression" dxfId="695" priority="6859">
      <formula xml:space="preserve"> $S$1 = "calculation"</formula>
    </cfRule>
  </conditionalFormatting>
  <conditionalFormatting sqref="S426:S427">
    <cfRule type="expression" dxfId="694" priority="6584">
      <formula xml:space="preserve"> $S$1 = "calculation"</formula>
    </cfRule>
  </conditionalFormatting>
  <conditionalFormatting sqref="S428:S431">
    <cfRule type="expression" dxfId="693" priority="6594">
      <formula xml:space="preserve"> $S$1 = "calculation"</formula>
    </cfRule>
  </conditionalFormatting>
  <conditionalFormatting sqref="S432">
    <cfRule type="expression" dxfId="692" priority="6589">
      <formula xml:space="preserve"> $S$1 = "calculation"</formula>
    </cfRule>
  </conditionalFormatting>
  <conditionalFormatting sqref="S433:S436">
    <cfRule type="expression" dxfId="691" priority="6600">
      <formula xml:space="preserve"> $S$1 = "calculation"</formula>
    </cfRule>
  </conditionalFormatting>
  <conditionalFormatting sqref="S437">
    <cfRule type="expression" dxfId="690" priority="6834">
      <formula xml:space="preserve"> $S$1 = "calculation"</formula>
    </cfRule>
  </conditionalFormatting>
  <conditionalFormatting sqref="S438">
    <cfRule type="expression" dxfId="689" priority="6519">
      <formula xml:space="preserve"> $S$1 = "calculation"</formula>
    </cfRule>
  </conditionalFormatting>
  <conditionalFormatting sqref="S439:S442">
    <cfRule type="expression" dxfId="688" priority="6529">
      <formula xml:space="preserve"> $S$1 = "calculation"</formula>
    </cfRule>
  </conditionalFormatting>
  <conditionalFormatting sqref="S443">
    <cfRule type="expression" dxfId="687" priority="6524">
      <formula xml:space="preserve"> $S$1 = "calculation"</formula>
    </cfRule>
  </conditionalFormatting>
  <conditionalFormatting sqref="S444:S447">
    <cfRule type="expression" dxfId="686" priority="6535">
      <formula xml:space="preserve"> $S$1 = "calculation"</formula>
    </cfRule>
  </conditionalFormatting>
  <conditionalFormatting sqref="S449:S452">
    <cfRule type="expression" dxfId="685" priority="6844">
      <formula xml:space="preserve"> $S$1 = "calculation"</formula>
    </cfRule>
  </conditionalFormatting>
  <conditionalFormatting sqref="S453">
    <cfRule type="expression" dxfId="684" priority="6839">
      <formula xml:space="preserve"> $S$1 = "calculation"</formula>
    </cfRule>
  </conditionalFormatting>
  <conditionalFormatting sqref="S457">
    <cfRule type="expression" dxfId="683" priority="6345">
      <formula xml:space="preserve"> $S$1 = "calculation"</formula>
    </cfRule>
  </conditionalFormatting>
  <conditionalFormatting sqref="S458">
    <cfRule type="expression" dxfId="682" priority="5634">
      <formula xml:space="preserve"> $S$1 = "calculation"</formula>
    </cfRule>
  </conditionalFormatting>
  <conditionalFormatting sqref="S459">
    <cfRule type="expression" dxfId="681" priority="5117">
      <formula xml:space="preserve"> $S$1 = "calculation"</formula>
    </cfRule>
  </conditionalFormatting>
  <conditionalFormatting sqref="S460">
    <cfRule type="expression" dxfId="680" priority="5096">
      <formula xml:space="preserve"> $S$1 = "calculation"</formula>
    </cfRule>
  </conditionalFormatting>
  <conditionalFormatting sqref="S461">
    <cfRule type="expression" dxfId="679" priority="5328">
      <formula xml:space="preserve"> $S$1 = "calculation"</formula>
    </cfRule>
  </conditionalFormatting>
  <conditionalFormatting sqref="S462">
    <cfRule type="expression" dxfId="678" priority="5069">
      <formula xml:space="preserve"> $S$1 = "calculation"</formula>
    </cfRule>
  </conditionalFormatting>
  <conditionalFormatting sqref="S463">
    <cfRule type="expression" dxfId="677" priority="5607">
      <formula xml:space="preserve"> $S$1 = "calculation"</formula>
    </cfRule>
  </conditionalFormatting>
  <conditionalFormatting sqref="S464">
    <cfRule type="expression" dxfId="676" priority="5576">
      <formula xml:space="preserve"> $S$1 = "calculation"</formula>
    </cfRule>
  </conditionalFormatting>
  <conditionalFormatting sqref="S465">
    <cfRule type="expression" dxfId="675" priority="5545">
      <formula xml:space="preserve"> $S$1 = "calculation"</formula>
    </cfRule>
  </conditionalFormatting>
  <conditionalFormatting sqref="S466">
    <cfRule type="expression" dxfId="674" priority="3724">
      <formula xml:space="preserve"> $S$1 = "calculation"</formula>
    </cfRule>
  </conditionalFormatting>
  <conditionalFormatting sqref="S467">
    <cfRule type="expression" dxfId="673" priority="3686">
      <formula xml:space="preserve"> $S$1 = "calculation"</formula>
    </cfRule>
  </conditionalFormatting>
  <conditionalFormatting sqref="S468">
    <cfRule type="expression" dxfId="672" priority="5297">
      <formula xml:space="preserve"> $S$1 = "calculation"</formula>
    </cfRule>
  </conditionalFormatting>
  <conditionalFormatting sqref="S469">
    <cfRule type="expression" dxfId="671" priority="5142">
      <formula xml:space="preserve"> $S$1 = "calculation"</formula>
    </cfRule>
  </conditionalFormatting>
  <conditionalFormatting sqref="S470">
    <cfRule type="expression" dxfId="670" priority="5514">
      <formula xml:space="preserve"> $S$1 = "calculation"</formula>
    </cfRule>
  </conditionalFormatting>
  <conditionalFormatting sqref="S471">
    <cfRule type="expression" dxfId="669" priority="5483">
      <formula xml:space="preserve"> $S$1 = "calculation"</formula>
    </cfRule>
  </conditionalFormatting>
  <conditionalFormatting sqref="S472">
    <cfRule type="expression" dxfId="668" priority="5266">
      <formula xml:space="preserve"> $S$1 = "calculation"</formula>
    </cfRule>
  </conditionalFormatting>
  <conditionalFormatting sqref="S473">
    <cfRule type="expression" dxfId="667" priority="5173">
      <formula xml:space="preserve"> $S$1 = "calculation"</formula>
    </cfRule>
  </conditionalFormatting>
  <conditionalFormatting sqref="S474">
    <cfRule type="expression" dxfId="666" priority="5235">
      <formula xml:space="preserve"> $S$1 = "calculation"</formula>
    </cfRule>
  </conditionalFormatting>
  <conditionalFormatting sqref="S475">
    <cfRule type="expression" dxfId="665" priority="5452">
      <formula xml:space="preserve"> $S$1 = "calculation"</formula>
    </cfRule>
  </conditionalFormatting>
  <conditionalFormatting sqref="S476">
    <cfRule type="expression" dxfId="664" priority="5421">
      <formula xml:space="preserve"> $S$1 = "calculation"</formula>
    </cfRule>
  </conditionalFormatting>
  <conditionalFormatting sqref="S477">
    <cfRule type="expression" dxfId="663" priority="5204">
      <formula xml:space="preserve"> $S$1 = "calculation"</formula>
    </cfRule>
  </conditionalFormatting>
  <conditionalFormatting sqref="S478">
    <cfRule type="expression" dxfId="662" priority="5038">
      <formula xml:space="preserve"> $S$1 = "calculation"</formula>
    </cfRule>
  </conditionalFormatting>
  <conditionalFormatting sqref="S479">
    <cfRule type="expression" dxfId="661" priority="5390">
      <formula xml:space="preserve"> $S$1 = "calculation"</formula>
    </cfRule>
  </conditionalFormatting>
  <conditionalFormatting sqref="S480">
    <cfRule type="expression" dxfId="660" priority="5359">
      <formula xml:space="preserve"> $S$1 = "calculation"</formula>
    </cfRule>
  </conditionalFormatting>
  <conditionalFormatting sqref="S481">
    <cfRule type="expression" dxfId="659" priority="3642">
      <formula xml:space="preserve"> $S$1 = "calculation"</formula>
    </cfRule>
  </conditionalFormatting>
  <conditionalFormatting sqref="S482">
    <cfRule type="expression" dxfId="658" priority="3500">
      <formula xml:space="preserve"> $S$1 = "calculation"</formula>
    </cfRule>
  </conditionalFormatting>
  <conditionalFormatting sqref="S483">
    <cfRule type="expression" dxfId="657" priority="3469">
      <formula xml:space="preserve"> $S$1 = "calculation"</formula>
    </cfRule>
  </conditionalFormatting>
  <conditionalFormatting sqref="S484">
    <cfRule type="expression" dxfId="656" priority="3562">
      <formula xml:space="preserve"> $S$1 = "calculation"</formula>
    </cfRule>
  </conditionalFormatting>
  <conditionalFormatting sqref="S485">
    <cfRule type="expression" dxfId="655" priority="3531">
      <formula xml:space="preserve"> $S$1 = "calculation"</formula>
    </cfRule>
  </conditionalFormatting>
  <conditionalFormatting sqref="S495">
    <cfRule type="expression" dxfId="654" priority="6853">
      <formula xml:space="preserve"> $S$1 = "calculation"</formula>
    </cfRule>
  </conditionalFormatting>
  <conditionalFormatting sqref="S504:S507">
    <cfRule type="expression" dxfId="653" priority="6654">
      <formula xml:space="preserve"> $S$1 = "calculation"</formula>
    </cfRule>
  </conditionalFormatting>
  <conditionalFormatting sqref="S508">
    <cfRule type="expression" dxfId="652" priority="6649">
      <formula xml:space="preserve"> $S$1 = "calculation"</formula>
    </cfRule>
  </conditionalFormatting>
  <conditionalFormatting sqref="S522">
    <cfRule type="expression" dxfId="651" priority="6017">
      <formula xml:space="preserve"> $S$1 = "calculation"</formula>
    </cfRule>
  </conditionalFormatting>
  <conditionalFormatting sqref="S523">
    <cfRule type="expression" dxfId="650" priority="4651">
      <formula xml:space="preserve"> $S$1 = "calculation"</formula>
    </cfRule>
  </conditionalFormatting>
  <conditionalFormatting sqref="S524">
    <cfRule type="expression" dxfId="649" priority="5013">
      <formula xml:space="preserve"> $S$1 = "calculation"</formula>
    </cfRule>
  </conditionalFormatting>
  <conditionalFormatting sqref="S525">
    <cfRule type="expression" dxfId="648" priority="4733">
      <formula xml:space="preserve"> $S$1 = "calculation"</formula>
    </cfRule>
  </conditionalFormatting>
  <conditionalFormatting sqref="S526">
    <cfRule type="expression" dxfId="647" priority="4679">
      <formula xml:space="preserve"> $S$1 = "calculation"</formula>
    </cfRule>
  </conditionalFormatting>
  <conditionalFormatting sqref="S527">
    <cfRule type="expression" dxfId="646" priority="4626">
      <formula xml:space="preserve"> $S$1 = "calculation"</formula>
    </cfRule>
  </conditionalFormatting>
  <conditionalFormatting sqref="S528">
    <cfRule type="expression" dxfId="645" priority="4655">
      <formula xml:space="preserve"> $S$1 = "calculation"</formula>
    </cfRule>
  </conditionalFormatting>
  <conditionalFormatting sqref="S529">
    <cfRule type="expression" dxfId="644" priority="4988">
      <formula xml:space="preserve"> $S$1 = "calculation"</formula>
    </cfRule>
  </conditionalFormatting>
  <conditionalFormatting sqref="S530">
    <cfRule type="expression" dxfId="643" priority="4959">
      <formula xml:space="preserve"> $S$1 = "calculation"</formula>
    </cfRule>
  </conditionalFormatting>
  <conditionalFormatting sqref="S531">
    <cfRule type="expression" dxfId="642" priority="3824">
      <formula xml:space="preserve"> $S$1 = "calculation"</formula>
    </cfRule>
  </conditionalFormatting>
  <conditionalFormatting sqref="S532">
    <cfRule type="expression" dxfId="641" priority="4597">
      <formula xml:space="preserve"> $S$1 = "calculation"</formula>
    </cfRule>
  </conditionalFormatting>
  <conditionalFormatting sqref="S533">
    <cfRule type="expression" dxfId="640" priority="3762">
      <formula xml:space="preserve"> $S$1 = "calculation"</formula>
    </cfRule>
  </conditionalFormatting>
  <conditionalFormatting sqref="S534">
    <cfRule type="expression" dxfId="639" priority="4814">
      <formula xml:space="preserve"> $S$1 = "calculation"</formula>
    </cfRule>
  </conditionalFormatting>
  <conditionalFormatting sqref="S535">
    <cfRule type="expression" dxfId="638" priority="4756">
      <formula xml:space="preserve"> $S$1 = "calculation"</formula>
    </cfRule>
  </conditionalFormatting>
  <conditionalFormatting sqref="S536">
    <cfRule type="expression" dxfId="637" priority="4930">
      <formula xml:space="preserve"> $S$1 = "calculation"</formula>
    </cfRule>
  </conditionalFormatting>
  <conditionalFormatting sqref="S537">
    <cfRule type="expression" dxfId="636" priority="4568">
      <formula xml:space="preserve"> $S$1 = "calculation"</formula>
    </cfRule>
  </conditionalFormatting>
  <conditionalFormatting sqref="S538">
    <cfRule type="expression" dxfId="635" priority="4539">
      <formula xml:space="preserve"> $S$1 = "calculation"</formula>
    </cfRule>
  </conditionalFormatting>
  <conditionalFormatting sqref="S539">
    <cfRule type="expression" dxfId="634" priority="4510">
      <formula xml:space="preserve"> $S$1 = "calculation"</formula>
    </cfRule>
  </conditionalFormatting>
  <conditionalFormatting sqref="S540">
    <cfRule type="expression" dxfId="633" priority="4901">
      <formula xml:space="preserve"> $S$1 = "calculation"</formula>
    </cfRule>
  </conditionalFormatting>
  <conditionalFormatting sqref="S541">
    <cfRule type="expression" dxfId="632" priority="4872">
      <formula xml:space="preserve"> $S$1 = "calculation"</formula>
    </cfRule>
  </conditionalFormatting>
  <conditionalFormatting sqref="S542">
    <cfRule type="expression" dxfId="631" priority="4394">
      <formula xml:space="preserve"> $S$1 = "calculation"</formula>
    </cfRule>
  </conditionalFormatting>
  <conditionalFormatting sqref="S543">
    <cfRule type="expression" dxfId="630" priority="4785">
      <formula xml:space="preserve"> $S$1 = "calculation"</formula>
    </cfRule>
  </conditionalFormatting>
  <conditionalFormatting sqref="S544">
    <cfRule type="expression" dxfId="629" priority="4708">
      <formula xml:space="preserve"> $S$1 = "calculation"</formula>
    </cfRule>
  </conditionalFormatting>
  <conditionalFormatting sqref="S545">
    <cfRule type="expression" dxfId="628" priority="4843">
      <formula xml:space="preserve"> $S$1 = "calculation"</formula>
    </cfRule>
  </conditionalFormatting>
  <conditionalFormatting sqref="S546">
    <cfRule type="expression" dxfId="627" priority="4481">
      <formula xml:space="preserve"> $S$1 = "calculation"</formula>
    </cfRule>
  </conditionalFormatting>
  <conditionalFormatting sqref="S547">
    <cfRule type="expression" dxfId="626" priority="4452">
      <formula xml:space="preserve"> $S$1 = "calculation"</formula>
    </cfRule>
  </conditionalFormatting>
  <conditionalFormatting sqref="S548">
    <cfRule type="expression" dxfId="625" priority="4423">
      <formula xml:space="preserve"> $S$1 = "calculation"</formula>
    </cfRule>
  </conditionalFormatting>
  <conditionalFormatting sqref="S549">
    <cfRule type="expression" dxfId="624" priority="4152">
      <formula xml:space="preserve"> $S$1 = "calculation"</formula>
    </cfRule>
  </conditionalFormatting>
  <conditionalFormatting sqref="S550">
    <cfRule type="expression" dxfId="623" priority="4093">
      <formula xml:space="preserve"> $S$1 = "calculation"</formula>
    </cfRule>
  </conditionalFormatting>
  <conditionalFormatting sqref="S551">
    <cfRule type="expression" dxfId="622" priority="3984">
      <formula xml:space="preserve"> $S$1 = "calculation"</formula>
    </cfRule>
  </conditionalFormatting>
  <conditionalFormatting sqref="S552">
    <cfRule type="expression" dxfId="621" priority="3955">
      <formula xml:space="preserve"> $S$1 = "calculation"</formula>
    </cfRule>
  </conditionalFormatting>
  <conditionalFormatting sqref="S553">
    <cfRule type="expression" dxfId="620" priority="4013">
      <formula xml:space="preserve"> $S$1 = "calculation"</formula>
    </cfRule>
  </conditionalFormatting>
  <conditionalFormatting sqref="S554">
    <cfRule type="expression" dxfId="619" priority="3926">
      <formula xml:space="preserve"> $S$1 = "calculation"</formula>
    </cfRule>
  </conditionalFormatting>
  <conditionalFormatting sqref="S555">
    <cfRule type="expression" dxfId="618" priority="3897">
      <formula xml:space="preserve"> $S$1 = "calculation"</formula>
    </cfRule>
  </conditionalFormatting>
  <conditionalFormatting sqref="S556">
    <cfRule type="expression" dxfId="617" priority="3868">
      <formula xml:space="preserve"> $S$1 = "calculation"</formula>
    </cfRule>
  </conditionalFormatting>
  <conditionalFormatting sqref="S563">
    <cfRule type="expression" dxfId="616" priority="3182">
      <formula xml:space="preserve"> $S$1 = "calculation"</formula>
    </cfRule>
  </conditionalFormatting>
  <conditionalFormatting sqref="S579:S580">
    <cfRule type="expression" dxfId="615" priority="3177">
      <formula xml:space="preserve"> $S$1 = "calculation"</formula>
    </cfRule>
  </conditionalFormatting>
  <conditionalFormatting sqref="S583">
    <cfRule type="expression" dxfId="614" priority="3173">
      <formula xml:space="preserve"> $S$1 = "calculation"</formula>
    </cfRule>
  </conditionalFormatting>
  <conditionalFormatting sqref="S584 S586:S587 S589 S592 S594 S714 S717:S719 S788:S792 S739:S755 S656:S666 S704:S708 S671:S672 S802:S807 S810:S831 S839:S840 S564:S578 S606:S607 S559:S562 S580:S582 S596:S603 S610:S622 S624 S626:S643">
    <cfRule type="expression" dxfId="613" priority="3188">
      <formula xml:space="preserve"> $S$1 = "calculation"</formula>
    </cfRule>
  </conditionalFormatting>
  <conditionalFormatting sqref="S585">
    <cfRule type="expression" dxfId="612" priority="3167">
      <formula xml:space="preserve"> $S$1 = "calculation"</formula>
    </cfRule>
  </conditionalFormatting>
  <conditionalFormatting sqref="S588">
    <cfRule type="expression" dxfId="611" priority="3161">
      <formula xml:space="preserve"> $S$1 = "calculation"</formula>
    </cfRule>
  </conditionalFormatting>
  <conditionalFormatting sqref="S590">
    <cfRule type="expression" dxfId="610" priority="3155">
      <formula xml:space="preserve"> $S$1 = "calculation"</formula>
    </cfRule>
  </conditionalFormatting>
  <conditionalFormatting sqref="S591">
    <cfRule type="expression" dxfId="609" priority="3149">
      <formula xml:space="preserve"> $S$1 = "calculation"</formula>
    </cfRule>
  </conditionalFormatting>
  <conditionalFormatting sqref="S593">
    <cfRule type="expression" dxfId="608" priority="3143">
      <formula xml:space="preserve"> $S$1 = "calculation"</formula>
    </cfRule>
  </conditionalFormatting>
  <conditionalFormatting sqref="S595">
    <cfRule type="expression" dxfId="607" priority="3137">
      <formula xml:space="preserve"> $S$1 = "calculation"</formula>
    </cfRule>
  </conditionalFormatting>
  <conditionalFormatting sqref="S604:S605">
    <cfRule type="expression" dxfId="606" priority="2144">
      <formula xml:space="preserve"> $S$1 = "calculation"</formula>
    </cfRule>
  </conditionalFormatting>
  <conditionalFormatting sqref="S608">
    <cfRule type="expression" dxfId="605" priority="2049">
      <formula xml:space="preserve"> $S$1 = "calculation"</formula>
    </cfRule>
  </conditionalFormatting>
  <conditionalFormatting sqref="S609">
    <cfRule type="expression" dxfId="604" priority="2044">
      <formula xml:space="preserve"> $S$1 = "calculation"</formula>
    </cfRule>
  </conditionalFormatting>
  <conditionalFormatting sqref="S623:S624">
    <cfRule type="expression" dxfId="603" priority="2039">
      <formula xml:space="preserve"> $S$1 = "calculation"</formula>
    </cfRule>
  </conditionalFormatting>
  <conditionalFormatting sqref="S625">
    <cfRule type="expression" dxfId="602" priority="2007">
      <formula xml:space="preserve"> $S$1 = "calculation"</formula>
    </cfRule>
  </conditionalFormatting>
  <conditionalFormatting sqref="S634:S636">
    <cfRule type="expression" dxfId="601" priority="2019">
      <formula xml:space="preserve"> $S$1 = "calculation"</formula>
    </cfRule>
  </conditionalFormatting>
  <conditionalFormatting sqref="S644:S654">
    <cfRule type="expression" dxfId="600" priority="3112">
      <formula xml:space="preserve"> $S$1 = "calculation"</formula>
    </cfRule>
  </conditionalFormatting>
  <conditionalFormatting sqref="S655">
    <cfRule type="expression" dxfId="599" priority="3106">
      <formula xml:space="preserve"> $S$1 = "calculation"</formula>
    </cfRule>
  </conditionalFormatting>
  <conditionalFormatting sqref="S667:S668">
    <cfRule type="expression" dxfId="598" priority="2520">
      <formula xml:space="preserve"> $S$1 = "calculation"</formula>
    </cfRule>
  </conditionalFormatting>
  <conditionalFormatting sqref="S669:S670">
    <cfRule type="expression" dxfId="597" priority="2505">
      <formula xml:space="preserve"> $S$1 = "calculation"</formula>
    </cfRule>
  </conditionalFormatting>
  <conditionalFormatting sqref="S673:S679">
    <cfRule type="expression" dxfId="596" priority="2555">
      <formula xml:space="preserve"> $S$1 = "calculation"</formula>
    </cfRule>
  </conditionalFormatting>
  <conditionalFormatting sqref="S680 S682:S691">
    <cfRule type="expression" dxfId="595" priority="1831">
      <formula xml:space="preserve"> $S$1 = "calculation"</formula>
    </cfRule>
  </conditionalFormatting>
  <conditionalFormatting sqref="S681">
    <cfRule type="expression" dxfId="594" priority="1760">
      <formula xml:space="preserve"> $S$1 = "calculation"</formula>
    </cfRule>
  </conditionalFormatting>
  <conditionalFormatting sqref="S692">
    <cfRule type="expression" dxfId="593" priority="1825">
      <formula xml:space="preserve"> $S$1 = "calculation"</formula>
    </cfRule>
  </conditionalFormatting>
  <conditionalFormatting sqref="S693">
    <cfRule type="expression" dxfId="592" priority="1837">
      <formula xml:space="preserve"> $S$1 = "calculation"</formula>
    </cfRule>
  </conditionalFormatting>
  <conditionalFormatting sqref="S694:S698">
    <cfRule type="expression" dxfId="591" priority="1794">
      <formula xml:space="preserve"> $S$1 = "calculation"</formula>
    </cfRule>
  </conditionalFormatting>
  <conditionalFormatting sqref="S699">
    <cfRule type="expression" dxfId="590" priority="1693">
      <formula xml:space="preserve"> $S$1 = "calculation"</formula>
    </cfRule>
  </conditionalFormatting>
  <conditionalFormatting sqref="S700">
    <cfRule type="expression" dxfId="589" priority="1666">
      <formula xml:space="preserve"> $S$1 = "calculation"</formula>
    </cfRule>
  </conditionalFormatting>
  <conditionalFormatting sqref="S701">
    <cfRule type="expression" dxfId="588" priority="1632">
      <formula xml:space="preserve"> $S$1 = "calculation"</formula>
    </cfRule>
  </conditionalFormatting>
  <conditionalFormatting sqref="S702">
    <cfRule type="expression" dxfId="587" priority="1593">
      <formula xml:space="preserve"> $S$1 = "calculation"</formula>
    </cfRule>
  </conditionalFormatting>
  <conditionalFormatting sqref="S703">
    <cfRule type="expression" dxfId="586" priority="1545">
      <formula xml:space="preserve"> $S$1 = "calculation"</formula>
    </cfRule>
  </conditionalFormatting>
  <conditionalFormatting sqref="S709:S710">
    <cfRule type="expression" dxfId="585" priority="3100">
      <formula xml:space="preserve"> $S$1 = "calculation"</formula>
    </cfRule>
  </conditionalFormatting>
  <conditionalFormatting sqref="S711">
    <cfRule type="expression" dxfId="584" priority="3080">
      <formula xml:space="preserve"> $S$1 = "calculation"</formula>
    </cfRule>
  </conditionalFormatting>
  <conditionalFormatting sqref="S712">
    <cfRule type="expression" dxfId="583" priority="3074">
      <formula xml:space="preserve"> $S$1 = "calculation"</formula>
    </cfRule>
  </conditionalFormatting>
  <conditionalFormatting sqref="S713">
    <cfRule type="expression" dxfId="582" priority="3086">
      <formula xml:space="preserve"> $S$1 = "calculation"</formula>
    </cfRule>
  </conditionalFormatting>
  <conditionalFormatting sqref="S715:S716">
    <cfRule type="expression" dxfId="581" priority="3090">
      <formula xml:space="preserve"> $S$1 = "calculation"</formula>
    </cfRule>
  </conditionalFormatting>
  <conditionalFormatting sqref="S720">
    <cfRule type="expression" dxfId="580" priority="3096">
      <formula xml:space="preserve"> $S$1 = "calculation"</formula>
    </cfRule>
  </conditionalFormatting>
  <conditionalFormatting sqref="S721">
    <cfRule type="expression" dxfId="579" priority="2809">
      <formula xml:space="preserve"> $S$1 = "calculation"</formula>
    </cfRule>
  </conditionalFormatting>
  <conditionalFormatting sqref="S722">
    <cfRule type="expression" dxfId="578" priority="3132">
      <formula xml:space="preserve"> $S$1 = "calculation"</formula>
    </cfRule>
  </conditionalFormatting>
  <conditionalFormatting sqref="S723">
    <cfRule type="expression" dxfId="577" priority="1515">
      <formula xml:space="preserve"> $S$1 = "calculation"</formula>
    </cfRule>
  </conditionalFormatting>
  <conditionalFormatting sqref="S724">
    <cfRule type="expression" dxfId="576" priority="1495">
      <formula xml:space="preserve"> $S$1 = "calculation"</formula>
    </cfRule>
  </conditionalFormatting>
  <conditionalFormatting sqref="S725">
    <cfRule type="expression" dxfId="575" priority="1489">
      <formula xml:space="preserve"> $S$1 = "calculation"</formula>
    </cfRule>
  </conditionalFormatting>
  <conditionalFormatting sqref="S726">
    <cfRule type="expression" dxfId="574" priority="1501">
      <formula xml:space="preserve"> $S$1 = "calculation"</formula>
    </cfRule>
  </conditionalFormatting>
  <conditionalFormatting sqref="S727 S730:S732">
    <cfRule type="expression" dxfId="573" priority="1527">
      <formula xml:space="preserve"> $S$1 = "calculation"</formula>
    </cfRule>
  </conditionalFormatting>
  <conditionalFormatting sqref="S728:S729">
    <cfRule type="expression" dxfId="572" priority="1505">
      <formula xml:space="preserve"> $S$1 = "calculation"</formula>
    </cfRule>
  </conditionalFormatting>
  <conditionalFormatting sqref="S733">
    <cfRule type="expression" dxfId="571" priority="1511">
      <formula xml:space="preserve"> $S$1 = "calculation"</formula>
    </cfRule>
  </conditionalFormatting>
  <conditionalFormatting sqref="S734">
    <cfRule type="expression" dxfId="570" priority="1483">
      <formula xml:space="preserve"> $S$1 = "calculation"</formula>
    </cfRule>
  </conditionalFormatting>
  <conditionalFormatting sqref="S735">
    <cfRule type="expression" dxfId="569" priority="1521">
      <formula xml:space="preserve"> $S$1 = "calculation"</formula>
    </cfRule>
  </conditionalFormatting>
  <conditionalFormatting sqref="S736">
    <cfRule type="expression" dxfId="568" priority="1418">
      <formula xml:space="preserve"> $S$1 = "calculation"</formula>
    </cfRule>
  </conditionalFormatting>
  <conditionalFormatting sqref="S737">
    <cfRule type="expression" dxfId="567" priority="1424">
      <formula xml:space="preserve"> $S$1 = "calculation"</formula>
    </cfRule>
  </conditionalFormatting>
  <conditionalFormatting sqref="S738">
    <cfRule type="expression" dxfId="566" priority="1396">
      <formula xml:space="preserve"> $S$1 = "calculation"</formula>
    </cfRule>
  </conditionalFormatting>
  <conditionalFormatting sqref="S756">
    <cfRule type="expression" dxfId="565" priority="3068">
      <formula xml:space="preserve"> $S$1 = "calculation"</formula>
    </cfRule>
  </conditionalFormatting>
  <conditionalFormatting sqref="S757">
    <cfRule type="expression" dxfId="564" priority="3126">
      <formula xml:space="preserve"> $S$1 = "calculation"</formula>
    </cfRule>
  </conditionalFormatting>
  <conditionalFormatting sqref="S758:S761">
    <cfRule type="expression" dxfId="563" priority="3062">
      <formula xml:space="preserve"> $S$1 = "calculation"</formula>
    </cfRule>
  </conditionalFormatting>
  <conditionalFormatting sqref="S762">
    <cfRule type="expression" dxfId="562" priority="3044">
      <formula xml:space="preserve"> $S$1 = "calculation"</formula>
    </cfRule>
  </conditionalFormatting>
  <conditionalFormatting sqref="S763">
    <cfRule type="expression" dxfId="561" priority="2864">
      <formula xml:space="preserve"> $S$1 = "calculation"</formula>
    </cfRule>
  </conditionalFormatting>
  <conditionalFormatting sqref="S764">
    <cfRule type="expression" dxfId="560" priority="2874">
      <formula xml:space="preserve"> $S$1 = "calculation"</formula>
    </cfRule>
  </conditionalFormatting>
  <conditionalFormatting sqref="S765">
    <cfRule type="expression" dxfId="559" priority="2884">
      <formula xml:space="preserve"> $S$1 = "calculation"</formula>
    </cfRule>
  </conditionalFormatting>
  <conditionalFormatting sqref="S766">
    <cfRule type="expression" dxfId="558" priority="2894">
      <formula xml:space="preserve"> $S$1 = "calculation"</formula>
    </cfRule>
  </conditionalFormatting>
  <conditionalFormatting sqref="S767">
    <cfRule type="expression" dxfId="557" priority="2824">
      <formula xml:space="preserve"> $S$1 = "calculation"</formula>
    </cfRule>
  </conditionalFormatting>
  <conditionalFormatting sqref="S768">
    <cfRule type="expression" dxfId="556" priority="2834">
      <formula xml:space="preserve"> $S$1 = "calculation"</formula>
    </cfRule>
  </conditionalFormatting>
  <conditionalFormatting sqref="S769">
    <cfRule type="expression" dxfId="555" priority="2844">
      <formula xml:space="preserve"> $S$1 = "calculation"</formula>
    </cfRule>
  </conditionalFormatting>
  <conditionalFormatting sqref="S770">
    <cfRule type="expression" dxfId="554" priority="2854">
      <formula xml:space="preserve"> $S$1 = "calculation"</formula>
    </cfRule>
  </conditionalFormatting>
  <conditionalFormatting sqref="S771">
    <cfRule type="expression" dxfId="553" priority="2904">
      <formula xml:space="preserve"> $S$1 = "calculation"</formula>
    </cfRule>
  </conditionalFormatting>
  <conditionalFormatting sqref="S772">
    <cfRule type="expression" dxfId="552" priority="2914">
      <formula xml:space="preserve"> $S$1 = "calculation"</formula>
    </cfRule>
  </conditionalFormatting>
  <conditionalFormatting sqref="S773">
    <cfRule type="expression" dxfId="551" priority="2924">
      <formula xml:space="preserve"> $S$1 = "calculation"</formula>
    </cfRule>
  </conditionalFormatting>
  <conditionalFormatting sqref="S774">
    <cfRule type="expression" dxfId="550" priority="2934">
      <formula xml:space="preserve"> $S$1 = "calculation"</formula>
    </cfRule>
  </conditionalFormatting>
  <conditionalFormatting sqref="S775">
    <cfRule type="expression" dxfId="549" priority="2984">
      <formula xml:space="preserve"> $S$1 = "calculation"</formula>
    </cfRule>
  </conditionalFormatting>
  <conditionalFormatting sqref="S776">
    <cfRule type="expression" dxfId="548" priority="2994">
      <formula xml:space="preserve"> $S$1 = "calculation"</formula>
    </cfRule>
  </conditionalFormatting>
  <conditionalFormatting sqref="S777">
    <cfRule type="expression" dxfId="547" priority="3004">
      <formula xml:space="preserve"> $S$1 = "calculation"</formula>
    </cfRule>
  </conditionalFormatting>
  <conditionalFormatting sqref="S778">
    <cfRule type="expression" dxfId="546" priority="3014">
      <formula xml:space="preserve"> $S$1 = "calculation"</formula>
    </cfRule>
  </conditionalFormatting>
  <conditionalFormatting sqref="S779">
    <cfRule type="expression" dxfId="545" priority="2944">
      <formula xml:space="preserve"> $S$1 = "calculation"</formula>
    </cfRule>
  </conditionalFormatting>
  <conditionalFormatting sqref="S780">
    <cfRule type="expression" dxfId="544" priority="2954">
      <formula xml:space="preserve"> $S$1 = "calculation"</formula>
    </cfRule>
  </conditionalFormatting>
  <conditionalFormatting sqref="S781">
    <cfRule type="expression" dxfId="543" priority="2964">
      <formula xml:space="preserve"> $S$1 = "calculation"</formula>
    </cfRule>
  </conditionalFormatting>
  <conditionalFormatting sqref="S782">
    <cfRule type="expression" dxfId="542" priority="2974">
      <formula xml:space="preserve"> $S$1 = "calculation"</formula>
    </cfRule>
  </conditionalFormatting>
  <conditionalFormatting sqref="S783">
    <cfRule type="expression" dxfId="541" priority="3024">
      <formula xml:space="preserve"> $S$1 = "calculation"</formula>
    </cfRule>
  </conditionalFormatting>
  <conditionalFormatting sqref="S784:S787">
    <cfRule type="expression" dxfId="540" priority="3034">
      <formula xml:space="preserve"> $S$1 = "calculation"</formula>
    </cfRule>
  </conditionalFormatting>
  <conditionalFormatting sqref="S793:S800">
    <cfRule type="expression" dxfId="539" priority="3054">
      <formula xml:space="preserve"> $S$1 = "calculation"</formula>
    </cfRule>
  </conditionalFormatting>
  <conditionalFormatting sqref="S801">
    <cfRule type="expression" dxfId="538" priority="3050">
      <formula xml:space="preserve"> $S$1 = "calculation"</formula>
    </cfRule>
  </conditionalFormatting>
  <conditionalFormatting sqref="S808:S809">
    <cfRule type="expression" dxfId="537" priority="2471">
      <formula xml:space="preserve"> $S$1 = "calculation"</formula>
    </cfRule>
  </conditionalFormatting>
  <conditionalFormatting sqref="S832:S836">
    <cfRule type="expression" dxfId="536" priority="2372">
      <formula xml:space="preserve"> $S$1 = "calculation"</formula>
    </cfRule>
  </conditionalFormatting>
  <conditionalFormatting sqref="S837">
    <cfRule type="expression" dxfId="535" priority="2358">
      <formula xml:space="preserve"> $S$1 = "calculation"</formula>
    </cfRule>
  </conditionalFormatting>
  <conditionalFormatting sqref="S838">
    <cfRule type="expression" dxfId="534" priority="2367">
      <formula xml:space="preserve"> $S$1 = "calculation"</formula>
    </cfRule>
  </conditionalFormatting>
  <conditionalFormatting sqref="S850">
    <cfRule type="expression" dxfId="533" priority="1145">
      <formula xml:space="preserve"> $S$1 = "calculation"</formula>
    </cfRule>
  </conditionalFormatting>
  <conditionalFormatting sqref="S851">
    <cfRule type="expression" dxfId="532" priority="1150">
      <formula xml:space="preserve"> $S$1 = "calculation"</formula>
    </cfRule>
  </conditionalFormatting>
  <conditionalFormatting sqref="S852">
    <cfRule type="expression" dxfId="531" priority="32">
      <formula xml:space="preserve"> $S$1 = "calculation"</formula>
    </cfRule>
  </conditionalFormatting>
  <conditionalFormatting sqref="S856">
    <cfRule type="expression" dxfId="530" priority="1228">
      <formula xml:space="preserve"> $S$1 = "calculation"</formula>
    </cfRule>
  </conditionalFormatting>
  <conditionalFormatting sqref="S858:S862">
    <cfRule type="expression" dxfId="529" priority="1184">
      <formula xml:space="preserve"> $S$1 = "calculation"</formula>
    </cfRule>
  </conditionalFormatting>
  <conditionalFormatting sqref="S863:S865">
    <cfRule type="expression" dxfId="528" priority="1179">
      <formula xml:space="preserve"> $S$1 = "calculation"</formula>
    </cfRule>
  </conditionalFormatting>
  <conditionalFormatting sqref="S871:S872">
    <cfRule type="expression" dxfId="527" priority="1289">
      <formula xml:space="preserve"> $S$1 = "calculation"</formula>
    </cfRule>
  </conditionalFormatting>
  <conditionalFormatting sqref="S873:S907 S857 S866:S870 S853:S855 S970 S1003:S1007 S998:S999 S972:S995 S841:S849 S1015:S1018 S968 S962:S964">
    <cfRule type="expression" dxfId="526" priority="1306">
      <formula xml:space="preserve"> $S$1 = "calculation"</formula>
    </cfRule>
  </conditionalFormatting>
  <conditionalFormatting sqref="S908">
    <cfRule type="expression" dxfId="525" priority="1285">
      <formula xml:space="preserve"> $S$1 = "calculation"</formula>
    </cfRule>
  </conditionalFormatting>
  <conditionalFormatting sqref="S909:S911">
    <cfRule type="expression" dxfId="524" priority="1216">
      <formula xml:space="preserve"> $S$1 = "calculation"</formula>
    </cfRule>
  </conditionalFormatting>
  <conditionalFormatting sqref="S912">
    <cfRule type="expression" dxfId="523" priority="1199">
      <formula xml:space="preserve"> $S$1 = "calculation"</formula>
    </cfRule>
  </conditionalFormatting>
  <conditionalFormatting sqref="S913:S915">
    <cfRule type="expression" dxfId="522" priority="1208">
      <formula xml:space="preserve"> $S$1 = "calculation"</formula>
    </cfRule>
  </conditionalFormatting>
  <conditionalFormatting sqref="S916:S924">
    <cfRule type="expression" dxfId="521" priority="1220">
      <formula xml:space="preserve"> $S$1 = "calculation"</formula>
    </cfRule>
  </conditionalFormatting>
  <conditionalFormatting sqref="S925:S927">
    <cfRule type="expression" dxfId="520" priority="1280">
      <formula xml:space="preserve"> $S$1 = "calculation"</formula>
    </cfRule>
  </conditionalFormatting>
  <conditionalFormatting sqref="S928">
    <cfRule type="expression" dxfId="519" priority="1267">
      <formula xml:space="preserve"> $S$1 = "calculation"</formula>
    </cfRule>
  </conditionalFormatting>
  <conditionalFormatting sqref="S929:S942">
    <cfRule type="expression" dxfId="518" priority="1271">
      <formula xml:space="preserve"> $S$1 = "calculation"</formula>
    </cfRule>
  </conditionalFormatting>
  <conditionalFormatting sqref="S943:S952">
    <cfRule type="expression" dxfId="517" priority="862">
      <formula xml:space="preserve"> $S$1 = "calculation"</formula>
    </cfRule>
  </conditionalFormatting>
  <conditionalFormatting sqref="S953:S954">
    <cfRule type="expression" dxfId="516" priority="835">
      <formula xml:space="preserve"> $S$1 = "calculation"</formula>
    </cfRule>
  </conditionalFormatting>
  <conditionalFormatting sqref="S955:S956">
    <cfRule type="expression" dxfId="515" priority="1297">
      <formula xml:space="preserve"> $S$1 = "calculation"</formula>
    </cfRule>
  </conditionalFormatting>
  <conditionalFormatting sqref="S958">
    <cfRule type="expression" dxfId="514" priority="746">
      <formula xml:space="preserve"> $S$1 = "calculation"</formula>
    </cfRule>
  </conditionalFormatting>
  <conditionalFormatting sqref="S959:S960">
    <cfRule type="expression" dxfId="513" priority="739">
      <formula xml:space="preserve"> $S$1 = "calculation"</formula>
    </cfRule>
  </conditionalFormatting>
  <conditionalFormatting sqref="S961">
    <cfRule type="expression" dxfId="512" priority="755">
      <formula xml:space="preserve"> $S$1 = "calculation"</formula>
    </cfRule>
  </conditionalFormatting>
  <conditionalFormatting sqref="S965">
    <cfRule type="expression" dxfId="511" priority="1300">
      <formula xml:space="preserve"> $S$1 = "calculation"</formula>
    </cfRule>
  </conditionalFormatting>
  <conditionalFormatting sqref="S966">
    <cfRule type="expression" dxfId="510" priority="730">
      <formula xml:space="preserve"> $S$1 = "calculation"</formula>
    </cfRule>
  </conditionalFormatting>
  <conditionalFormatting sqref="S969">
    <cfRule type="expression" dxfId="509" priority="1139">
      <formula xml:space="preserve"> $S$1 = "calculation"</formula>
    </cfRule>
  </conditionalFormatting>
  <conditionalFormatting sqref="S971">
    <cfRule type="expression" dxfId="508" priority="1293">
      <formula xml:space="preserve"> $S$1 = "calculation"</formula>
    </cfRule>
  </conditionalFormatting>
  <conditionalFormatting sqref="S996:S997">
    <cfRule type="expression" dxfId="507" priority="815">
      <formula xml:space="preserve"> $S$1 = "calculation"</formula>
    </cfRule>
  </conditionalFormatting>
  <conditionalFormatting sqref="S1001">
    <cfRule type="expression" dxfId="506" priority="1163">
      <formula xml:space="preserve"> $S$1 = "calculation"</formula>
    </cfRule>
  </conditionalFormatting>
  <conditionalFormatting sqref="S1008">
    <cfRule type="expression" dxfId="505" priority="1244">
      <formula xml:space="preserve"> $S$1 = "calculation"</formula>
    </cfRule>
  </conditionalFormatting>
  <conditionalFormatting sqref="S1009">
    <cfRule type="expression" dxfId="504" priority="1249">
      <formula xml:space="preserve"> $S$1 = "calculation"</formula>
    </cfRule>
  </conditionalFormatting>
  <conditionalFormatting sqref="S1010">
    <cfRule type="expression" dxfId="503" priority="1254">
      <formula xml:space="preserve"> $S$1 = "calculation"</formula>
    </cfRule>
  </conditionalFormatting>
  <conditionalFormatting sqref="S1011">
    <cfRule type="expression" dxfId="502" priority="1258">
      <formula xml:space="preserve"> $S$1 = "calculation"</formula>
    </cfRule>
  </conditionalFormatting>
  <conditionalFormatting sqref="S1012">
    <cfRule type="expression" dxfId="501" priority="1236">
      <formula xml:space="preserve"> $S$1 = "calculation"</formula>
    </cfRule>
  </conditionalFormatting>
  <conditionalFormatting sqref="S1013:S1014">
    <cfRule type="expression" dxfId="500" priority="1240">
      <formula xml:space="preserve"> $S$1 = "calculation"</formula>
    </cfRule>
  </conditionalFormatting>
  <conditionalFormatting sqref="U18:U20 U22:U23 S22:S23">
    <cfRule type="expression" dxfId="499" priority="28620">
      <formula xml:space="preserve"> $Z$1 = "calculation"</formula>
    </cfRule>
    <cfRule type="expression" dxfId="498" priority="28561">
      <formula>$A18 = "begin repeat"</formula>
    </cfRule>
    <cfRule type="expression" dxfId="497" priority="28562">
      <formula xml:space="preserve"> #REF! = "end repeat"</formula>
    </cfRule>
  </conditionalFormatting>
  <conditionalFormatting sqref="U18:U20 U22:U23">
    <cfRule type="expression" dxfId="496" priority="28617">
      <formula>AND(#REF! = "section",$A18 = "end group")</formula>
    </cfRule>
    <cfRule type="expression" dxfId="495" priority="28618">
      <formula xml:space="preserve"> $A18 = "begin group"</formula>
    </cfRule>
    <cfRule type="expression" dxfId="494" priority="28619">
      <formula xml:space="preserve"> AND(#REF!="gg",$A18 = "end group")</formula>
    </cfRule>
    <cfRule type="expression" dxfId="493" priority="28616">
      <formula>AND(#REF!="section",$A18="begin group")</formula>
    </cfRule>
  </conditionalFormatting>
  <conditionalFormatting sqref="U24">
    <cfRule type="expression" dxfId="492" priority="28602">
      <formula xml:space="preserve"> $K$1 = "calculation"</formula>
    </cfRule>
    <cfRule type="expression" dxfId="491" priority="28608">
      <formula>#REF!="begin group"</formula>
    </cfRule>
    <cfRule type="duplicateValues" dxfId="490" priority="28597"/>
    <cfRule type="expression" dxfId="489" priority="28611">
      <formula>#REF!="end repeat"</formula>
    </cfRule>
    <cfRule type="expression" dxfId="488" priority="28610">
      <formula>#REF!="begin repeat"</formula>
    </cfRule>
    <cfRule type="expression" dxfId="487" priority="28609">
      <formula>#REF! ="end group"</formula>
    </cfRule>
    <cfRule type="expression" dxfId="486" priority="28612">
      <formula>AND($M$1 = "disabled",$M24= "yes")</formula>
    </cfRule>
  </conditionalFormatting>
  <conditionalFormatting sqref="U34:U35">
    <cfRule type="expression" dxfId="485" priority="30161">
      <formula xml:space="preserve"> $U$1 = "calculation"</formula>
    </cfRule>
  </conditionalFormatting>
  <conditionalFormatting sqref="U134">
    <cfRule type="expression" dxfId="484" priority="8340">
      <formula xml:space="preserve"> $A185 = "end repeat"</formula>
    </cfRule>
    <cfRule type="expression" dxfId="483" priority="8339">
      <formula>$A169 = "begin repeat"</formula>
    </cfRule>
    <cfRule type="expression" dxfId="482" priority="8338">
      <formula>AND($U$1="disabled",$U169="yes")</formula>
    </cfRule>
  </conditionalFormatting>
  <conditionalFormatting sqref="U146 I144 I156:I157">
    <cfRule type="expression" dxfId="481" priority="8467">
      <formula>AND($U$1="disabled",$U152="yes")</formula>
    </cfRule>
    <cfRule type="expression" dxfId="480" priority="8468">
      <formula>$A144 = "begin repeat"</formula>
    </cfRule>
    <cfRule type="expression" dxfId="479" priority="8469">
      <formula xml:space="preserve"> $A155 = "end repeat"</formula>
    </cfRule>
  </conditionalFormatting>
  <conditionalFormatting sqref="U152 G103 G184 E184">
    <cfRule type="expression" dxfId="478" priority="8432">
      <formula>$A103 = "begin repeat"</formula>
    </cfRule>
    <cfRule type="expression" dxfId="477" priority="8433">
      <formula xml:space="preserve"> $A114 = "end repeat"</formula>
    </cfRule>
    <cfRule type="expression" dxfId="476" priority="8431">
      <formula>AND($U$1="disabled",$U110="yes")</formula>
    </cfRule>
  </conditionalFormatting>
  <conditionalFormatting sqref="U158 I146">
    <cfRule type="expression" dxfId="475" priority="8512">
      <formula>AND($U$1="disabled",$U154="yes")</formula>
    </cfRule>
    <cfRule type="expression" dxfId="474" priority="8514">
      <formula xml:space="preserve"> $A158 = "end repeat"</formula>
    </cfRule>
    <cfRule type="expression" dxfId="473" priority="8513">
      <formula>$A146 = "begin repeat"</formula>
    </cfRule>
  </conditionalFormatting>
  <conditionalFormatting sqref="U161">
    <cfRule type="expression" dxfId="472" priority="8353">
      <formula>AND($U$1="disabled",$U134="yes")</formula>
    </cfRule>
    <cfRule type="expression" dxfId="471" priority="8354">
      <formula>$A161 = "begin repeat"</formula>
    </cfRule>
    <cfRule type="expression" dxfId="470" priority="8355">
      <formula xml:space="preserve"> $A171 = "end repeat"</formula>
    </cfRule>
  </conditionalFormatting>
  <conditionalFormatting sqref="U173">
    <cfRule type="expression" dxfId="469" priority="8501">
      <formula>$A181 = "begin repeat"</formula>
    </cfRule>
    <cfRule type="expression" dxfId="468" priority="8500">
      <formula>AND($U$1="disabled",$U181="yes")</formula>
    </cfRule>
    <cfRule type="expression" dxfId="467" priority="8502">
      <formula xml:space="preserve"> #REF! = "end repeat"</formula>
    </cfRule>
  </conditionalFormatting>
  <conditionalFormatting sqref="U183">
    <cfRule type="expression" dxfId="466" priority="8112">
      <formula xml:space="preserve"> $A212 = "end repeat"</formula>
    </cfRule>
    <cfRule type="expression" dxfId="465" priority="8111">
      <formula>$A191 = "begin repeat"</formula>
    </cfRule>
    <cfRule type="expression" dxfId="464" priority="8110">
      <formula>AND($U$1="disabled",$U191="yes")</formula>
    </cfRule>
  </conditionalFormatting>
  <conditionalFormatting sqref="U185">
    <cfRule type="expression" dxfId="463" priority="8109">
      <formula xml:space="preserve"> $A212 = "end repeat"</formula>
    </cfRule>
    <cfRule type="expression" dxfId="462" priority="8108">
      <formula>#REF! = "begin repeat"</formula>
    </cfRule>
    <cfRule type="expression" dxfId="461" priority="8107">
      <formula>AND($U$1="disabled",#REF!="yes")</formula>
    </cfRule>
  </conditionalFormatting>
  <conditionalFormatting sqref="U200">
    <cfRule type="expression" dxfId="460" priority="8106">
      <formula xml:space="preserve"> #REF! = "end repeat"</formula>
    </cfRule>
    <cfRule type="expression" dxfId="459" priority="8105">
      <formula>$A212 = "begin repeat"</formula>
    </cfRule>
    <cfRule type="expression" dxfId="458" priority="8104">
      <formula>AND($U$1="disabled",$U212="yes")</formula>
    </cfRule>
  </conditionalFormatting>
  <conditionalFormatting sqref="U209">
    <cfRule type="expression" dxfId="457" priority="8334">
      <formula xml:space="preserve"> #REF! = "end repeat"</formula>
    </cfRule>
    <cfRule type="expression" dxfId="456" priority="8333">
      <formula>$A216 = "begin repeat"</formula>
    </cfRule>
    <cfRule type="expression" dxfId="455" priority="8332">
      <formula>AND($U$1="disabled",$U216="yes")</formula>
    </cfRule>
  </conditionalFormatting>
  <conditionalFormatting sqref="U248 U349:U352 U354">
    <cfRule type="expression" dxfId="454" priority="7501">
      <formula>$A257 = "begin repeat"</formula>
    </cfRule>
    <cfRule type="expression" dxfId="453" priority="7502">
      <formula xml:space="preserve"> #REF! = "end repeat"</formula>
    </cfRule>
    <cfRule type="expression" dxfId="452" priority="7500">
      <formula>AND($U$1="disabled",$U257="yes")</formula>
    </cfRule>
  </conditionalFormatting>
  <conditionalFormatting sqref="U251">
    <cfRule type="expression" dxfId="451" priority="7618">
      <formula>AND($U$1="disabled",#REF!="yes")</formula>
    </cfRule>
    <cfRule type="expression" dxfId="450" priority="7620">
      <formula xml:space="preserve"> $A295 = "end repeat"</formula>
    </cfRule>
    <cfRule type="expression" dxfId="449" priority="7619">
      <formula>#REF! = "begin repeat"</formula>
    </cfRule>
  </conditionalFormatting>
  <conditionalFormatting sqref="U260">
    <cfRule type="expression" dxfId="448" priority="7354">
      <formula xml:space="preserve"> #REF! = "end repeat"</formula>
    </cfRule>
    <cfRule type="expression" dxfId="447" priority="7352">
      <formula>AND($U$1="disabled",$U273="yes")</formula>
    </cfRule>
    <cfRule type="expression" dxfId="446" priority="7353">
      <formula>$A273 = "begin repeat"</formula>
    </cfRule>
  </conditionalFormatting>
  <conditionalFormatting sqref="U261">
    <cfRule type="expression" dxfId="445" priority="7487">
      <formula xml:space="preserve"> $A294 = "end repeat"</formula>
    </cfRule>
    <cfRule type="expression" dxfId="444" priority="7485">
      <formula>AND($U$1="disabled",$U274="yes")</formula>
    </cfRule>
    <cfRule type="expression" dxfId="443" priority="7486">
      <formula>$A274 = "begin repeat"</formula>
    </cfRule>
  </conditionalFormatting>
  <conditionalFormatting sqref="U262">
    <cfRule type="expression" dxfId="442" priority="7411">
      <formula>AND($U$1="disabled",#REF!="yes")</formula>
    </cfRule>
    <cfRule type="expression" dxfId="441" priority="7413">
      <formula xml:space="preserve"> $A299 = "end repeat"</formula>
    </cfRule>
    <cfRule type="expression" dxfId="440" priority="7412">
      <formula>#REF! = "begin repeat"</formula>
    </cfRule>
  </conditionalFormatting>
  <conditionalFormatting sqref="U273">
    <cfRule type="expression" dxfId="439" priority="6892">
      <formula>AND($U$1="disabled",$U292="yes")</formula>
    </cfRule>
    <cfRule type="expression" dxfId="438" priority="6893">
      <formula>$A292 = "begin repeat"</formula>
    </cfRule>
    <cfRule type="expression" dxfId="437" priority="6894">
      <formula xml:space="preserve"> $A358 = "end repeat"</formula>
    </cfRule>
  </conditionalFormatting>
  <conditionalFormatting sqref="U275">
    <cfRule type="expression" dxfId="436" priority="7103">
      <formula>$A295 = "begin repeat"</formula>
    </cfRule>
    <cfRule type="expression" dxfId="435" priority="7102">
      <formula>AND($U$1="disabled",$U295="yes")</formula>
    </cfRule>
    <cfRule type="expression" dxfId="434" priority="7104">
      <formula xml:space="preserve"> $A347 = "end repeat"</formula>
    </cfRule>
  </conditionalFormatting>
  <conditionalFormatting sqref="U276">
    <cfRule type="expression" dxfId="433" priority="6895">
      <formula>AND($U$1="disabled",$U296="yes")</formula>
    </cfRule>
    <cfRule type="expression" dxfId="432" priority="6896">
      <formula>$A296 = "begin repeat"</formula>
    </cfRule>
    <cfRule type="expression" dxfId="431" priority="6897">
      <formula xml:space="preserve"> $A359 = "end repeat"</formula>
    </cfRule>
  </conditionalFormatting>
  <conditionalFormatting sqref="U277">
    <cfRule type="expression" dxfId="430" priority="7521">
      <formula>AND($U$1="disabled",$U297="yes")</formula>
    </cfRule>
    <cfRule type="expression" dxfId="429" priority="7522">
      <formula>$A297 = "begin repeat"</formula>
    </cfRule>
    <cfRule type="expression" dxfId="428" priority="7523">
      <formula xml:space="preserve"> #REF! = "end repeat"</formula>
    </cfRule>
  </conditionalFormatting>
  <conditionalFormatting sqref="U278">
    <cfRule type="expression" dxfId="427" priority="7518">
      <formula>AND($U$1="disabled",$U286="yes")</formula>
    </cfRule>
    <cfRule type="expression" dxfId="426" priority="7519">
      <formula>$A286 = "begin repeat"</formula>
    </cfRule>
    <cfRule type="expression" dxfId="425" priority="7520">
      <formula xml:space="preserve"> $A292 = "end repeat"</formula>
    </cfRule>
  </conditionalFormatting>
  <conditionalFormatting sqref="U279">
    <cfRule type="expression" dxfId="424" priority="7100">
      <formula>$A287 = "begin repeat"</formula>
    </cfRule>
    <cfRule type="expression" dxfId="423" priority="7101">
      <formula xml:space="preserve"> $A348 = "end repeat"</formula>
    </cfRule>
    <cfRule type="expression" dxfId="422" priority="7099">
      <formula>AND($U$1="disabled",$U287="yes")</formula>
    </cfRule>
  </conditionalFormatting>
  <conditionalFormatting sqref="U283 U280 U324:U325">
    <cfRule type="expression" dxfId="421" priority="7538">
      <formula xml:space="preserve"> $A295 = "end repeat"</formula>
    </cfRule>
    <cfRule type="expression" dxfId="420" priority="7537">
      <formula>$A288 = "begin repeat"</formula>
    </cfRule>
    <cfRule type="expression" dxfId="419" priority="7536">
      <formula>AND($U$1="disabled",$U288="yes")</formula>
    </cfRule>
  </conditionalFormatting>
  <conditionalFormatting sqref="U289 U330 U355">
    <cfRule type="expression" dxfId="418" priority="7546">
      <formula>$A297 = "begin repeat"</formula>
    </cfRule>
    <cfRule type="expression" dxfId="417" priority="7545">
      <formula>AND($U$1="disabled",$U297="yes")</formula>
    </cfRule>
    <cfRule type="expression" dxfId="416" priority="7547">
      <formula xml:space="preserve"> #REF! = "end repeat"</formula>
    </cfRule>
  </conditionalFormatting>
  <conditionalFormatting sqref="U290">
    <cfRule type="expression" dxfId="415" priority="7093">
      <formula>AND($U$1="disabled",$U298="yes")</formula>
    </cfRule>
    <cfRule type="expression" dxfId="414" priority="7094">
      <formula>$A298 = "begin repeat"</formula>
    </cfRule>
    <cfRule type="expression" dxfId="413" priority="7095">
      <formula xml:space="preserve"> $A348 = "end repeat"</formula>
    </cfRule>
  </conditionalFormatting>
  <conditionalFormatting sqref="U291">
    <cfRule type="expression" dxfId="412" priority="6904">
      <formula>AND($U$1="disabled",$U299="yes")</formula>
    </cfRule>
    <cfRule type="expression" dxfId="411" priority="6905">
      <formula>$A299 = "begin repeat"</formula>
    </cfRule>
    <cfRule type="expression" dxfId="410" priority="6906">
      <formula xml:space="preserve"> $A372 = "end repeat"</formula>
    </cfRule>
  </conditionalFormatting>
  <conditionalFormatting sqref="U292">
    <cfRule type="expression" dxfId="409" priority="7444">
      <formula>#REF! = "begin repeat"</formula>
    </cfRule>
    <cfRule type="expression" dxfId="408" priority="7443">
      <formula>AND($U$1="disabled",#REF!="yes")</formula>
    </cfRule>
    <cfRule type="expression" dxfId="407" priority="7445">
      <formula xml:space="preserve"> #REF! = "end repeat"</formula>
    </cfRule>
  </conditionalFormatting>
  <conditionalFormatting sqref="U295">
    <cfRule type="expression" dxfId="406" priority="6900">
      <formula xml:space="preserve"> $A356 = "end repeat"</formula>
    </cfRule>
    <cfRule type="expression" dxfId="405" priority="6899">
      <formula>$A347 = "begin repeat"</formula>
    </cfRule>
    <cfRule type="expression" dxfId="404" priority="6898">
      <formula>AND($U$1="disabled",$U347="yes")</formula>
    </cfRule>
  </conditionalFormatting>
  <conditionalFormatting sqref="U301">
    <cfRule type="expression" dxfId="403" priority="7098">
      <formula xml:space="preserve"> #REF! = "end repeat"</formula>
    </cfRule>
    <cfRule type="expression" dxfId="402" priority="7096">
      <formula>AND($U$1="disabled",$U347="yes")</formula>
    </cfRule>
    <cfRule type="expression" dxfId="401" priority="7097">
      <formula>$A347 = "begin repeat"</formula>
    </cfRule>
  </conditionalFormatting>
  <conditionalFormatting sqref="U303">
    <cfRule type="expression" dxfId="400" priority="6901">
      <formula>AND($U$1="disabled",$U349="yes")</formula>
    </cfRule>
    <cfRule type="expression" dxfId="399" priority="6902">
      <formula>$A349 = "begin repeat"</formula>
    </cfRule>
    <cfRule type="expression" dxfId="398" priority="6903">
      <formula xml:space="preserve"> $A357 = "end repeat"</formula>
    </cfRule>
  </conditionalFormatting>
  <conditionalFormatting sqref="U305">
    <cfRule type="expression" dxfId="397" priority="6909">
      <formula xml:space="preserve"> $A358 = "end repeat"</formula>
    </cfRule>
    <cfRule type="expression" dxfId="396" priority="6908">
      <formula>#REF! = "begin repeat"</formula>
    </cfRule>
    <cfRule type="expression" dxfId="395" priority="6907">
      <formula>AND($U$1="disabled",#REF!="yes")</formula>
    </cfRule>
  </conditionalFormatting>
  <conditionalFormatting sqref="U307">
    <cfRule type="expression" dxfId="394" priority="7105">
      <formula>AND($U$1="disabled",#REF!="yes")</formula>
    </cfRule>
    <cfRule type="expression" dxfId="393" priority="7106">
      <formula>#REF! = "begin repeat"</formula>
    </cfRule>
    <cfRule type="expression" dxfId="392" priority="7107">
      <formula xml:space="preserve"> $A350 = "end repeat"</formula>
    </cfRule>
  </conditionalFormatting>
  <conditionalFormatting sqref="U309:U311 U315:U317">
    <cfRule type="expression" dxfId="391" priority="6925">
      <formula>AND($U$1="disabled",#REF!="yes")</formula>
    </cfRule>
  </conditionalFormatting>
  <conditionalFormatting sqref="U311 U317">
    <cfRule type="expression" dxfId="390" priority="6926">
      <formula>#REF! = "begin repeat"</formula>
    </cfRule>
    <cfRule type="expression" dxfId="389" priority="6927">
      <formula xml:space="preserve"> $A368 = "end repeat"</formula>
    </cfRule>
  </conditionalFormatting>
  <conditionalFormatting sqref="U313">
    <cfRule type="expression" dxfId="388" priority="6866">
      <formula xml:space="preserve"> $A360 = "end repeat"</formula>
    </cfRule>
    <cfRule type="expression" dxfId="387" priority="6864">
      <formula>AND($U$1="disabled",#REF!="yes")</formula>
    </cfRule>
    <cfRule type="expression" dxfId="386" priority="6865">
      <formula>#REF! = "begin repeat"</formula>
    </cfRule>
  </conditionalFormatting>
  <conditionalFormatting sqref="U315:U316 U309:U310">
    <cfRule type="expression" dxfId="385" priority="7182">
      <formula xml:space="preserve"> $A367 = "end repeat"</formula>
    </cfRule>
    <cfRule type="expression" dxfId="384" priority="7181">
      <formula>#REF! = "begin repeat"</formula>
    </cfRule>
  </conditionalFormatting>
  <conditionalFormatting sqref="U318">
    <cfRule type="expression" dxfId="383" priority="7112">
      <formula>$A327 = "begin repeat"</formula>
    </cfRule>
    <cfRule type="expression" dxfId="382" priority="7113">
      <formula xml:space="preserve"> $A333 = "end repeat"</formula>
    </cfRule>
    <cfRule type="expression" dxfId="381" priority="7111">
      <formula>AND($U$1="disabled",$U327="yes")</formula>
    </cfRule>
  </conditionalFormatting>
  <conditionalFormatting sqref="U319">
    <cfRule type="expression" dxfId="380" priority="6890">
      <formula>$A328 = "begin repeat"</formula>
    </cfRule>
    <cfRule type="expression" dxfId="379" priority="6889">
      <formula>AND($U$1="disabled",$U328="yes")</formula>
    </cfRule>
    <cfRule type="expression" dxfId="378" priority="6891">
      <formula xml:space="preserve"> $A392 = "end repeat"</formula>
    </cfRule>
  </conditionalFormatting>
  <conditionalFormatting sqref="U320">
    <cfRule type="expression" dxfId="377" priority="6992">
      <formula xml:space="preserve"> $A336 = "end repeat"</formula>
    </cfRule>
    <cfRule type="expression" dxfId="376" priority="6991">
      <formula>$A329 = "begin repeat"</formula>
    </cfRule>
    <cfRule type="expression" dxfId="375" priority="6990">
      <formula>AND($U$1="disabled",$U329="yes")</formula>
    </cfRule>
  </conditionalFormatting>
  <conditionalFormatting sqref="U331">
    <cfRule type="expression" dxfId="374" priority="6916">
      <formula>AND($U$1="disabled",$U339="yes")</formula>
    </cfRule>
    <cfRule type="expression" dxfId="373" priority="6917">
      <formula>$A339 = "begin repeat"</formula>
    </cfRule>
    <cfRule type="expression" dxfId="372" priority="6918">
      <formula xml:space="preserve"> $A392 = "end repeat"</formula>
    </cfRule>
  </conditionalFormatting>
  <conditionalFormatting sqref="U332">
    <cfRule type="expression" dxfId="371" priority="6915">
      <formula xml:space="preserve"> $A414 = "end repeat"</formula>
    </cfRule>
    <cfRule type="expression" dxfId="370" priority="6914">
      <formula>#REF! = "begin repeat"</formula>
    </cfRule>
  </conditionalFormatting>
  <conditionalFormatting sqref="U332:U333">
    <cfRule type="expression" dxfId="369" priority="6913">
      <formula>AND($U$1="disabled",#REF!="yes")</formula>
    </cfRule>
  </conditionalFormatting>
  <conditionalFormatting sqref="U333">
    <cfRule type="expression" dxfId="368" priority="7116">
      <formula xml:space="preserve"> #REF! = "end repeat"</formula>
    </cfRule>
    <cfRule type="expression" dxfId="367" priority="7115">
      <formula>#REF! = "begin repeat"</formula>
    </cfRule>
  </conditionalFormatting>
  <conditionalFormatting sqref="U336">
    <cfRule type="expression" dxfId="366" priority="6912">
      <formula xml:space="preserve"> $A396 = "end repeat"</formula>
    </cfRule>
    <cfRule type="expression" dxfId="365" priority="6911">
      <formula>$A391 = "begin repeat"</formula>
    </cfRule>
    <cfRule type="expression" dxfId="364" priority="6910">
      <formula>AND($U$1="disabled",$U391="yes")</formula>
    </cfRule>
  </conditionalFormatting>
  <conditionalFormatting sqref="U340">
    <cfRule type="expression" dxfId="363" priority="6886">
      <formula>AND($U$1="disabled",$U351="yes")</formula>
    </cfRule>
    <cfRule type="expression" dxfId="362" priority="6888">
      <formula xml:space="preserve"> $A361 = "end repeat"</formula>
    </cfRule>
    <cfRule type="expression" dxfId="361" priority="6887">
      <formula>$A351 = "begin repeat"</formula>
    </cfRule>
  </conditionalFormatting>
  <conditionalFormatting sqref="U341">
    <cfRule type="expression" dxfId="360" priority="6884">
      <formula>$A351 = "begin repeat"</formula>
    </cfRule>
    <cfRule type="expression" dxfId="359" priority="6885">
      <formula xml:space="preserve"> $A362 = "end repeat"</formula>
    </cfRule>
    <cfRule type="expression" dxfId="358" priority="6883">
      <formula>AND($U$1="disabled",$U351="yes")</formula>
    </cfRule>
  </conditionalFormatting>
  <conditionalFormatting sqref="U342">
    <cfRule type="expression" dxfId="357" priority="6879">
      <formula xml:space="preserve"> $A415 = "end repeat"</formula>
    </cfRule>
    <cfRule type="expression" dxfId="356" priority="6877">
      <formula>AND($U$1="disabled",$U349="yes")</formula>
    </cfRule>
    <cfRule type="expression" dxfId="355" priority="6878">
      <formula>$A349 = "begin repeat"</formula>
    </cfRule>
  </conditionalFormatting>
  <conditionalFormatting sqref="U343">
    <cfRule type="expression" dxfId="354" priority="6881">
      <formula>$A350 = "begin repeat"</formula>
    </cfRule>
    <cfRule type="expression" dxfId="353" priority="6880">
      <formula>AND($U$1="disabled",$U350="yes")</formula>
    </cfRule>
    <cfRule type="expression" dxfId="352" priority="6882">
      <formula xml:space="preserve"> $A361 = "end repeat"</formula>
    </cfRule>
  </conditionalFormatting>
  <conditionalFormatting sqref="U345">
    <cfRule type="expression" dxfId="351" priority="7438">
      <formula xml:space="preserve"> $U$1 = "calculation"</formula>
    </cfRule>
  </conditionalFormatting>
  <conditionalFormatting sqref="U346">
    <cfRule type="expression" dxfId="350" priority="7384">
      <formula>AND($U$1="disabled",$U356="yes")</formula>
    </cfRule>
    <cfRule type="expression" dxfId="349" priority="7386">
      <formula xml:space="preserve"> #REF! = "end repeat"</formula>
    </cfRule>
    <cfRule type="expression" dxfId="348" priority="7385">
      <formula>$A356 = "begin repeat"</formula>
    </cfRule>
  </conditionalFormatting>
  <conditionalFormatting sqref="U347">
    <cfRule type="expression" dxfId="347" priority="6920">
      <formula>$A357 = "begin repeat"</formula>
    </cfRule>
    <cfRule type="expression" dxfId="346" priority="6919">
      <formula>AND($U$1="disabled",$U357="yes")</formula>
    </cfRule>
    <cfRule type="expression" dxfId="345" priority="6921">
      <formula xml:space="preserve"> $A422 = "end repeat"</formula>
    </cfRule>
  </conditionalFormatting>
  <conditionalFormatting sqref="U348 U353">
    <cfRule type="expression" dxfId="344" priority="6922">
      <formula>AND($U$1="disabled",#REF!="yes")</formula>
    </cfRule>
    <cfRule type="expression" dxfId="343" priority="6923">
      <formula>#REF! = "begin repeat"</formula>
    </cfRule>
    <cfRule type="expression" dxfId="342" priority="6924">
      <formula xml:space="preserve"> $A360 = "end repeat"</formula>
    </cfRule>
  </conditionalFormatting>
  <conditionalFormatting sqref="U356">
    <cfRule type="expression" dxfId="341" priority="7176">
      <formula xml:space="preserve"> $A486 = "end repeat"</formula>
    </cfRule>
    <cfRule type="expression" dxfId="340" priority="7175">
      <formula>#REF! = "begin repeat"</formula>
    </cfRule>
    <cfRule type="expression" dxfId="339" priority="7174">
      <formula>AND($U$1="disabled",#REF!="yes")</formula>
    </cfRule>
  </conditionalFormatting>
  <conditionalFormatting sqref="U359 U424">
    <cfRule type="expression" dxfId="338" priority="4343">
      <formula xml:space="preserve"> $A424 = "end repeat"</formula>
    </cfRule>
    <cfRule type="expression" dxfId="337" priority="4342">
      <formula>$A421 = "begin repeat"</formula>
    </cfRule>
    <cfRule type="expression" dxfId="336" priority="4341">
      <formula>AND($U$1="disabled",$U421="yes")</formula>
    </cfRule>
  </conditionalFormatting>
  <conditionalFormatting sqref="U360">
    <cfRule type="expression" dxfId="335" priority="4359">
      <formula>AND($U$1="disabled",$U422="yes")</formula>
    </cfRule>
    <cfRule type="expression" dxfId="334" priority="4360">
      <formula>$A422 = "begin repeat"</formula>
    </cfRule>
    <cfRule type="expression" dxfId="333" priority="4361">
      <formula xml:space="preserve"> $A454 = "end repeat"</formula>
    </cfRule>
  </conditionalFormatting>
  <conditionalFormatting sqref="U365">
    <cfRule type="expression" dxfId="332" priority="6542">
      <formula>#REF! = "begin repeat"</formula>
    </cfRule>
    <cfRule type="expression" dxfId="331" priority="6543">
      <formula xml:space="preserve"> #REF! = "end repeat"</formula>
    </cfRule>
    <cfRule type="expression" dxfId="330" priority="6541">
      <formula>AND($U$1="disabled",#REF!="yes")</formula>
    </cfRule>
  </conditionalFormatting>
  <conditionalFormatting sqref="U366">
    <cfRule type="expression" dxfId="329" priority="6728">
      <formula>AND($U$1="disabled",$U373="yes")</formula>
    </cfRule>
    <cfRule type="expression" dxfId="328" priority="6729">
      <formula>$A373 = "begin repeat"</formula>
    </cfRule>
    <cfRule type="expression" dxfId="327" priority="6730">
      <formula xml:space="preserve"> #REF! = "end repeat"</formula>
    </cfRule>
  </conditionalFormatting>
  <conditionalFormatting sqref="U367">
    <cfRule type="expression" dxfId="326" priority="4346">
      <formula xml:space="preserve"> $A425 = "end repeat"</formula>
    </cfRule>
    <cfRule type="expression" dxfId="325" priority="4344">
      <formula>AND($U$1="disabled",#REF!="yes")</formula>
    </cfRule>
    <cfRule type="expression" dxfId="324" priority="4345">
      <formula>#REF! = "begin repeat"</formula>
    </cfRule>
  </conditionalFormatting>
  <conditionalFormatting sqref="U370">
    <cfRule type="expression" dxfId="323" priority="4356">
      <formula>AND($U$1="disabled",$U375="yes")</formula>
    </cfRule>
    <cfRule type="expression" dxfId="322" priority="4357">
      <formula>$A375 = "begin repeat"</formula>
    </cfRule>
    <cfRule type="expression" dxfId="321" priority="4358">
      <formula xml:space="preserve"> $A424 = "end repeat"</formula>
    </cfRule>
  </conditionalFormatting>
  <conditionalFormatting sqref="U371">
    <cfRule type="expression" dxfId="320" priority="4353">
      <formula>AND($U$1="disabled",$U377="yes")</formula>
    </cfRule>
    <cfRule type="expression" dxfId="319" priority="4354">
      <formula>$A377 = "begin repeat"</formula>
    </cfRule>
    <cfRule type="expression" dxfId="318" priority="4355">
      <formula xml:space="preserve"> $A425 = "end repeat"</formula>
    </cfRule>
  </conditionalFormatting>
  <conditionalFormatting sqref="U376">
    <cfRule type="expression" dxfId="317" priority="4350">
      <formula>AND($U$1="disabled",#REF!="yes")</formula>
    </cfRule>
    <cfRule type="expression" dxfId="316" priority="4351">
      <formula>#REF! = "begin repeat"</formula>
    </cfRule>
    <cfRule type="expression" dxfId="315" priority="4352">
      <formula xml:space="preserve"> $A451 = "end repeat"</formula>
    </cfRule>
  </conditionalFormatting>
  <conditionalFormatting sqref="U377">
    <cfRule type="expression" dxfId="314" priority="4349">
      <formula xml:space="preserve"> $A452 = "end repeat"</formula>
    </cfRule>
    <cfRule type="expression" dxfId="313" priority="4348">
      <formula>$A422 = "begin repeat"</formula>
    </cfRule>
    <cfRule type="expression" dxfId="312" priority="4347">
      <formula>AND($U$1="disabled",$U422="yes")</formula>
    </cfRule>
  </conditionalFormatting>
  <conditionalFormatting sqref="U378">
    <cfRule type="expression" dxfId="311" priority="6503">
      <formula>AND($U$1="disabled",#REF!="yes")</formula>
    </cfRule>
    <cfRule type="expression" dxfId="310" priority="6504">
      <formula>#REF! = "begin repeat"</formula>
    </cfRule>
    <cfRule type="expression" dxfId="309" priority="6505">
      <formula xml:space="preserve"> #REF! = "end repeat"</formula>
    </cfRule>
  </conditionalFormatting>
  <conditionalFormatting sqref="U383:U385">
    <cfRule type="expression" dxfId="308" priority="3321">
      <formula>AND($U$1="disabled",$U450="yes")</formula>
    </cfRule>
    <cfRule type="expression" dxfId="307" priority="3322">
      <formula>$A450 = "begin repeat"</formula>
    </cfRule>
    <cfRule type="expression" dxfId="306" priority="3323">
      <formula xml:space="preserve"> $A493 = "end repeat"</formula>
    </cfRule>
  </conditionalFormatting>
  <conditionalFormatting sqref="U386 U389">
    <cfRule type="expression" dxfId="305" priority="4298">
      <formula xml:space="preserve"> $A495 = "end repeat"</formula>
    </cfRule>
    <cfRule type="expression" dxfId="304" priority="4297">
      <formula>$A452 = "begin repeat"</formula>
    </cfRule>
    <cfRule type="expression" dxfId="303" priority="4296">
      <formula>AND($U$1="disabled",$U452="yes")</formula>
    </cfRule>
  </conditionalFormatting>
  <conditionalFormatting sqref="U387:U388 U390:U391">
    <cfRule type="expression" dxfId="302" priority="3320">
      <formula xml:space="preserve"> $A495 = "end repeat"</formula>
    </cfRule>
    <cfRule type="expression" dxfId="301" priority="3318">
      <formula>AND($U$1="disabled",$U452="yes")</formula>
    </cfRule>
    <cfRule type="expression" dxfId="300" priority="3319">
      <formula>$A452 = "begin repeat"</formula>
    </cfRule>
  </conditionalFormatting>
  <conditionalFormatting sqref="U392">
    <cfRule type="expression" dxfId="299" priority="4293">
      <formula>AND($U$1="disabled",$U450="yes")</formula>
    </cfRule>
    <cfRule type="expression" dxfId="298" priority="4294">
      <formula>$A450 = "begin repeat"</formula>
    </cfRule>
    <cfRule type="expression" dxfId="297" priority="4295">
      <formula xml:space="preserve"> $A507 = "end repeat"</formula>
    </cfRule>
  </conditionalFormatting>
  <conditionalFormatting sqref="U393:U395">
    <cfRule type="expression" dxfId="296" priority="3329">
      <formula xml:space="preserve"> $A501 = "end repeat"</formula>
    </cfRule>
    <cfRule type="expression" dxfId="295" priority="3327">
      <formula>AND($U$1="disabled",$U487="yes")</formula>
    </cfRule>
    <cfRule type="expression" dxfId="294" priority="3328">
      <formula>$A487 = "begin repeat"</formula>
    </cfRule>
  </conditionalFormatting>
  <conditionalFormatting sqref="U396:U397">
    <cfRule type="expression" dxfId="293" priority="3326">
      <formula xml:space="preserve"> $A502 = "end repeat"</formula>
    </cfRule>
    <cfRule type="expression" dxfId="292" priority="3324">
      <formula>AND($U$1="disabled",$U488="yes")</formula>
    </cfRule>
    <cfRule type="expression" dxfId="291" priority="3325">
      <formula>$A488 = "begin repeat"</formula>
    </cfRule>
  </conditionalFormatting>
  <conditionalFormatting sqref="U403 U417 U413:U415">
    <cfRule type="expression" dxfId="290" priority="4302">
      <formula>AND($U$1="disabled",$U488="yes")</formula>
    </cfRule>
    <cfRule type="expression" dxfId="289" priority="4303">
      <formula>$A488 = "begin repeat"</formula>
    </cfRule>
    <cfRule type="expression" dxfId="288" priority="4304">
      <formula xml:space="preserve"> $A502 = "end repeat"</formula>
    </cfRule>
  </conditionalFormatting>
  <conditionalFormatting sqref="U404:U407 U418:U420">
    <cfRule type="expression" dxfId="287" priority="3331">
      <formula>$A488 = "begin repeat"</formula>
    </cfRule>
    <cfRule type="expression" dxfId="286" priority="3332">
      <formula xml:space="preserve"> $A502 = "end repeat"</formula>
    </cfRule>
    <cfRule type="expression" dxfId="285" priority="3330">
      <formula>AND($U$1="disabled",$U488="yes")</formula>
    </cfRule>
  </conditionalFormatting>
  <conditionalFormatting sqref="U408:U409">
    <cfRule type="expression" dxfId="284" priority="3336">
      <formula>AND($U$1="disabled",$U491="yes")</formula>
    </cfRule>
    <cfRule type="expression" dxfId="283" priority="3337">
      <formula>$A491 = "begin repeat"</formula>
    </cfRule>
    <cfRule type="expression" dxfId="282" priority="3338">
      <formula xml:space="preserve"> $A505 = "end repeat"</formula>
    </cfRule>
  </conditionalFormatting>
  <conditionalFormatting sqref="U410:U411">
    <cfRule type="expression" dxfId="281" priority="3376">
      <formula>AND($U$1="disabled",$U500="yes")</formula>
    </cfRule>
    <cfRule type="expression" dxfId="280" priority="3377">
      <formula>$A500 = "begin repeat"</formula>
    </cfRule>
    <cfRule type="expression" dxfId="279" priority="3378">
      <formula xml:space="preserve"> $A514 = "end repeat"</formula>
    </cfRule>
  </conditionalFormatting>
  <conditionalFormatting sqref="U412">
    <cfRule type="expression" dxfId="278" priority="4300">
      <formula>$A498 = "begin repeat"</formula>
    </cfRule>
    <cfRule type="expression" dxfId="277" priority="4301">
      <formula xml:space="preserve"> $A512 = "end repeat"</formula>
    </cfRule>
    <cfRule type="expression" dxfId="276" priority="4299">
      <formula>AND($U$1="disabled",$U498="yes")</formula>
    </cfRule>
  </conditionalFormatting>
  <conditionalFormatting sqref="U416 U398:U402">
    <cfRule type="expression" dxfId="275" priority="3379">
      <formula>AND($U$1="disabled",$U489="yes")</formula>
    </cfRule>
    <cfRule type="expression" dxfId="274" priority="3380">
      <formula>$A489 = "begin repeat"</formula>
    </cfRule>
    <cfRule type="expression" dxfId="273" priority="3381">
      <formula xml:space="preserve"> $A503 = "end repeat"</formula>
    </cfRule>
  </conditionalFormatting>
  <conditionalFormatting sqref="U425">
    <cfRule type="expression" dxfId="272" priority="4331">
      <formula xml:space="preserve"> $A491 = "end repeat"</formula>
    </cfRule>
    <cfRule type="expression" dxfId="271" priority="4330">
      <formula>$A487 = "begin repeat"</formula>
    </cfRule>
    <cfRule type="expression" dxfId="270" priority="4329">
      <formula>AND($U$1="disabled",$U487="yes")</formula>
    </cfRule>
  </conditionalFormatting>
  <conditionalFormatting sqref="U430">
    <cfRule type="expression" dxfId="269" priority="6664">
      <formula>#REF! = "begin repeat"</formula>
    </cfRule>
    <cfRule type="expression" dxfId="268" priority="6665">
      <formula xml:space="preserve"> $A456 = "end repeat"</formula>
    </cfRule>
    <cfRule type="expression" dxfId="267" priority="6663">
      <formula>AND($U$1="disabled",#REF!="yes")</formula>
    </cfRule>
  </conditionalFormatting>
  <conditionalFormatting sqref="U431">
    <cfRule type="expression" dxfId="266" priority="6501">
      <formula>$A448 = "begin repeat"</formula>
    </cfRule>
    <cfRule type="expression" dxfId="265" priority="6502">
      <formula xml:space="preserve"> #REF! = "end repeat"</formula>
    </cfRule>
    <cfRule type="expression" dxfId="264" priority="6500">
      <formula>AND($U$1="disabled",$U448="yes")</formula>
    </cfRule>
  </conditionalFormatting>
  <conditionalFormatting sqref="U432">
    <cfRule type="expression" dxfId="263" priority="4322">
      <formula xml:space="preserve"> $A512 = "end repeat"</formula>
    </cfRule>
    <cfRule type="expression" dxfId="262" priority="4321">
      <formula>#REF! = "begin repeat"</formula>
    </cfRule>
    <cfRule type="expression" dxfId="261" priority="4320">
      <formula>AND($U$1="disabled",#REF!="yes")</formula>
    </cfRule>
  </conditionalFormatting>
  <conditionalFormatting sqref="U435">
    <cfRule type="expression" dxfId="260" priority="4317">
      <formula>AND($U$1="disabled",$U450="yes")</formula>
    </cfRule>
    <cfRule type="expression" dxfId="259" priority="4319">
      <formula xml:space="preserve"> $A511 = "end repeat"</formula>
    </cfRule>
    <cfRule type="expression" dxfId="258" priority="4318">
      <formula>$A450 = "begin repeat"</formula>
    </cfRule>
  </conditionalFormatting>
  <conditionalFormatting sqref="U436">
    <cfRule type="expression" dxfId="257" priority="4316">
      <formula xml:space="preserve"> $A512 = "end repeat"</formula>
    </cfRule>
    <cfRule type="expression" dxfId="256" priority="4315">
      <formula>$A452 = "begin repeat"</formula>
    </cfRule>
    <cfRule type="expression" dxfId="255" priority="4314">
      <formula>AND($U$1="disabled",$U452="yes")</formula>
    </cfRule>
  </conditionalFormatting>
  <conditionalFormatting sqref="U441">
    <cfRule type="expression" dxfId="254" priority="6497">
      <formula>AND($U$1="disabled",#REF!="yes")</formula>
    </cfRule>
    <cfRule type="expression" dxfId="253" priority="6498">
      <formula>#REF! = "begin repeat"</formula>
    </cfRule>
    <cfRule type="expression" dxfId="252" priority="6499">
      <formula xml:space="preserve"> #REF! = "end repeat"</formula>
    </cfRule>
  </conditionalFormatting>
  <conditionalFormatting sqref="U442">
    <cfRule type="expression" dxfId="251" priority="4305">
      <formula>AND($U$1="disabled",$U449="yes")</formula>
    </cfRule>
    <cfRule type="expression" dxfId="250" priority="4307">
      <formula xml:space="preserve"> $A486 = "end repeat"</formula>
    </cfRule>
    <cfRule type="expression" dxfId="249" priority="4306">
      <formula>$A449 = "begin repeat"</formula>
    </cfRule>
  </conditionalFormatting>
  <conditionalFormatting sqref="U443">
    <cfRule type="expression" dxfId="248" priority="4324">
      <formula>#REF! = "begin repeat"</formula>
    </cfRule>
    <cfRule type="expression" dxfId="247" priority="4323">
      <formula>AND($U$1="disabled",#REF!="yes")</formula>
    </cfRule>
    <cfRule type="expression" dxfId="246" priority="4325">
      <formula xml:space="preserve"> $A513 = "end repeat"</formula>
    </cfRule>
  </conditionalFormatting>
  <conditionalFormatting sqref="U446">
    <cfRule type="expression" dxfId="245" priority="4311">
      <formula>AND($U$1="disabled",$U451="yes")</formula>
    </cfRule>
    <cfRule type="expression" dxfId="244" priority="4313">
      <formula xml:space="preserve"> $A512 = "end repeat"</formula>
    </cfRule>
    <cfRule type="expression" dxfId="243" priority="4312">
      <formula>$A451 = "begin repeat"</formula>
    </cfRule>
  </conditionalFormatting>
  <conditionalFormatting sqref="U447">
    <cfRule type="expression" dxfId="242" priority="4309">
      <formula>$A453 = "begin repeat"</formula>
    </cfRule>
    <cfRule type="expression" dxfId="241" priority="4310">
      <formula xml:space="preserve"> $A513 = "end repeat"</formula>
    </cfRule>
    <cfRule type="expression" dxfId="240" priority="4308">
      <formula>AND($U$1="disabled",$U453="yes")</formula>
    </cfRule>
  </conditionalFormatting>
  <conditionalFormatting sqref="U451">
    <cfRule type="expression" dxfId="239" priority="6817">
      <formula>#REF! = "begin repeat"</formula>
    </cfRule>
    <cfRule type="expression" dxfId="238" priority="6818">
      <formula xml:space="preserve"> $A495 = "end repeat"</formula>
    </cfRule>
    <cfRule type="expression" dxfId="237" priority="6816">
      <formula>AND($U$1="disabled",#REF!="yes")</formula>
    </cfRule>
  </conditionalFormatting>
  <conditionalFormatting sqref="U452">
    <cfRule type="expression" dxfId="236" priority="4327">
      <formula>$A487 = "begin repeat"</formula>
    </cfRule>
    <cfRule type="expression" dxfId="235" priority="4328">
      <formula xml:space="preserve"> $A496 = "end repeat"</formula>
    </cfRule>
    <cfRule type="expression" dxfId="234" priority="4326">
      <formula>AND($U$1="disabled",$U487="yes")</formula>
    </cfRule>
  </conditionalFormatting>
  <conditionalFormatting sqref="U453">
    <cfRule type="expression" dxfId="233" priority="4261">
      <formula>AND($U$1="disabled",#REF!="yes")</formula>
    </cfRule>
    <cfRule type="expression" dxfId="232" priority="4262">
      <formula>#REF! = "begin repeat"</formula>
    </cfRule>
    <cfRule type="expression" dxfId="231" priority="4263">
      <formula xml:space="preserve"> $A560 = "end repeat"</formula>
    </cfRule>
  </conditionalFormatting>
  <conditionalFormatting sqref="U456">
    <cfRule type="expression" dxfId="230" priority="4269">
      <formula xml:space="preserve"> $A559 = "end repeat"</formula>
    </cfRule>
    <cfRule type="expression" dxfId="229" priority="4268">
      <formula>$A489 = "begin repeat"</formula>
    </cfRule>
    <cfRule type="expression" dxfId="228" priority="4267">
      <formula>AND($U$1="disabled",$U489="yes")</formula>
    </cfRule>
  </conditionalFormatting>
  <conditionalFormatting sqref="U457">
    <cfRule type="expression" dxfId="227" priority="4264">
      <formula>AND($U$1="disabled",$U518="yes")</formula>
    </cfRule>
    <cfRule type="expression" dxfId="226" priority="4265">
      <formula>$A518 = "begin repeat"</formula>
    </cfRule>
    <cfRule type="expression" dxfId="225" priority="4266">
      <formula xml:space="preserve"> $A583 = "end repeat"</formula>
    </cfRule>
  </conditionalFormatting>
  <conditionalFormatting sqref="U458:U460">
    <cfRule type="expression" dxfId="224" priority="3578">
      <formula>AND($U$1="disabled",$U572="yes")</formula>
    </cfRule>
    <cfRule type="expression" dxfId="223" priority="3580">
      <formula xml:space="preserve"> $A587 = "end repeat"</formula>
    </cfRule>
    <cfRule type="expression" dxfId="222" priority="3579">
      <formula>$A572 = "begin repeat"</formula>
    </cfRule>
  </conditionalFormatting>
  <conditionalFormatting sqref="U461:U462">
    <cfRule type="expression" dxfId="221" priority="3577">
      <formula xml:space="preserve"> $A588 = "end repeat"</formula>
    </cfRule>
    <cfRule type="expression" dxfId="220" priority="3576">
      <formula>$A573 = "begin repeat"</formula>
    </cfRule>
    <cfRule type="expression" dxfId="219" priority="3575">
      <formula>AND($U$1="disabled",$U573="yes")</formula>
    </cfRule>
  </conditionalFormatting>
  <conditionalFormatting sqref="U468 U482">
    <cfRule type="expression" dxfId="218" priority="4272">
      <formula xml:space="preserve"> $A588 = "end repeat"</formula>
    </cfRule>
    <cfRule type="expression" dxfId="217" priority="4271">
      <formula>$A573 = "begin repeat"</formula>
    </cfRule>
    <cfRule type="expression" dxfId="216" priority="4270">
      <formula>AND($U$1="disabled",$U573="yes")</formula>
    </cfRule>
  </conditionalFormatting>
  <conditionalFormatting sqref="U469:U472 U483:U485">
    <cfRule type="expression" dxfId="215" priority="3590">
      <formula>AND($U$1="disabled",$U573="yes")</formula>
    </cfRule>
    <cfRule type="expression" dxfId="214" priority="3592">
      <formula xml:space="preserve"> $A588 = "end repeat"</formula>
    </cfRule>
    <cfRule type="expression" dxfId="213" priority="3591">
      <formula>$A573 = "begin repeat"</formula>
    </cfRule>
  </conditionalFormatting>
  <conditionalFormatting sqref="U473:U474">
    <cfRule type="expression" dxfId="212" priority="3596">
      <formula>AND($U$1="disabled",$U576="yes")</formula>
    </cfRule>
    <cfRule type="expression" dxfId="211" priority="3598">
      <formula xml:space="preserve"> $A591 = "end repeat"</formula>
    </cfRule>
    <cfRule type="expression" dxfId="210" priority="3597">
      <formula>$A576 = "begin repeat"</formula>
    </cfRule>
  </conditionalFormatting>
  <conditionalFormatting sqref="U475:U476">
    <cfRule type="expression" dxfId="209" priority="3588">
      <formula>$A586 = "begin repeat"</formula>
    </cfRule>
    <cfRule type="expression" dxfId="208" priority="3589">
      <formula xml:space="preserve"> $A598 = "end repeat"</formula>
    </cfRule>
    <cfRule type="expression" dxfId="207" priority="3587">
      <formula>AND($U$1="disabled",$U586="yes")</formula>
    </cfRule>
  </conditionalFormatting>
  <conditionalFormatting sqref="U477">
    <cfRule type="expression" dxfId="206" priority="4248">
      <formula xml:space="preserve"> $A597 = "end repeat"</formula>
    </cfRule>
    <cfRule type="expression" dxfId="205" priority="4247">
      <formula>$A584 = "begin repeat"</formula>
    </cfRule>
    <cfRule type="expression" dxfId="204" priority="4246">
      <formula>AND($U$1="disabled",$U584="yes")</formula>
    </cfRule>
  </conditionalFormatting>
  <conditionalFormatting sqref="U478">
    <cfRule type="expression" dxfId="203" priority="4250">
      <formula>$A584 = "begin repeat"</formula>
    </cfRule>
    <cfRule type="expression" dxfId="202" priority="4249">
      <formula>AND($U$1="disabled",$U584="yes")</formula>
    </cfRule>
    <cfRule type="expression" dxfId="201" priority="4251">
      <formula xml:space="preserve"> $A597 = "end repeat"</formula>
    </cfRule>
  </conditionalFormatting>
  <conditionalFormatting sqref="U479">
    <cfRule type="expression" dxfId="200" priority="4253">
      <formula>$A585 = "begin repeat"</formula>
    </cfRule>
    <cfRule type="expression" dxfId="199" priority="4252">
      <formula>AND($U$1="disabled",$U585="yes")</formula>
    </cfRule>
    <cfRule type="expression" dxfId="198" priority="4254">
      <formula xml:space="preserve"> $A580 = "end repeat"</formula>
    </cfRule>
  </conditionalFormatting>
  <conditionalFormatting sqref="U480">
    <cfRule type="expression" dxfId="197" priority="4244">
      <formula>$A586 = "begin repeat"</formula>
    </cfRule>
    <cfRule type="expression" dxfId="196" priority="4243">
      <formula>AND($U$1="disabled",$U586="yes")</formula>
    </cfRule>
    <cfRule type="expression" dxfId="195" priority="4245">
      <formula xml:space="preserve"> $A598 = "end repeat"</formula>
    </cfRule>
  </conditionalFormatting>
  <conditionalFormatting sqref="U481 U463:U467">
    <cfRule type="expression" dxfId="194" priority="3661">
      <formula>AND($U$1="disabled",$U574="yes")</formula>
    </cfRule>
    <cfRule type="expression" dxfId="193" priority="3663">
      <formula xml:space="preserve"> $A589 = "end repeat"</formula>
    </cfRule>
    <cfRule type="expression" dxfId="192" priority="3662">
      <formula>$A574 = "begin repeat"</formula>
    </cfRule>
  </conditionalFormatting>
  <conditionalFormatting sqref="U495">
    <cfRule type="expression" dxfId="191" priority="4257">
      <formula xml:space="preserve"> $A579 = "end repeat"</formula>
    </cfRule>
    <cfRule type="expression" dxfId="190" priority="4255">
      <formula>AND($U$1="disabled",$U562="yes")</formula>
    </cfRule>
    <cfRule type="expression" dxfId="189" priority="4256">
      <formula>$A562 = "begin repeat"</formula>
    </cfRule>
  </conditionalFormatting>
  <conditionalFormatting sqref="U497">
    <cfRule type="expression" dxfId="188" priority="4287">
      <formula xml:space="preserve"> $A583 = "end repeat"</formula>
    </cfRule>
    <cfRule type="expression" dxfId="187" priority="4286">
      <formula>$A564 = "begin repeat"</formula>
    </cfRule>
    <cfRule type="expression" dxfId="186" priority="4285">
      <formula>AND($U$1="disabled",$U564="yes")</formula>
    </cfRule>
  </conditionalFormatting>
  <conditionalFormatting sqref="U498:U499">
    <cfRule type="expression" dxfId="185" priority="3791">
      <formula>$A564 = "begin repeat"</formula>
    </cfRule>
    <cfRule type="expression" dxfId="184" priority="3790">
      <formula>AND($U$1="disabled",$U564="yes")</formula>
    </cfRule>
    <cfRule type="expression" dxfId="183" priority="3792">
      <formula xml:space="preserve"> $A583 = "end repeat"</formula>
    </cfRule>
  </conditionalFormatting>
  <conditionalFormatting sqref="U500">
    <cfRule type="expression" dxfId="182" priority="4276">
      <formula>AND($U$1="disabled",$U565="yes")</formula>
    </cfRule>
    <cfRule type="expression" dxfId="181" priority="4277">
      <formula>$A565 = "begin repeat"</formula>
    </cfRule>
    <cfRule type="expression" dxfId="180" priority="4278">
      <formula xml:space="preserve"> $A584 = "end repeat"</formula>
    </cfRule>
  </conditionalFormatting>
  <conditionalFormatting sqref="U501 U496">
    <cfRule type="expression" dxfId="179" priority="4284">
      <formula xml:space="preserve"> $A581 = "end repeat"</formula>
    </cfRule>
    <cfRule type="expression" dxfId="178" priority="4283">
      <formula>$A563 = "begin repeat"</formula>
    </cfRule>
    <cfRule type="expression" dxfId="177" priority="4282">
      <formula>AND($U$1="disabled",$U563="yes")</formula>
    </cfRule>
  </conditionalFormatting>
  <conditionalFormatting sqref="U502:U503">
    <cfRule type="expression" dxfId="176" priority="3795">
      <formula xml:space="preserve"> $A586 = "end repeat"</formula>
    </cfRule>
    <cfRule type="expression" dxfId="175" priority="3793">
      <formula>AND($U$1="disabled",$U568="yes")</formula>
    </cfRule>
    <cfRule type="expression" dxfId="174" priority="3794">
      <formula>$A568 = "begin repeat"</formula>
    </cfRule>
  </conditionalFormatting>
  <conditionalFormatting sqref="U508">
    <cfRule type="expression" dxfId="173" priority="4279">
      <formula>AND($U$1="disabled",$U579="yes")</formula>
    </cfRule>
    <cfRule type="expression" dxfId="172" priority="4280">
      <formula>$A579 = "begin repeat"</formula>
    </cfRule>
    <cfRule type="expression" dxfId="171" priority="4281">
      <formula xml:space="preserve"> $A596 = "end repeat"</formula>
    </cfRule>
  </conditionalFormatting>
  <conditionalFormatting sqref="U509">
    <cfRule type="expression" dxfId="170" priority="4233">
      <formula xml:space="preserve"> $A639 = "end repeat"</formula>
    </cfRule>
    <cfRule type="expression" dxfId="169" priority="4231">
      <formula>AND($U$1="disabled",$U581="yes")</formula>
    </cfRule>
    <cfRule type="expression" dxfId="168" priority="4232">
      <formula>$A581 = "begin repeat"</formula>
    </cfRule>
  </conditionalFormatting>
  <conditionalFormatting sqref="U510">
    <cfRule type="expression" dxfId="167" priority="4217">
      <formula>$A583 = "begin repeat"</formula>
    </cfRule>
    <cfRule type="expression" dxfId="166" priority="4216">
      <formula>AND($U$1="disabled",$U583="yes")</formula>
    </cfRule>
    <cfRule type="expression" dxfId="165" priority="4218">
      <formula xml:space="preserve"> $A640 = "end repeat"</formula>
    </cfRule>
  </conditionalFormatting>
  <conditionalFormatting sqref="U512:U513 U515:U517">
    <cfRule type="expression" dxfId="164" priority="3788">
      <formula>$A583 = "begin repeat"</formula>
    </cfRule>
    <cfRule type="expression" dxfId="163" priority="3789">
      <formula xml:space="preserve"> $A640 = "end repeat"</formula>
    </cfRule>
    <cfRule type="expression" dxfId="162" priority="3787">
      <formula>AND($U$1="disabled",$U583="yes")</formula>
    </cfRule>
  </conditionalFormatting>
  <conditionalFormatting sqref="U514 U511">
    <cfRule type="expression" dxfId="161" priority="4215">
      <formula xml:space="preserve"> $A640 = "end repeat"</formula>
    </cfRule>
    <cfRule type="expression" dxfId="160" priority="4214">
      <formula>$A583 = "begin repeat"</formula>
    </cfRule>
    <cfRule type="expression" dxfId="159" priority="4213">
      <formula>AND($U$1="disabled",$U583="yes")</formula>
    </cfRule>
  </conditionalFormatting>
  <conditionalFormatting sqref="U518">
    <cfRule type="expression" dxfId="158" priority="4212">
      <formula xml:space="preserve"> $A645 = "end repeat"</formula>
    </cfRule>
    <cfRule type="expression" dxfId="157" priority="4211">
      <formula>$A588 = "begin repeat"</formula>
    </cfRule>
    <cfRule type="expression" dxfId="156" priority="4210">
      <formula>AND($U$1="disabled",$U588="yes")</formula>
    </cfRule>
  </conditionalFormatting>
  <conditionalFormatting sqref="U519:U521">
    <cfRule type="expression" dxfId="155" priority="3786">
      <formula xml:space="preserve"> $A645 = "end repeat"</formula>
    </cfRule>
    <cfRule type="expression" dxfId="154" priority="3784">
      <formula>AND($U$1="disabled",$U588="yes")</formula>
    </cfRule>
    <cfRule type="expression" dxfId="153" priority="3785">
      <formula>$A588 = "begin repeat"</formula>
    </cfRule>
  </conditionalFormatting>
  <conditionalFormatting sqref="U522:U525">
    <cfRule type="expression" dxfId="152" priority="3778">
      <formula>AND($U$1="disabled",$U673="yes")</formula>
    </cfRule>
    <cfRule type="expression" dxfId="151" priority="3780">
      <formula xml:space="preserve"> $A711 = "end repeat"</formula>
    </cfRule>
    <cfRule type="expression" dxfId="150" priority="3779">
      <formula>$A673 = "begin repeat"</formula>
    </cfRule>
  </conditionalFormatting>
  <conditionalFormatting sqref="U526:U527">
    <cfRule type="expression" dxfId="149" priority="3842">
      <formula xml:space="preserve"> $A714 = "end repeat"</formula>
    </cfRule>
    <cfRule type="expression" dxfId="148" priority="3841">
      <formula>$A676 = "begin repeat"</formula>
    </cfRule>
    <cfRule type="expression" dxfId="147" priority="3840">
      <formula>AND($U$1="disabled",$U676="yes")</formula>
    </cfRule>
  </conditionalFormatting>
  <conditionalFormatting sqref="U528:U531">
    <cfRule type="expression" dxfId="146" priority="4038">
      <formula>AND($U$1="disabled",$U677="yes")</formula>
    </cfRule>
    <cfRule type="expression" dxfId="145" priority="4039">
      <formula>$A677 = "begin repeat"</formula>
    </cfRule>
    <cfRule type="expression" dxfId="144" priority="4040">
      <formula xml:space="preserve"> $A715 = "end repeat"</formula>
    </cfRule>
  </conditionalFormatting>
  <conditionalFormatting sqref="U532:U533">
    <cfRule type="expression" dxfId="143" priority="3797">
      <formula>$A675 = "begin repeat"</formula>
    </cfRule>
    <cfRule type="expression" dxfId="142" priority="3796">
      <formula>AND($U$1="disabled",$U675="yes")</formula>
    </cfRule>
    <cfRule type="expression" dxfId="141" priority="3798">
      <formula xml:space="preserve"> $A713 = "end repeat"</formula>
    </cfRule>
  </conditionalFormatting>
  <conditionalFormatting sqref="U534 U550:U551">
    <cfRule type="expression" dxfId="140" priority="4167">
      <formula xml:space="preserve"> $A714 = "end repeat"</formula>
    </cfRule>
    <cfRule type="expression" dxfId="139" priority="4165">
      <formula>AND($U$1="disabled",$U676="yes")</formula>
    </cfRule>
    <cfRule type="expression" dxfId="138" priority="4166">
      <formula>$A676 = "begin repeat"</formula>
    </cfRule>
  </conditionalFormatting>
  <conditionalFormatting sqref="U535:U536 U552:U553">
    <cfRule type="expression" dxfId="137" priority="4189">
      <formula>AND($U$1="disabled",$U676="yes")</formula>
    </cfRule>
    <cfRule type="expression" dxfId="136" priority="4190">
      <formula>$A676 = "begin repeat"</formula>
    </cfRule>
    <cfRule type="expression" dxfId="135" priority="4191">
      <formula xml:space="preserve"> $A714 = "end repeat"</formula>
    </cfRule>
  </conditionalFormatting>
  <conditionalFormatting sqref="U537:U539 U554:U556">
    <cfRule type="expression" dxfId="134" priority="4060">
      <formula>$A677 = "begin repeat"</formula>
    </cfRule>
    <cfRule type="expression" dxfId="133" priority="4061">
      <formula xml:space="preserve"> $A715 = "end repeat"</formula>
    </cfRule>
    <cfRule type="expression" dxfId="132" priority="4059">
      <formula>AND($U$1="disabled",$U677="yes")</formula>
    </cfRule>
  </conditionalFormatting>
  <conditionalFormatting sqref="U540:U541">
    <cfRule type="expression" dxfId="131" priority="4036">
      <formula>$A712 = "begin repeat"</formula>
    </cfRule>
    <cfRule type="expression" dxfId="130" priority="4037">
      <formula xml:space="preserve"> $A742 = "end repeat"</formula>
    </cfRule>
    <cfRule type="expression" dxfId="129" priority="4035">
      <formula>AND($U$1="disabled",$U712="yes")</formula>
    </cfRule>
  </conditionalFormatting>
  <conditionalFormatting sqref="U542:U543">
    <cfRule type="expression" dxfId="128" priority="4034">
      <formula xml:space="preserve"> $A739 = "end repeat"</formula>
    </cfRule>
    <cfRule type="expression" dxfId="127" priority="4033">
      <formula>$A709 = "begin repeat"</formula>
    </cfRule>
    <cfRule type="expression" dxfId="126" priority="4032">
      <formula>AND($U$1="disabled",$U709="yes")</formula>
    </cfRule>
  </conditionalFormatting>
  <conditionalFormatting sqref="U544:U545">
    <cfRule type="expression" dxfId="125" priority="4107">
      <formula>$A710 = "begin repeat"</formula>
    </cfRule>
    <cfRule type="expression" dxfId="124" priority="4108">
      <formula xml:space="preserve"> $A740 = "end repeat"</formula>
    </cfRule>
    <cfRule type="expression" dxfId="123" priority="4106">
      <formula>AND($U$1="disabled",$U710="yes")</formula>
    </cfRule>
  </conditionalFormatting>
  <conditionalFormatting sqref="U546:U548">
    <cfRule type="expression" dxfId="122" priority="4026">
      <formula>AND($U$1="disabled",$U743="yes")</formula>
    </cfRule>
    <cfRule type="expression" dxfId="121" priority="4027">
      <formula>$A743 = "begin repeat"</formula>
    </cfRule>
    <cfRule type="expression" dxfId="120" priority="4028">
      <formula xml:space="preserve"> $A757 = "end repeat"</formula>
    </cfRule>
  </conditionalFormatting>
  <conditionalFormatting sqref="U549">
    <cfRule type="expression" dxfId="119" priority="4126">
      <formula xml:space="preserve"> $A734 = "end repeat"</formula>
    </cfRule>
    <cfRule type="expression" dxfId="118" priority="4124">
      <formula>AND($U$1="disabled",$U696="yes")</formula>
    </cfRule>
    <cfRule type="expression" dxfId="117" priority="4125">
      <formula>$A696 = "begin repeat"</formula>
    </cfRule>
  </conditionalFormatting>
  <conditionalFormatting sqref="U568">
    <cfRule type="expression" dxfId="116" priority="2681">
      <formula xml:space="preserve"> $A590 = "end repeat"</formula>
    </cfRule>
    <cfRule type="expression" dxfId="115" priority="2680">
      <formula>$A577 = "begin repeat"</formula>
    </cfRule>
    <cfRule type="expression" dxfId="114" priority="2679">
      <formula>AND($U$1="disabled",$U577="yes")</formula>
    </cfRule>
  </conditionalFormatting>
  <conditionalFormatting sqref="U569">
    <cfRule type="expression" dxfId="113" priority="2697">
      <formula>AND($U$1="disabled",$U578="yes")</formula>
    </cfRule>
    <cfRule type="expression" dxfId="112" priority="2698">
      <formula>$A578 = "begin repeat"</formula>
    </cfRule>
    <cfRule type="expression" dxfId="111" priority="2699">
      <formula xml:space="preserve"> $A592 = "end repeat"</formula>
    </cfRule>
  </conditionalFormatting>
  <conditionalFormatting sqref="U576:U579">
    <cfRule type="expression" dxfId="110" priority="2323">
      <formula>AND($U$1="disabled",$U586="yes")</formula>
    </cfRule>
    <cfRule type="expression" dxfId="109" priority="2324">
      <formula>$A586 = "begin repeat"</formula>
    </cfRule>
    <cfRule type="expression" dxfId="108" priority="2325">
      <formula xml:space="preserve"> #REF! = "end repeat"</formula>
    </cfRule>
  </conditionalFormatting>
  <conditionalFormatting sqref="U581">
    <cfRule type="expression" dxfId="107" priority="2633">
      <formula xml:space="preserve"> #REF! = "end repeat"</formula>
    </cfRule>
    <cfRule type="expression" dxfId="106" priority="2631">
      <formula>AND($U$1="disabled",$U590="yes")</formula>
    </cfRule>
    <cfRule type="expression" dxfId="105" priority="2632">
      <formula>$A590 = "begin repeat"</formula>
    </cfRule>
  </conditionalFormatting>
  <conditionalFormatting sqref="U613">
    <cfRule type="expression" dxfId="104" priority="1879">
      <formula>$A621 = "begin repeat"</formula>
    </cfRule>
    <cfRule type="expression" dxfId="103" priority="1880">
      <formula xml:space="preserve"> $A647 = "end repeat"</formula>
    </cfRule>
    <cfRule type="expression" dxfId="102" priority="1878">
      <formula>AND($U$1="disabled",$U621="yes")</formula>
    </cfRule>
  </conditionalFormatting>
  <conditionalFormatting sqref="U614">
    <cfRule type="expression" dxfId="101" priority="1923">
      <formula>$A622 = "begin repeat"</formula>
    </cfRule>
    <cfRule type="expression" dxfId="100" priority="1922">
      <formula>AND($U$1="disabled",$U622="yes")</formula>
    </cfRule>
    <cfRule type="expression" dxfId="99" priority="1924">
      <formula xml:space="preserve"> $A649 = "end repeat"</formula>
    </cfRule>
  </conditionalFormatting>
  <conditionalFormatting sqref="U621:U623 U617:U619">
    <cfRule type="expression" dxfId="98" priority="1848">
      <formula>$A640 = "begin repeat"</formula>
    </cfRule>
    <cfRule type="expression" dxfId="97" priority="1847">
      <formula>AND($U$1="disabled",$U640="yes")</formula>
    </cfRule>
    <cfRule type="expression" dxfId="96" priority="1849">
      <formula xml:space="preserve"> #REF! = "end repeat"</formula>
    </cfRule>
  </conditionalFormatting>
  <conditionalFormatting sqref="U629">
    <cfRule type="expression" dxfId="95" priority="1971">
      <formula xml:space="preserve"> #REF! = "end repeat"</formula>
    </cfRule>
    <cfRule type="expression" dxfId="94" priority="1970">
      <formula>#REF! = "begin repeat"</formula>
    </cfRule>
  </conditionalFormatting>
  <conditionalFormatting sqref="U629:U630">
    <cfRule type="expression" dxfId="93" priority="1969">
      <formula>AND($U$1="disabled",#REF!="yes")</formula>
    </cfRule>
  </conditionalFormatting>
  <conditionalFormatting sqref="U630">
    <cfRule type="expression" dxfId="92" priority="1973">
      <formula>#REF! = "begin repeat"</formula>
    </cfRule>
    <cfRule type="expression" dxfId="91" priority="1974">
      <formula xml:space="preserve"> #REF! = "end repeat"</formula>
    </cfRule>
  </conditionalFormatting>
  <conditionalFormatting sqref="U635 U583:U584">
    <cfRule type="expression" dxfId="90" priority="2696">
      <formula xml:space="preserve"> #REF! = "end repeat"</formula>
    </cfRule>
    <cfRule type="expression" dxfId="89" priority="2694">
      <formula>AND($U$1="disabled",$U591="yes")</formula>
    </cfRule>
    <cfRule type="expression" dxfId="88" priority="2695">
      <formula>$A591 = "begin repeat"</formula>
    </cfRule>
  </conditionalFormatting>
  <conditionalFormatting sqref="U635:U636 U638">
    <cfRule type="expression" dxfId="87" priority="1964">
      <formula>AND($U$1="disabled",#REF!="yes")</formula>
    </cfRule>
  </conditionalFormatting>
  <conditionalFormatting sqref="U636 U572:U574">
    <cfRule type="expression" dxfId="86" priority="2063">
      <formula xml:space="preserve"> #REF! = "end repeat"</formula>
    </cfRule>
    <cfRule type="expression" dxfId="85" priority="2061">
      <formula>AND($U$1="disabled",$U583="yes")</formula>
    </cfRule>
    <cfRule type="expression" dxfId="84" priority="2062">
      <formula>$A583 = "begin repeat"</formula>
    </cfRule>
  </conditionalFormatting>
  <conditionalFormatting sqref="U638 U635:U636">
    <cfRule type="expression" dxfId="83" priority="1966">
      <formula xml:space="preserve"> #REF! = "end repeat"</formula>
    </cfRule>
    <cfRule type="expression" dxfId="82" priority="1965">
      <formula>#REF! = "begin repeat"</formula>
    </cfRule>
  </conditionalFormatting>
  <conditionalFormatting sqref="U711">
    <cfRule type="expression" dxfId="81" priority="1365">
      <formula>#REF! = "begin repeat"</formula>
    </cfRule>
    <cfRule type="expression" dxfId="80" priority="1366">
      <formula xml:space="preserve"> $A757 = "end repeat"</formula>
    </cfRule>
  </conditionalFormatting>
  <conditionalFormatting sqref="U711:U712">
    <cfRule type="expression" dxfId="79" priority="1361">
      <formula>AND($U$1="disabled",#REF!="yes")</formula>
    </cfRule>
  </conditionalFormatting>
  <conditionalFormatting sqref="U712">
    <cfRule type="expression" dxfId="78" priority="1363">
      <formula xml:space="preserve"> $A757 = "end repeat"</formula>
    </cfRule>
    <cfRule type="expression" dxfId="77" priority="1362">
      <formula>#REF! = "begin repeat"</formula>
    </cfRule>
  </conditionalFormatting>
  <conditionalFormatting sqref="U713">
    <cfRule type="expression" dxfId="76" priority="1360">
      <formula xml:space="preserve"> $A788 = "end repeat"</formula>
    </cfRule>
    <cfRule type="expression" dxfId="75" priority="1359">
      <formula>$A741 = "begin repeat"</formula>
    </cfRule>
    <cfRule type="expression" dxfId="74" priority="1358">
      <formula>AND($U$1="disabled",$U741="yes")</formula>
    </cfRule>
  </conditionalFormatting>
  <conditionalFormatting sqref="U720 U734:U738">
    <cfRule type="expression" dxfId="73" priority="1401">
      <formula xml:space="preserve"> $A790 = "end repeat"</formula>
    </cfRule>
    <cfRule type="expression" dxfId="72" priority="1399">
      <formula>AND($U$1="disabled",$U744="yes")</formula>
    </cfRule>
    <cfRule type="expression" dxfId="71" priority="1400">
      <formula>$A744 = "begin repeat"</formula>
    </cfRule>
  </conditionalFormatting>
  <conditionalFormatting sqref="U721:U722">
    <cfRule type="expression" dxfId="70" priority="1331">
      <formula>$A744 = "begin repeat"</formula>
    </cfRule>
    <cfRule type="expression" dxfId="69" priority="1330">
      <formula>AND($U$1="disabled",$U744="yes")</formula>
    </cfRule>
    <cfRule type="expression" dxfId="68" priority="1332">
      <formula xml:space="preserve"> $A790 = "end repeat"</formula>
    </cfRule>
  </conditionalFormatting>
  <conditionalFormatting sqref="U724">
    <cfRule type="expression" dxfId="67" priority="1470">
      <formula xml:space="preserve"> $A771 = "end repeat"</formula>
    </cfRule>
    <cfRule type="expression" dxfId="66" priority="1469">
      <formula>#REF! = "begin repeat"</formula>
    </cfRule>
  </conditionalFormatting>
  <conditionalFormatting sqref="U724:U725">
    <cfRule type="expression" dxfId="65" priority="1468">
      <formula>AND($U$1="disabled",#REF!="yes")</formula>
    </cfRule>
  </conditionalFormatting>
  <conditionalFormatting sqref="U725">
    <cfRule type="expression" dxfId="64" priority="2101">
      <formula>#REF! = "begin repeat"</formula>
    </cfRule>
    <cfRule type="expression" dxfId="63" priority="2102">
      <formula xml:space="preserve"> $A771 = "end repeat"</formula>
    </cfRule>
  </conditionalFormatting>
  <conditionalFormatting sqref="U726">
    <cfRule type="expression" dxfId="62" priority="1466">
      <formula>$A755 = "begin repeat"</formula>
    </cfRule>
    <cfRule type="expression" dxfId="61" priority="1465">
      <formula>AND($U$1="disabled",$U755="yes")</formula>
    </cfRule>
    <cfRule type="expression" dxfId="60" priority="1467">
      <formula xml:space="preserve"> $A802 = "end repeat"</formula>
    </cfRule>
  </conditionalFormatting>
  <conditionalFormatting sqref="U733">
    <cfRule type="expression" dxfId="59" priority="1531">
      <formula>$A758 = "begin repeat"</formula>
    </cfRule>
    <cfRule type="expression" dxfId="58" priority="1532">
      <formula xml:space="preserve"> $A804 = "end repeat"</formula>
    </cfRule>
    <cfRule type="expression" dxfId="57" priority="1530">
      <formula>AND($U$1="disabled",$U758="yes")</formula>
    </cfRule>
  </conditionalFormatting>
  <conditionalFormatting sqref="U756:U757 U837:U838">
    <cfRule type="expression" dxfId="56" priority="2387">
      <formula>$A802 = "begin repeat"</formula>
    </cfRule>
    <cfRule type="expression" dxfId="55" priority="2388">
      <formula xml:space="preserve"> $A820 = "end repeat"</formula>
    </cfRule>
    <cfRule type="expression" dxfId="54" priority="2386">
      <formula>AND($U$1="disabled",$U802="yes")</formula>
    </cfRule>
  </conditionalFormatting>
  <conditionalFormatting sqref="U762">
    <cfRule type="expression" dxfId="53" priority="2402">
      <formula>$A807 = "begin repeat"</formula>
    </cfRule>
    <cfRule type="expression" dxfId="52" priority="2403">
      <formula xml:space="preserve"> $A825 = "end repeat"</formula>
    </cfRule>
    <cfRule type="expression" dxfId="51" priority="2401">
      <formula>AND($U$1="disabled",$U807="yes")</formula>
    </cfRule>
  </conditionalFormatting>
  <conditionalFormatting sqref="U763">
    <cfRule type="expression" dxfId="50" priority="2802">
      <formula>AND($U$1="disabled",#REF!="yes")</formula>
    </cfRule>
    <cfRule type="expression" dxfId="49" priority="2803">
      <formula>#REF! = "begin repeat"</formula>
    </cfRule>
    <cfRule type="expression" dxfId="48" priority="2804">
      <formula xml:space="preserve"> $A806 = "end repeat"</formula>
    </cfRule>
  </conditionalFormatting>
  <conditionalFormatting sqref="U764">
    <cfRule type="expression" dxfId="47" priority="2423">
      <formula xml:space="preserve"> $A807 = "end repeat"</formula>
    </cfRule>
    <cfRule type="expression" dxfId="46" priority="2422">
      <formula>$A790 = "begin repeat"</formula>
    </cfRule>
    <cfRule type="expression" dxfId="45" priority="2421">
      <formula>AND($U$1="disabled",$U790="yes")</formula>
    </cfRule>
  </conditionalFormatting>
  <conditionalFormatting sqref="U765:U766">
    <cfRule type="expression" dxfId="44" priority="2412">
      <formula xml:space="preserve"> #REF! = "end repeat"</formula>
    </cfRule>
    <cfRule type="expression" dxfId="43" priority="2410">
      <formula>AND($U$1="disabled",$U791="yes")</formula>
    </cfRule>
    <cfRule type="expression" dxfId="42" priority="2411">
      <formula>$A791 = "begin repeat"</formula>
    </cfRule>
  </conditionalFormatting>
  <conditionalFormatting sqref="U767">
    <cfRule type="expression" dxfId="41" priority="2427">
      <formula>AND($U$1="disabled",#REF!="yes")</formula>
    </cfRule>
    <cfRule type="expression" dxfId="40" priority="2428">
      <formula>#REF! = "begin repeat"</formula>
    </cfRule>
    <cfRule type="expression" dxfId="39" priority="2429">
      <formula xml:space="preserve"> $A806 = "end repeat"</formula>
    </cfRule>
  </conditionalFormatting>
  <conditionalFormatting sqref="U768">
    <cfRule type="expression" dxfId="38" priority="2426">
      <formula xml:space="preserve"> $A807 = "end repeat"</formula>
    </cfRule>
    <cfRule type="expression" dxfId="37" priority="2425">
      <formula>$A790 = "begin repeat"</formula>
    </cfRule>
    <cfRule type="expression" dxfId="36" priority="2424">
      <formula>AND($U$1="disabled",$U790="yes")</formula>
    </cfRule>
  </conditionalFormatting>
  <conditionalFormatting sqref="U772:U773">
    <cfRule type="expression" dxfId="35" priority="2385">
      <formula xml:space="preserve"> $A813 = "end repeat"</formula>
    </cfRule>
    <cfRule type="expression" dxfId="34" priority="2384">
      <formula>$A794 = "begin repeat"</formula>
    </cfRule>
    <cfRule type="expression" dxfId="33" priority="2383">
      <formula>AND($U$1="disabled",$U794="yes")</formula>
    </cfRule>
  </conditionalFormatting>
  <conditionalFormatting sqref="U774 U769:U771">
    <cfRule type="expression" dxfId="32" priority="2475">
      <formula>$A791 = "begin repeat"</formula>
    </cfRule>
    <cfRule type="expression" dxfId="31" priority="2476">
      <formula xml:space="preserve"> #REF! = "end repeat"</formula>
    </cfRule>
    <cfRule type="expression" dxfId="30" priority="2474">
      <formula>AND($U$1="disabled",$U791="yes")</formula>
    </cfRule>
  </conditionalFormatting>
  <conditionalFormatting sqref="U775:U778">
    <cfRule type="expression" dxfId="29" priority="2389">
      <formula>AND($U$1="disabled",$U801="yes")</formula>
    </cfRule>
    <cfRule type="expression" dxfId="28" priority="2390">
      <formula>$A801 = "begin repeat"</formula>
    </cfRule>
    <cfRule type="expression" dxfId="27" priority="2391">
      <formula xml:space="preserve"> $A819 = "end repeat"</formula>
    </cfRule>
  </conditionalFormatting>
  <conditionalFormatting sqref="U779:U785">
    <cfRule type="expression" dxfId="26" priority="2392">
      <formula>AND($U$1="disabled",$U801="yes")</formula>
    </cfRule>
    <cfRule type="expression" dxfId="25" priority="2393">
      <formula>$A801 = "begin repeat"</formula>
    </cfRule>
    <cfRule type="expression" dxfId="24" priority="2394">
      <formula xml:space="preserve"> $A819 = "end repeat"</formula>
    </cfRule>
  </conditionalFormatting>
  <conditionalFormatting sqref="U786">
    <cfRule type="expression" dxfId="23" priority="2396">
      <formula>$A807 = "begin repeat"</formula>
    </cfRule>
    <cfRule type="expression" dxfId="22" priority="2395">
      <formula>AND($U$1="disabled",$U807="yes")</formula>
    </cfRule>
    <cfRule type="expression" dxfId="21" priority="2397">
      <formula xml:space="preserve"> $A825 = "end repeat"</formula>
    </cfRule>
  </conditionalFormatting>
  <conditionalFormatting sqref="U787">
    <cfRule type="expression" dxfId="20" priority="2399">
      <formula>$A807 = "begin repeat"</formula>
    </cfRule>
    <cfRule type="expression" dxfId="19" priority="2400">
      <formula xml:space="preserve"> $A825 = "end repeat"</formula>
    </cfRule>
    <cfRule type="expression" dxfId="18" priority="2398">
      <formula>AND($U$1="disabled",$U807="yes")</formula>
    </cfRule>
  </conditionalFormatting>
  <conditionalFormatting sqref="U801">
    <cfRule type="expression" dxfId="17" priority="2405">
      <formula>#REF! = "begin repeat"</formula>
    </cfRule>
    <cfRule type="expression" dxfId="16" priority="2404">
      <formula>AND($U$1="disabled",#REF!="yes")</formula>
    </cfRule>
    <cfRule type="expression" dxfId="15" priority="2406">
      <formula xml:space="preserve"> $A827 = "end repeat"</formula>
    </cfRule>
  </conditionalFormatting>
  <conditionalFormatting sqref="V137:W143 T137:T143 M168:W169 I168:I169 B184:B191 J184:J193">
    <cfRule type="expression" dxfId="14" priority="8490">
      <formula xml:space="preserve"> $A159 = "end repeat"</formula>
    </cfRule>
    <cfRule type="expression" dxfId="13" priority="8488">
      <formula>AND($U$1="disabled",$U137="yes")</formula>
    </cfRule>
    <cfRule type="expression" dxfId="12" priority="8489">
      <formula>$A137 = "begin repeat"</formula>
    </cfRule>
  </conditionalFormatting>
  <conditionalFormatting sqref="Y27">
    <cfRule type="expression" dxfId="11" priority="29881">
      <formula xml:space="preserve"> $AB$1 = "calculation"</formula>
    </cfRule>
    <cfRule type="expression" dxfId="10" priority="29880">
      <formula xml:space="preserve"> AND(#REF!="gg",$A27 = "end group")</formula>
    </cfRule>
    <cfRule type="expression" dxfId="9" priority="29879">
      <formula xml:space="preserve"> $A27 = "begin group"</formula>
    </cfRule>
    <cfRule type="expression" dxfId="8" priority="29878">
      <formula>AND(#REF! = "section",$A27 = "end group")</formula>
    </cfRule>
    <cfRule type="expression" dxfId="7" priority="29877">
      <formula>AND(#REF!="section",$A27="begin group")</formula>
    </cfRule>
  </conditionalFormatting>
  <conditionalFormatting sqref="AA18:AA19 X18:Y19 AD18:AD19 D18:D20 H18:H20 H22:H23 D22:D23">
    <cfRule type="expression" dxfId="6" priority="28578">
      <formula>AND($N18 = "section",$A18 = "end group")</formula>
    </cfRule>
    <cfRule type="expression" dxfId="5" priority="28579">
      <formula xml:space="preserve"> $A18 = "begin group"</formula>
    </cfRule>
    <cfRule type="expression" dxfId="4" priority="28580">
      <formula xml:space="preserve"> AND($N18="gg",$A18 = "end group")</formula>
    </cfRule>
    <cfRule type="expression" dxfId="3" priority="28577">
      <formula>AND($N18="section",$A18="begin group")</formula>
    </cfRule>
  </conditionalFormatting>
  <conditionalFormatting sqref="AA18:AA19">
    <cfRule type="expression" dxfId="2" priority="28565">
      <formula>$A18 = "begin repeat"</formula>
    </cfRule>
    <cfRule type="expression" dxfId="1" priority="28566">
      <formula xml:space="preserve"> #REF! = "end repeat"</formula>
    </cfRule>
    <cfRule type="expression" dxfId="0" priority="28564">
      <formula>AND($T$1="disabled",$T18="yes")</formula>
    </cfRule>
  </conditionalFormatting>
  <pageMargins left="0.7" right="0.7" top="0.75" bottom="0.75" header="0.3" footer="0.3"/>
  <pageSetup paperSize="9"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77"/>
  <sheetViews>
    <sheetView workbookViewId="0">
      <pane ySplit="1" topLeftCell="A2" activePane="bottomLeft" state="frozen"/>
      <selection activeCell="M10" sqref="M10"/>
      <selection pane="bottomLeft" activeCell="C42" sqref="C42"/>
    </sheetView>
  </sheetViews>
  <sheetFormatPr defaultColWidth="9.140625" defaultRowHeight="15" x14ac:dyDescent="0.25"/>
  <cols>
    <col min="1" max="1" width="12.85546875" style="8" bestFit="1" customWidth="1"/>
    <col min="2" max="2" width="9.5703125" style="8" bestFit="1" customWidth="1"/>
    <col min="3" max="3" width="75.28515625" style="8" bestFit="1" customWidth="1"/>
    <col min="4" max="4" width="9.140625" style="8" customWidth="1"/>
    <col min="5" max="5" width="9.85546875" style="8" bestFit="1" customWidth="1"/>
    <col min="6" max="6" width="22.42578125" style="8" bestFit="1" customWidth="1"/>
    <col min="7" max="7" width="22" style="8" bestFit="1" customWidth="1"/>
    <col min="8" max="8" width="21.85546875" style="8" bestFit="1" customWidth="1"/>
    <col min="9" max="16384" width="9.140625" style="8"/>
  </cols>
  <sheetData>
    <row r="1" spans="1:8" s="9" customFormat="1" ht="14.25" x14ac:dyDescent="0.2">
      <c r="A1" s="9" t="s">
        <v>11</v>
      </c>
      <c r="B1" s="9" t="s">
        <v>1</v>
      </c>
      <c r="C1" s="9" t="s">
        <v>139</v>
      </c>
      <c r="D1" s="9" t="s">
        <v>12</v>
      </c>
      <c r="E1" s="9" t="s">
        <v>13</v>
      </c>
      <c r="F1" s="10" t="s">
        <v>423</v>
      </c>
      <c r="G1" s="10" t="s">
        <v>425</v>
      </c>
      <c r="H1" s="10" t="s">
        <v>424</v>
      </c>
    </row>
    <row r="2" spans="1:8" ht="11.25" customHeight="1" x14ac:dyDescent="0.25">
      <c r="A2" s="8" t="s">
        <v>41</v>
      </c>
      <c r="B2" s="8">
        <v>1</v>
      </c>
      <c r="C2" t="s">
        <v>147</v>
      </c>
    </row>
    <row r="3" spans="1:8" x14ac:dyDescent="0.25">
      <c r="A3" s="8" t="s">
        <v>41</v>
      </c>
      <c r="B3" s="8">
        <v>2</v>
      </c>
      <c r="C3" t="s">
        <v>148</v>
      </c>
    </row>
    <row r="4" spans="1:8" x14ac:dyDescent="0.25">
      <c r="A4" s="8" t="s">
        <v>41</v>
      </c>
      <c r="B4" s="8">
        <v>3</v>
      </c>
      <c r="C4" t="s">
        <v>149</v>
      </c>
    </row>
    <row r="5" spans="1:8" x14ac:dyDescent="0.25">
      <c r="A5" s="8" t="s">
        <v>41</v>
      </c>
      <c r="B5" s="8">
        <v>4</v>
      </c>
      <c r="C5" t="s">
        <v>150</v>
      </c>
    </row>
    <row r="6" spans="1:8" x14ac:dyDescent="0.25">
      <c r="A6" t="s">
        <v>41</v>
      </c>
      <c r="B6">
        <v>5</v>
      </c>
      <c r="C6" t="s">
        <v>151</v>
      </c>
    </row>
    <row r="7" spans="1:8" x14ac:dyDescent="0.25">
      <c r="A7"/>
      <c r="B7"/>
      <c r="C7"/>
    </row>
    <row r="8" spans="1:8" x14ac:dyDescent="0.25">
      <c r="A8" t="s">
        <v>144</v>
      </c>
      <c r="B8">
        <v>1</v>
      </c>
      <c r="C8" t="s">
        <v>145</v>
      </c>
    </row>
    <row r="9" spans="1:8" x14ac:dyDescent="0.25">
      <c r="A9" t="s">
        <v>144</v>
      </c>
      <c r="B9">
        <v>2</v>
      </c>
      <c r="C9" t="s">
        <v>146</v>
      </c>
    </row>
    <row r="10" spans="1:8" x14ac:dyDescent="0.25">
      <c r="A10"/>
      <c r="B10"/>
      <c r="C10"/>
    </row>
    <row r="11" spans="1:8" x14ac:dyDescent="0.25">
      <c r="A11" t="s">
        <v>161</v>
      </c>
      <c r="B11">
        <v>1</v>
      </c>
      <c r="C11" t="s">
        <v>347</v>
      </c>
    </row>
    <row r="12" spans="1:8" x14ac:dyDescent="0.25">
      <c r="A12" t="s">
        <v>161</v>
      </c>
      <c r="B12">
        <v>2</v>
      </c>
      <c r="C12" t="s">
        <v>348</v>
      </c>
    </row>
    <row r="14" spans="1:8" x14ac:dyDescent="0.25">
      <c r="A14" s="8" t="s">
        <v>189</v>
      </c>
      <c r="B14" s="8">
        <v>0</v>
      </c>
      <c r="C14" s="8" t="s">
        <v>1399</v>
      </c>
    </row>
    <row r="15" spans="1:8" x14ac:dyDescent="0.25">
      <c r="A15" s="8" t="s">
        <v>189</v>
      </c>
      <c r="B15" s="8">
        <v>1</v>
      </c>
      <c r="C15" s="8" t="s">
        <v>395</v>
      </c>
    </row>
    <row r="16" spans="1:8" x14ac:dyDescent="0.25">
      <c r="A16" s="8" t="s">
        <v>189</v>
      </c>
      <c r="B16" s="8">
        <v>2</v>
      </c>
      <c r="C16" s="8" t="s">
        <v>396</v>
      </c>
    </row>
    <row r="17" spans="1:3" x14ac:dyDescent="0.25">
      <c r="A17" s="8" t="s">
        <v>189</v>
      </c>
      <c r="B17" s="8">
        <v>3</v>
      </c>
      <c r="C17" s="8" t="s">
        <v>397</v>
      </c>
    </row>
    <row r="18" spans="1:3" x14ac:dyDescent="0.25">
      <c r="A18" s="8" t="s">
        <v>189</v>
      </c>
      <c r="B18" s="8">
        <v>4</v>
      </c>
      <c r="C18" s="8" t="s">
        <v>398</v>
      </c>
    </row>
    <row r="19" spans="1:3" x14ac:dyDescent="0.25">
      <c r="A19" s="8" t="s">
        <v>189</v>
      </c>
      <c r="B19" s="8">
        <v>5</v>
      </c>
      <c r="C19" s="8" t="s">
        <v>399</v>
      </c>
    </row>
    <row r="20" spans="1:3" x14ac:dyDescent="0.25">
      <c r="A20" s="8" t="s">
        <v>189</v>
      </c>
      <c r="B20" s="8">
        <v>6</v>
      </c>
      <c r="C20" s="8" t="s">
        <v>400</v>
      </c>
    </row>
    <row r="21" spans="1:3" x14ac:dyDescent="0.25">
      <c r="A21" s="8" t="s">
        <v>189</v>
      </c>
      <c r="B21" s="8">
        <v>7</v>
      </c>
      <c r="C21" s="8" t="s">
        <v>401</v>
      </c>
    </row>
    <row r="22" spans="1:3" x14ac:dyDescent="0.25">
      <c r="A22" s="8" t="s">
        <v>189</v>
      </c>
      <c r="B22" s="8">
        <v>8</v>
      </c>
      <c r="C22" s="8" t="s">
        <v>402</v>
      </c>
    </row>
    <row r="23" spans="1:3" x14ac:dyDescent="0.25">
      <c r="A23" s="8" t="s">
        <v>189</v>
      </c>
      <c r="B23" s="8">
        <v>9</v>
      </c>
      <c r="C23" s="8" t="s">
        <v>403</v>
      </c>
    </row>
    <row r="24" spans="1:3" x14ac:dyDescent="0.25">
      <c r="A24" s="8" t="s">
        <v>189</v>
      </c>
      <c r="B24" s="8">
        <v>10</v>
      </c>
      <c r="C24" s="8" t="s">
        <v>404</v>
      </c>
    </row>
    <row r="25" spans="1:3" x14ac:dyDescent="0.25">
      <c r="A25" s="8" t="s">
        <v>189</v>
      </c>
      <c r="B25" s="8">
        <v>11</v>
      </c>
      <c r="C25" s="8" t="s">
        <v>405</v>
      </c>
    </row>
    <row r="26" spans="1:3" x14ac:dyDescent="0.25">
      <c r="A26" s="8" t="s">
        <v>189</v>
      </c>
      <c r="B26" s="8">
        <v>12</v>
      </c>
      <c r="C26" s="8" t="s">
        <v>406</v>
      </c>
    </row>
    <row r="27" spans="1:3" x14ac:dyDescent="0.25">
      <c r="A27" s="8" t="s">
        <v>189</v>
      </c>
      <c r="B27" s="8">
        <v>13</v>
      </c>
      <c r="C27" s="8" t="s">
        <v>407</v>
      </c>
    </row>
    <row r="28" spans="1:3" x14ac:dyDescent="0.25">
      <c r="A28" s="8" t="s">
        <v>189</v>
      </c>
      <c r="B28" s="8">
        <v>14</v>
      </c>
      <c r="C28" s="8" t="s">
        <v>408</v>
      </c>
    </row>
    <row r="29" spans="1:3" x14ac:dyDescent="0.25">
      <c r="A29" s="8" t="s">
        <v>189</v>
      </c>
      <c r="B29" s="8">
        <v>15</v>
      </c>
      <c r="C29" s="8" t="s">
        <v>409</v>
      </c>
    </row>
    <row r="30" spans="1:3" x14ac:dyDescent="0.25">
      <c r="A30" s="8" t="s">
        <v>189</v>
      </c>
      <c r="B30" s="8">
        <v>16</v>
      </c>
      <c r="C30" s="8" t="s">
        <v>207</v>
      </c>
    </row>
    <row r="32" spans="1:3" x14ac:dyDescent="0.25">
      <c r="A32" s="8" t="s">
        <v>352</v>
      </c>
      <c r="B32" s="8">
        <v>1</v>
      </c>
      <c r="C32" s="32" t="s">
        <v>440</v>
      </c>
    </row>
    <row r="33" spans="1:3" x14ac:dyDescent="0.25">
      <c r="A33" s="8" t="s">
        <v>352</v>
      </c>
      <c r="B33" s="8">
        <v>2</v>
      </c>
      <c r="C33" s="32" t="s">
        <v>439</v>
      </c>
    </row>
    <row r="34" spans="1:3" x14ac:dyDescent="0.25">
      <c r="A34" s="8" t="s">
        <v>352</v>
      </c>
      <c r="B34" s="8">
        <v>3</v>
      </c>
      <c r="C34" s="32" t="s">
        <v>364</v>
      </c>
    </row>
    <row r="35" spans="1:3" x14ac:dyDescent="0.25">
      <c r="A35" s="8" t="s">
        <v>352</v>
      </c>
      <c r="B35" s="8">
        <v>4</v>
      </c>
      <c r="C35" s="32" t="s">
        <v>365</v>
      </c>
    </row>
    <row r="36" spans="1:3" x14ac:dyDescent="0.25">
      <c r="A36" s="8" t="s">
        <v>352</v>
      </c>
      <c r="B36" s="8">
        <v>5</v>
      </c>
      <c r="C36" s="32" t="s">
        <v>366</v>
      </c>
    </row>
    <row r="37" spans="1:3" x14ac:dyDescent="0.25">
      <c r="A37" s="8" t="s">
        <v>352</v>
      </c>
      <c r="B37" s="8">
        <v>6</v>
      </c>
      <c r="C37" s="32" t="s">
        <v>367</v>
      </c>
    </row>
    <row r="38" spans="1:3" x14ac:dyDescent="0.25">
      <c r="A38" s="8" t="s">
        <v>352</v>
      </c>
      <c r="B38" s="8">
        <v>7</v>
      </c>
      <c r="C38" s="32" t="s">
        <v>368</v>
      </c>
    </row>
    <row r="39" spans="1:3" x14ac:dyDescent="0.25">
      <c r="A39" s="8" t="s">
        <v>352</v>
      </c>
      <c r="B39" s="8">
        <v>8</v>
      </c>
      <c r="C39" s="32" t="s">
        <v>369</v>
      </c>
    </row>
    <row r="40" spans="1:3" x14ac:dyDescent="0.25">
      <c r="A40" s="8" t="s">
        <v>352</v>
      </c>
      <c r="B40" s="8">
        <v>9</v>
      </c>
      <c r="C40" s="32" t="s">
        <v>1119</v>
      </c>
    </row>
    <row r="41" spans="1:3" x14ac:dyDescent="0.25">
      <c r="A41" s="8" t="s">
        <v>352</v>
      </c>
      <c r="B41" s="8">
        <v>10</v>
      </c>
      <c r="C41" s="32" t="s">
        <v>1120</v>
      </c>
    </row>
    <row r="42" spans="1:3" x14ac:dyDescent="0.25">
      <c r="A42" s="8" t="s">
        <v>352</v>
      </c>
      <c r="B42" s="8">
        <v>11</v>
      </c>
      <c r="C42" s="32" t="s">
        <v>1111</v>
      </c>
    </row>
    <row r="43" spans="1:3" x14ac:dyDescent="0.25">
      <c r="A43" s="8" t="s">
        <v>352</v>
      </c>
      <c r="B43" s="8">
        <v>12</v>
      </c>
      <c r="C43" s="32" t="s">
        <v>1112</v>
      </c>
    </row>
    <row r="44" spans="1:3" x14ac:dyDescent="0.25">
      <c r="A44" s="8" t="s">
        <v>352</v>
      </c>
      <c r="B44" s="8">
        <v>13</v>
      </c>
      <c r="C44" s="32" t="s">
        <v>1113</v>
      </c>
    </row>
    <row r="45" spans="1:3" x14ac:dyDescent="0.25">
      <c r="A45" s="8" t="s">
        <v>352</v>
      </c>
      <c r="B45" s="8">
        <v>14</v>
      </c>
      <c r="C45" s="32" t="s">
        <v>1114</v>
      </c>
    </row>
    <row r="46" spans="1:3" x14ac:dyDescent="0.25">
      <c r="C46" s="32"/>
    </row>
    <row r="47" spans="1:3" x14ac:dyDescent="0.25">
      <c r="C47" s="32"/>
    </row>
    <row r="48" spans="1:3" x14ac:dyDescent="0.25">
      <c r="A48" s="8" t="s">
        <v>1149</v>
      </c>
      <c r="B48" s="8">
        <v>1</v>
      </c>
      <c r="C48" s="32" t="s">
        <v>259</v>
      </c>
    </row>
    <row r="49" spans="1:8" x14ac:dyDescent="0.25">
      <c r="A49" s="8" t="s">
        <v>1149</v>
      </c>
      <c r="B49" s="8">
        <v>2</v>
      </c>
      <c r="C49" s="32" t="s">
        <v>260</v>
      </c>
    </row>
    <row r="50" spans="1:8" x14ac:dyDescent="0.25">
      <c r="A50" s="8" t="s">
        <v>1149</v>
      </c>
      <c r="B50" s="8">
        <v>3</v>
      </c>
      <c r="C50" s="32" t="s">
        <v>1147</v>
      </c>
    </row>
    <row r="51" spans="1:8" x14ac:dyDescent="0.25">
      <c r="A51" s="8" t="s">
        <v>1149</v>
      </c>
      <c r="B51" s="8">
        <v>4</v>
      </c>
      <c r="C51" s="32" t="s">
        <v>1148</v>
      </c>
    </row>
    <row r="52" spans="1:8" x14ac:dyDescent="0.25">
      <c r="A52" s="8" t="s">
        <v>1149</v>
      </c>
      <c r="B52" s="8">
        <v>5</v>
      </c>
      <c r="C52" s="32" t="s">
        <v>1651</v>
      </c>
    </row>
    <row r="53" spans="1:8" x14ac:dyDescent="0.25">
      <c r="A53" s="8" t="s">
        <v>1149</v>
      </c>
      <c r="B53" s="8">
        <v>6</v>
      </c>
      <c r="C53" s="32" t="s">
        <v>1654</v>
      </c>
    </row>
    <row r="54" spans="1:8" x14ac:dyDescent="0.25">
      <c r="A54" s="8" t="s">
        <v>1149</v>
      </c>
      <c r="B54" s="8">
        <v>7</v>
      </c>
      <c r="C54" s="32" t="s">
        <v>1655</v>
      </c>
    </row>
    <row r="55" spans="1:8" x14ac:dyDescent="0.25">
      <c r="A55" s="8" t="s">
        <v>1149</v>
      </c>
      <c r="B55" s="8">
        <v>8</v>
      </c>
      <c r="C55" s="32" t="s">
        <v>1657</v>
      </c>
    </row>
    <row r="56" spans="1:8" x14ac:dyDescent="0.25">
      <c r="A56" s="8" t="s">
        <v>1149</v>
      </c>
      <c r="B56" s="8">
        <v>9</v>
      </c>
      <c r="C56" s="32" t="s">
        <v>1656</v>
      </c>
    </row>
    <row r="57" spans="1:8" x14ac:dyDescent="0.25">
      <c r="C57" s="32"/>
    </row>
    <row r="58" spans="1:8" x14ac:dyDescent="0.25">
      <c r="A58" s="8" t="s">
        <v>951</v>
      </c>
      <c r="B58" s="8">
        <v>1</v>
      </c>
      <c r="C58" t="s">
        <v>1287</v>
      </c>
      <c r="H58" s="8" t="s">
        <v>1287</v>
      </c>
    </row>
    <row r="59" spans="1:8" x14ac:dyDescent="0.25">
      <c r="A59" s="8" t="s">
        <v>951</v>
      </c>
      <c r="B59" s="8">
        <v>2</v>
      </c>
      <c r="C59" t="s">
        <v>1288</v>
      </c>
      <c r="H59" s="8" t="s">
        <v>1288</v>
      </c>
    </row>
    <row r="60" spans="1:8" x14ac:dyDescent="0.25">
      <c r="A60" s="8" t="s">
        <v>951</v>
      </c>
      <c r="B60" s="8">
        <v>3</v>
      </c>
      <c r="C60" t="s">
        <v>1289</v>
      </c>
      <c r="H60" s="8" t="s">
        <v>1289</v>
      </c>
    </row>
    <row r="61" spans="1:8" x14ac:dyDescent="0.25">
      <c r="A61" s="8" t="s">
        <v>951</v>
      </c>
      <c r="B61" s="8">
        <v>4</v>
      </c>
      <c r="C61" t="s">
        <v>1290</v>
      </c>
      <c r="H61" s="8" t="s">
        <v>1290</v>
      </c>
    </row>
    <row r="62" spans="1:8" x14ac:dyDescent="0.25">
      <c r="C62" s="32"/>
    </row>
    <row r="63" spans="1:8" x14ac:dyDescent="0.25">
      <c r="A63" s="8" t="s">
        <v>952</v>
      </c>
      <c r="B63" s="8">
        <v>1</v>
      </c>
      <c r="C63" s="8" t="s">
        <v>1295</v>
      </c>
      <c r="G63" s="8" t="s">
        <v>1295</v>
      </c>
    </row>
    <row r="64" spans="1:8" x14ac:dyDescent="0.25">
      <c r="A64" s="8" t="s">
        <v>952</v>
      </c>
      <c r="B64" s="8">
        <v>2</v>
      </c>
      <c r="C64" s="8" t="s">
        <v>1296</v>
      </c>
      <c r="G64" s="8" t="s">
        <v>1296</v>
      </c>
    </row>
    <row r="65" spans="1:1024" x14ac:dyDescent="0.25">
      <c r="A65" s="8" t="s">
        <v>952</v>
      </c>
      <c r="B65" s="8">
        <v>3</v>
      </c>
      <c r="C65" s="8" t="s">
        <v>1297</v>
      </c>
      <c r="G65" s="8" t="s">
        <v>1297</v>
      </c>
    </row>
    <row r="66" spans="1:1024" x14ac:dyDescent="0.25">
      <c r="A66" s="8" t="s">
        <v>952</v>
      </c>
      <c r="B66" s="8">
        <v>4</v>
      </c>
      <c r="C66" s="8" t="s">
        <v>1298</v>
      </c>
      <c r="G66" s="8" t="s">
        <v>1298</v>
      </c>
    </row>
    <row r="68" spans="1:1024" x14ac:dyDescent="0.25">
      <c r="A68" s="8" t="s">
        <v>953</v>
      </c>
      <c r="B68" s="8">
        <v>1</v>
      </c>
      <c r="C68" s="8" t="s">
        <v>1299</v>
      </c>
      <c r="F68" s="8" t="s">
        <v>1299</v>
      </c>
    </row>
    <row r="69" spans="1:1024" x14ac:dyDescent="0.25">
      <c r="A69" s="8" t="s">
        <v>953</v>
      </c>
      <c r="B69" s="8">
        <v>2</v>
      </c>
      <c r="C69" s="8" t="s">
        <v>1300</v>
      </c>
      <c r="F69" s="8" t="s">
        <v>1300</v>
      </c>
    </row>
    <row r="70" spans="1:1024" x14ac:dyDescent="0.25">
      <c r="A70" s="8" t="s">
        <v>953</v>
      </c>
      <c r="B70" s="8">
        <v>3</v>
      </c>
      <c r="C70" s="8" t="s">
        <v>1301</v>
      </c>
      <c r="F70" s="8" t="s">
        <v>1301</v>
      </c>
    </row>
    <row r="71" spans="1:1024" x14ac:dyDescent="0.25">
      <c r="A71" s="8" t="s">
        <v>953</v>
      </c>
      <c r="B71" s="8">
        <v>4</v>
      </c>
      <c r="C71" s="8" t="s">
        <v>1302</v>
      </c>
      <c r="F71" s="8" t="s">
        <v>1302</v>
      </c>
    </row>
    <row r="74" spans="1:1024" s="46" customFormat="1" ht="15.75" x14ac:dyDescent="0.25">
      <c r="A74" s="11" t="s">
        <v>1733</v>
      </c>
      <c r="B74" s="11" t="s">
        <v>1734</v>
      </c>
      <c r="C74" s="44" t="s">
        <v>1735</v>
      </c>
      <c r="D74" s="45"/>
      <c r="E74" s="45"/>
    </row>
    <row r="76" spans="1:1024" customFormat="1" x14ac:dyDescent="0.25">
      <c r="A76" s="47" t="s">
        <v>1737</v>
      </c>
      <c r="B76" s="48" t="s">
        <v>1738</v>
      </c>
      <c r="C76" s="48" t="s">
        <v>1739</v>
      </c>
      <c r="D76" s="48"/>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EI76" s="47"/>
      <c r="EJ76" s="47"/>
      <c r="EK76" s="47"/>
      <c r="EL76" s="47"/>
      <c r="EM76" s="47"/>
      <c r="EN76" s="47"/>
      <c r="EO76" s="47"/>
      <c r="EP76" s="47"/>
      <c r="EQ76" s="47"/>
      <c r="ER76" s="47"/>
      <c r="ES76" s="47"/>
      <c r="ET76" s="47"/>
      <c r="EU76" s="47"/>
      <c r="EV76" s="47"/>
      <c r="EW76" s="47"/>
      <c r="EX76" s="47"/>
      <c r="EY76" s="47"/>
      <c r="EZ76" s="47"/>
      <c r="FA76" s="47"/>
      <c r="FB76" s="47"/>
      <c r="FC76" s="47"/>
      <c r="FD76" s="47"/>
      <c r="FE76" s="47"/>
      <c r="FF76" s="47"/>
      <c r="FG76" s="47"/>
      <c r="FH76" s="47"/>
      <c r="FI76" s="47"/>
      <c r="FJ76" s="47"/>
      <c r="FK76" s="47"/>
      <c r="FL76" s="47"/>
      <c r="FM76" s="47"/>
      <c r="FN76" s="47"/>
      <c r="FO76" s="47"/>
      <c r="FP76" s="47"/>
      <c r="FQ76" s="47"/>
      <c r="FR76" s="47"/>
      <c r="FS76" s="47"/>
      <c r="FT76" s="47"/>
      <c r="FU76" s="47"/>
      <c r="FV76" s="47"/>
      <c r="FW76" s="47"/>
      <c r="FX76" s="47"/>
      <c r="FY76" s="47"/>
      <c r="FZ76" s="47"/>
      <c r="GA76" s="47"/>
      <c r="GB76" s="47"/>
      <c r="GC76" s="47"/>
      <c r="GD76" s="47"/>
      <c r="GE76" s="47"/>
      <c r="GF76" s="47"/>
      <c r="GG76" s="47"/>
      <c r="GH76" s="47"/>
      <c r="GI76" s="47"/>
      <c r="GJ76" s="47"/>
      <c r="GK76" s="47"/>
      <c r="GL76" s="47"/>
      <c r="GM76" s="47"/>
      <c r="GN76" s="47"/>
      <c r="GO76" s="47"/>
      <c r="GP76" s="47"/>
      <c r="GQ76" s="47"/>
      <c r="GR76" s="47"/>
      <c r="GS76" s="47"/>
      <c r="GT76" s="47"/>
      <c r="GU76" s="47"/>
      <c r="GV76" s="47"/>
      <c r="GW76" s="47"/>
      <c r="GX76" s="47"/>
      <c r="GY76" s="47"/>
      <c r="GZ76" s="47"/>
      <c r="HA76" s="47"/>
      <c r="HB76" s="47"/>
      <c r="HC76" s="47"/>
      <c r="HD76" s="47"/>
      <c r="HE76" s="47"/>
      <c r="HF76" s="47"/>
      <c r="HG76" s="47"/>
      <c r="HH76" s="47"/>
      <c r="HI76" s="47"/>
      <c r="HJ76" s="47"/>
      <c r="HK76" s="47"/>
      <c r="HL76" s="47"/>
      <c r="HM76" s="47"/>
      <c r="HN76" s="47"/>
      <c r="HO76" s="47"/>
      <c r="HP76" s="47"/>
      <c r="HQ76" s="47"/>
      <c r="HR76" s="47"/>
      <c r="HS76" s="47"/>
      <c r="HT76" s="47"/>
      <c r="HU76" s="47"/>
      <c r="HV76" s="47"/>
      <c r="HW76" s="47"/>
      <c r="HX76" s="47"/>
      <c r="HY76" s="47"/>
      <c r="HZ76" s="47"/>
      <c r="IA76" s="47"/>
      <c r="IB76" s="47"/>
      <c r="IC76" s="47"/>
      <c r="ID76" s="47"/>
      <c r="IE76" s="47"/>
      <c r="IF76" s="47"/>
      <c r="IG76" s="47"/>
      <c r="IH76" s="47"/>
      <c r="II76" s="47"/>
      <c r="IJ76" s="47"/>
      <c r="IK76" s="47"/>
      <c r="IL76" s="47"/>
      <c r="IM76" s="47"/>
      <c r="IN76" s="47"/>
      <c r="IO76" s="47"/>
      <c r="IP76" s="47"/>
      <c r="IQ76" s="47"/>
      <c r="IR76" s="47"/>
      <c r="IS76" s="47"/>
      <c r="IT76" s="47"/>
      <c r="IU76" s="47"/>
      <c r="IV76" s="47"/>
      <c r="IW76" s="47"/>
      <c r="IX76" s="47"/>
      <c r="IY76" s="47"/>
      <c r="IZ76" s="47"/>
      <c r="JA76" s="47"/>
      <c r="JB76" s="47"/>
      <c r="JC76" s="47"/>
      <c r="JD76" s="47"/>
      <c r="JE76" s="47"/>
      <c r="JF76" s="47"/>
      <c r="JG76" s="47"/>
      <c r="JH76" s="47"/>
      <c r="JI76" s="47"/>
      <c r="JJ76" s="47"/>
      <c r="JK76" s="47"/>
      <c r="JL76" s="47"/>
      <c r="JM76" s="47"/>
      <c r="JN76" s="47"/>
      <c r="JO76" s="47"/>
      <c r="JP76" s="47"/>
      <c r="JQ76" s="47"/>
      <c r="JR76" s="47"/>
      <c r="JS76" s="47"/>
      <c r="JT76" s="47"/>
      <c r="JU76" s="47"/>
      <c r="JV76" s="47"/>
      <c r="JW76" s="47"/>
      <c r="JX76" s="47"/>
      <c r="JY76" s="47"/>
      <c r="JZ76" s="47"/>
      <c r="KA76" s="47"/>
      <c r="KB76" s="47"/>
      <c r="KC76" s="47"/>
      <c r="KD76" s="47"/>
      <c r="KE76" s="47"/>
      <c r="KF76" s="47"/>
      <c r="KG76" s="47"/>
      <c r="KH76" s="47"/>
      <c r="KI76" s="47"/>
      <c r="KJ76" s="47"/>
      <c r="KK76" s="47"/>
      <c r="KL76" s="47"/>
      <c r="KM76" s="47"/>
      <c r="KN76" s="47"/>
      <c r="KO76" s="47"/>
      <c r="KP76" s="47"/>
      <c r="KQ76" s="47"/>
      <c r="KR76" s="47"/>
      <c r="KS76" s="47"/>
      <c r="KT76" s="47"/>
      <c r="KU76" s="47"/>
      <c r="KV76" s="47"/>
      <c r="KW76" s="47"/>
      <c r="KX76" s="47"/>
      <c r="KY76" s="47"/>
      <c r="KZ76" s="47"/>
      <c r="LA76" s="47"/>
      <c r="LB76" s="47"/>
      <c r="LC76" s="47"/>
      <c r="LD76" s="47"/>
      <c r="LE76" s="47"/>
      <c r="LF76" s="47"/>
      <c r="LG76" s="47"/>
      <c r="LH76" s="47"/>
      <c r="LI76" s="47"/>
      <c r="LJ76" s="47"/>
      <c r="LK76" s="47"/>
      <c r="LL76" s="47"/>
      <c r="LM76" s="47"/>
      <c r="LN76" s="47"/>
      <c r="LO76" s="47"/>
      <c r="LP76" s="47"/>
      <c r="LQ76" s="47"/>
      <c r="LR76" s="47"/>
      <c r="LS76" s="47"/>
      <c r="LT76" s="47"/>
      <c r="LU76" s="47"/>
      <c r="LV76" s="47"/>
      <c r="LW76" s="47"/>
      <c r="LX76" s="47"/>
      <c r="LY76" s="47"/>
      <c r="LZ76" s="47"/>
      <c r="MA76" s="47"/>
      <c r="MB76" s="47"/>
      <c r="MC76" s="47"/>
      <c r="MD76" s="47"/>
      <c r="ME76" s="47"/>
      <c r="MF76" s="47"/>
      <c r="MG76" s="47"/>
      <c r="MH76" s="47"/>
      <c r="MI76" s="47"/>
      <c r="MJ76" s="47"/>
      <c r="MK76" s="47"/>
      <c r="ML76" s="47"/>
      <c r="MM76" s="47"/>
      <c r="MN76" s="47"/>
      <c r="MO76" s="47"/>
      <c r="MP76" s="47"/>
      <c r="MQ76" s="47"/>
      <c r="MR76" s="47"/>
      <c r="MS76" s="47"/>
      <c r="MT76" s="47"/>
      <c r="MU76" s="47"/>
      <c r="MV76" s="47"/>
      <c r="MW76" s="47"/>
      <c r="MX76" s="47"/>
      <c r="MY76" s="47"/>
      <c r="MZ76" s="47"/>
      <c r="NA76" s="47"/>
      <c r="NB76" s="47"/>
      <c r="NC76" s="47"/>
      <c r="ND76" s="47"/>
      <c r="NE76" s="47"/>
      <c r="NF76" s="47"/>
      <c r="NG76" s="47"/>
      <c r="NH76" s="47"/>
      <c r="NI76" s="47"/>
      <c r="NJ76" s="47"/>
      <c r="NK76" s="47"/>
      <c r="NL76" s="47"/>
      <c r="NM76" s="47"/>
      <c r="NN76" s="47"/>
      <c r="NO76" s="47"/>
      <c r="NP76" s="47"/>
      <c r="NQ76" s="47"/>
      <c r="NR76" s="47"/>
      <c r="NS76" s="47"/>
      <c r="NT76" s="47"/>
      <c r="NU76" s="47"/>
      <c r="NV76" s="47"/>
      <c r="NW76" s="47"/>
      <c r="NX76" s="47"/>
      <c r="NY76" s="47"/>
      <c r="NZ76" s="47"/>
      <c r="OA76" s="47"/>
      <c r="OB76" s="47"/>
      <c r="OC76" s="47"/>
      <c r="OD76" s="47"/>
      <c r="OE76" s="47"/>
      <c r="OF76" s="47"/>
      <c r="OG76" s="47"/>
      <c r="OH76" s="47"/>
      <c r="OI76" s="47"/>
      <c r="OJ76" s="47"/>
      <c r="OK76" s="47"/>
      <c r="OL76" s="47"/>
      <c r="OM76" s="47"/>
      <c r="ON76" s="47"/>
      <c r="OO76" s="47"/>
      <c r="OP76" s="47"/>
      <c r="OQ76" s="47"/>
      <c r="OR76" s="47"/>
      <c r="OS76" s="47"/>
      <c r="OT76" s="47"/>
      <c r="OU76" s="47"/>
      <c r="OV76" s="47"/>
      <c r="OW76" s="47"/>
      <c r="OX76" s="47"/>
      <c r="OY76" s="47"/>
      <c r="OZ76" s="47"/>
      <c r="PA76" s="47"/>
      <c r="PB76" s="47"/>
      <c r="PC76" s="47"/>
      <c r="PD76" s="47"/>
      <c r="PE76" s="47"/>
      <c r="PF76" s="47"/>
      <c r="PG76" s="47"/>
      <c r="PH76" s="47"/>
      <c r="PI76" s="47"/>
      <c r="PJ76" s="47"/>
      <c r="PK76" s="47"/>
      <c r="PL76" s="47"/>
      <c r="PM76" s="47"/>
      <c r="PN76" s="47"/>
      <c r="PO76" s="47"/>
      <c r="PP76" s="47"/>
      <c r="PQ76" s="47"/>
      <c r="PR76" s="47"/>
      <c r="PS76" s="47"/>
      <c r="PT76" s="47"/>
      <c r="PU76" s="47"/>
      <c r="PV76" s="47"/>
      <c r="PW76" s="47"/>
      <c r="PX76" s="47"/>
      <c r="PY76" s="47"/>
      <c r="PZ76" s="47"/>
      <c r="QA76" s="47"/>
      <c r="QB76" s="47"/>
      <c r="QC76" s="47"/>
      <c r="QD76" s="47"/>
      <c r="QE76" s="47"/>
      <c r="QF76" s="47"/>
      <c r="QG76" s="47"/>
      <c r="QH76" s="47"/>
      <c r="QI76" s="47"/>
      <c r="QJ76" s="47"/>
      <c r="QK76" s="47"/>
      <c r="QL76" s="47"/>
      <c r="QM76" s="47"/>
      <c r="QN76" s="47"/>
      <c r="QO76" s="47"/>
      <c r="QP76" s="47"/>
      <c r="QQ76" s="47"/>
      <c r="QR76" s="47"/>
      <c r="QS76" s="47"/>
      <c r="QT76" s="47"/>
      <c r="QU76" s="47"/>
      <c r="QV76" s="47"/>
      <c r="QW76" s="47"/>
      <c r="QX76" s="47"/>
      <c r="QY76" s="47"/>
      <c r="QZ76" s="47"/>
      <c r="RA76" s="47"/>
      <c r="RB76" s="47"/>
      <c r="RC76" s="47"/>
      <c r="RD76" s="47"/>
      <c r="RE76" s="47"/>
      <c r="RF76" s="47"/>
      <c r="RG76" s="47"/>
      <c r="RH76" s="47"/>
      <c r="RI76" s="47"/>
      <c r="RJ76" s="47"/>
      <c r="RK76" s="47"/>
      <c r="RL76" s="47"/>
      <c r="RM76" s="47"/>
      <c r="RN76" s="47"/>
      <c r="RO76" s="47"/>
      <c r="RP76" s="47"/>
      <c r="RQ76" s="47"/>
      <c r="RR76" s="47"/>
      <c r="RS76" s="47"/>
      <c r="RT76" s="47"/>
      <c r="RU76" s="47"/>
      <c r="RV76" s="47"/>
      <c r="RW76" s="47"/>
      <c r="RX76" s="47"/>
      <c r="RY76" s="47"/>
      <c r="RZ76" s="47"/>
      <c r="SA76" s="47"/>
      <c r="SB76" s="47"/>
      <c r="SC76" s="47"/>
      <c r="SD76" s="47"/>
      <c r="SE76" s="47"/>
      <c r="SF76" s="47"/>
      <c r="SG76" s="47"/>
      <c r="SH76" s="47"/>
      <c r="SI76" s="47"/>
      <c r="SJ76" s="47"/>
      <c r="SK76" s="47"/>
      <c r="SL76" s="47"/>
      <c r="SM76" s="47"/>
      <c r="SN76" s="47"/>
      <c r="SO76" s="47"/>
      <c r="SP76" s="47"/>
      <c r="SQ76" s="47"/>
      <c r="SR76" s="47"/>
      <c r="SS76" s="47"/>
      <c r="ST76" s="47"/>
      <c r="SU76" s="47"/>
      <c r="SV76" s="47"/>
      <c r="SW76" s="47"/>
      <c r="SX76" s="47"/>
      <c r="SY76" s="47"/>
      <c r="SZ76" s="47"/>
      <c r="TA76" s="47"/>
      <c r="TB76" s="47"/>
      <c r="TC76" s="47"/>
      <c r="TD76" s="47"/>
      <c r="TE76" s="47"/>
      <c r="TF76" s="47"/>
      <c r="TG76" s="47"/>
      <c r="TH76" s="47"/>
      <c r="TI76" s="47"/>
      <c r="TJ76" s="47"/>
      <c r="TK76" s="47"/>
      <c r="TL76" s="47"/>
      <c r="TM76" s="47"/>
      <c r="TN76" s="47"/>
      <c r="TO76" s="47"/>
      <c r="TP76" s="47"/>
      <c r="TQ76" s="47"/>
      <c r="TR76" s="47"/>
      <c r="TS76" s="47"/>
      <c r="TT76" s="47"/>
      <c r="TU76" s="47"/>
      <c r="TV76" s="47"/>
      <c r="TW76" s="47"/>
      <c r="TX76" s="47"/>
      <c r="TY76" s="47"/>
      <c r="TZ76" s="47"/>
      <c r="UA76" s="47"/>
      <c r="UB76" s="47"/>
      <c r="UC76" s="47"/>
      <c r="UD76" s="47"/>
      <c r="UE76" s="47"/>
      <c r="UF76" s="47"/>
      <c r="UG76" s="47"/>
      <c r="UH76" s="47"/>
      <c r="UI76" s="47"/>
      <c r="UJ76" s="47"/>
      <c r="UK76" s="47"/>
      <c r="UL76" s="47"/>
      <c r="UM76" s="47"/>
      <c r="UN76" s="47"/>
      <c r="UO76" s="47"/>
      <c r="UP76" s="47"/>
      <c r="UQ76" s="47"/>
      <c r="UR76" s="47"/>
      <c r="US76" s="47"/>
      <c r="UT76" s="47"/>
      <c r="UU76" s="47"/>
      <c r="UV76" s="47"/>
      <c r="UW76" s="47"/>
      <c r="UX76" s="47"/>
      <c r="UY76" s="47"/>
      <c r="UZ76" s="47"/>
      <c r="VA76" s="47"/>
      <c r="VB76" s="47"/>
      <c r="VC76" s="47"/>
      <c r="VD76" s="47"/>
      <c r="VE76" s="47"/>
      <c r="VF76" s="47"/>
      <c r="VG76" s="47"/>
      <c r="VH76" s="47"/>
      <c r="VI76" s="47"/>
      <c r="VJ76" s="47"/>
      <c r="VK76" s="47"/>
      <c r="VL76" s="47"/>
      <c r="VM76" s="47"/>
      <c r="VN76" s="47"/>
      <c r="VO76" s="47"/>
      <c r="VP76" s="47"/>
      <c r="VQ76" s="47"/>
      <c r="VR76" s="47"/>
      <c r="VS76" s="47"/>
      <c r="VT76" s="47"/>
      <c r="VU76" s="47"/>
      <c r="VV76" s="47"/>
      <c r="VW76" s="47"/>
      <c r="VX76" s="47"/>
      <c r="VY76" s="47"/>
      <c r="VZ76" s="47"/>
      <c r="WA76" s="47"/>
      <c r="WB76" s="47"/>
      <c r="WC76" s="47"/>
      <c r="WD76" s="47"/>
      <c r="WE76" s="47"/>
      <c r="WF76" s="47"/>
      <c r="WG76" s="47"/>
      <c r="WH76" s="47"/>
      <c r="WI76" s="47"/>
      <c r="WJ76" s="47"/>
      <c r="WK76" s="47"/>
      <c r="WL76" s="47"/>
      <c r="WM76" s="47"/>
      <c r="WN76" s="47"/>
      <c r="WO76" s="47"/>
      <c r="WP76" s="47"/>
      <c r="WQ76" s="47"/>
      <c r="WR76" s="47"/>
      <c r="WS76" s="47"/>
      <c r="WT76" s="47"/>
      <c r="WU76" s="47"/>
      <c r="WV76" s="47"/>
      <c r="WW76" s="47"/>
      <c r="WX76" s="47"/>
      <c r="WY76" s="47"/>
      <c r="WZ76" s="47"/>
      <c r="XA76" s="47"/>
      <c r="XB76" s="47"/>
      <c r="XC76" s="47"/>
      <c r="XD76" s="47"/>
      <c r="XE76" s="47"/>
      <c r="XF76" s="47"/>
      <c r="XG76" s="47"/>
      <c r="XH76" s="47"/>
      <c r="XI76" s="47"/>
      <c r="XJ76" s="47"/>
      <c r="XK76" s="47"/>
      <c r="XL76" s="47"/>
      <c r="XM76" s="47"/>
      <c r="XN76" s="47"/>
      <c r="XO76" s="47"/>
      <c r="XP76" s="47"/>
      <c r="XQ76" s="47"/>
      <c r="XR76" s="47"/>
      <c r="XS76" s="47"/>
      <c r="XT76" s="47"/>
      <c r="XU76" s="47"/>
      <c r="XV76" s="47"/>
      <c r="XW76" s="47"/>
      <c r="XX76" s="47"/>
      <c r="XY76" s="47"/>
      <c r="XZ76" s="47"/>
      <c r="YA76" s="47"/>
      <c r="YB76" s="47"/>
      <c r="YC76" s="47"/>
      <c r="YD76" s="47"/>
      <c r="YE76" s="47"/>
      <c r="YF76" s="47"/>
      <c r="YG76" s="47"/>
      <c r="YH76" s="47"/>
      <c r="YI76" s="47"/>
      <c r="YJ76" s="47"/>
      <c r="YK76" s="47"/>
      <c r="YL76" s="47"/>
      <c r="YM76" s="47"/>
      <c r="YN76" s="47"/>
      <c r="YO76" s="47"/>
      <c r="YP76" s="47"/>
      <c r="YQ76" s="47"/>
      <c r="YR76" s="47"/>
      <c r="YS76" s="47"/>
      <c r="YT76" s="47"/>
      <c r="YU76" s="47"/>
      <c r="YV76" s="47"/>
      <c r="YW76" s="47"/>
      <c r="YX76" s="47"/>
      <c r="YY76" s="47"/>
      <c r="YZ76" s="47"/>
      <c r="ZA76" s="47"/>
      <c r="ZB76" s="47"/>
      <c r="ZC76" s="47"/>
      <c r="ZD76" s="47"/>
      <c r="ZE76" s="47"/>
      <c r="ZF76" s="47"/>
      <c r="ZG76" s="47"/>
      <c r="ZH76" s="47"/>
      <c r="ZI76" s="47"/>
      <c r="ZJ76" s="47"/>
      <c r="ZK76" s="47"/>
      <c r="ZL76" s="47"/>
      <c r="ZM76" s="47"/>
      <c r="ZN76" s="47"/>
      <c r="ZO76" s="47"/>
      <c r="ZP76" s="47"/>
      <c r="ZQ76" s="47"/>
      <c r="ZR76" s="47"/>
      <c r="ZS76" s="47"/>
      <c r="ZT76" s="47"/>
      <c r="ZU76" s="47"/>
      <c r="ZV76" s="47"/>
      <c r="ZW76" s="47"/>
      <c r="ZX76" s="47"/>
      <c r="ZY76" s="47"/>
      <c r="ZZ76" s="47"/>
      <c r="AAA76" s="47"/>
      <c r="AAB76" s="47"/>
      <c r="AAC76" s="47"/>
      <c r="AAD76" s="47"/>
      <c r="AAE76" s="47"/>
      <c r="AAF76" s="47"/>
      <c r="AAG76" s="47"/>
      <c r="AAH76" s="47"/>
      <c r="AAI76" s="47"/>
      <c r="AAJ76" s="47"/>
      <c r="AAK76" s="47"/>
      <c r="AAL76" s="47"/>
      <c r="AAM76" s="47"/>
      <c r="AAN76" s="47"/>
      <c r="AAO76" s="47"/>
      <c r="AAP76" s="47"/>
      <c r="AAQ76" s="47"/>
      <c r="AAR76" s="47"/>
      <c r="AAS76" s="47"/>
      <c r="AAT76" s="47"/>
      <c r="AAU76" s="47"/>
      <c r="AAV76" s="47"/>
      <c r="AAW76" s="47"/>
      <c r="AAX76" s="47"/>
      <c r="AAY76" s="47"/>
      <c r="AAZ76" s="47"/>
      <c r="ABA76" s="47"/>
      <c r="ABB76" s="47"/>
      <c r="ABC76" s="47"/>
      <c r="ABD76" s="47"/>
      <c r="ABE76" s="47"/>
      <c r="ABF76" s="47"/>
      <c r="ABG76" s="47"/>
      <c r="ABH76" s="47"/>
      <c r="ABI76" s="47"/>
      <c r="ABJ76" s="47"/>
      <c r="ABK76" s="47"/>
      <c r="ABL76" s="47"/>
      <c r="ABM76" s="47"/>
      <c r="ABN76" s="47"/>
      <c r="ABO76" s="47"/>
      <c r="ABP76" s="47"/>
      <c r="ABQ76" s="47"/>
      <c r="ABR76" s="47"/>
      <c r="ABS76" s="47"/>
      <c r="ABT76" s="47"/>
      <c r="ABU76" s="47"/>
      <c r="ABV76" s="47"/>
      <c r="ABW76" s="47"/>
      <c r="ABX76" s="47"/>
      <c r="ABY76" s="47"/>
      <c r="ABZ76" s="47"/>
      <c r="ACA76" s="47"/>
      <c r="ACB76" s="47"/>
      <c r="ACC76" s="47"/>
      <c r="ACD76" s="47"/>
      <c r="ACE76" s="47"/>
      <c r="ACF76" s="47"/>
      <c r="ACG76" s="47"/>
      <c r="ACH76" s="47"/>
      <c r="ACI76" s="47"/>
      <c r="ACJ76" s="47"/>
      <c r="ACK76" s="47"/>
      <c r="ACL76" s="47"/>
      <c r="ACM76" s="47"/>
      <c r="ACN76" s="47"/>
      <c r="ACO76" s="47"/>
      <c r="ACP76" s="47"/>
      <c r="ACQ76" s="47"/>
      <c r="ACR76" s="47"/>
      <c r="ACS76" s="47"/>
      <c r="ACT76" s="47"/>
      <c r="ACU76" s="47"/>
      <c r="ACV76" s="47"/>
      <c r="ACW76" s="47"/>
      <c r="ACX76" s="47"/>
      <c r="ACY76" s="47"/>
      <c r="ACZ76" s="47"/>
      <c r="ADA76" s="47"/>
      <c r="ADB76" s="47"/>
      <c r="ADC76" s="47"/>
      <c r="ADD76" s="47"/>
      <c r="ADE76" s="47"/>
      <c r="ADF76" s="47"/>
      <c r="ADG76" s="47"/>
      <c r="ADH76" s="47"/>
      <c r="ADI76" s="47"/>
      <c r="ADJ76" s="47"/>
      <c r="ADK76" s="47"/>
      <c r="ADL76" s="47"/>
      <c r="ADM76" s="47"/>
      <c r="ADN76" s="47"/>
      <c r="ADO76" s="47"/>
      <c r="ADP76" s="47"/>
      <c r="ADQ76" s="47"/>
      <c r="ADR76" s="47"/>
      <c r="ADS76" s="47"/>
      <c r="ADT76" s="47"/>
      <c r="ADU76" s="47"/>
      <c r="ADV76" s="47"/>
      <c r="ADW76" s="47"/>
      <c r="ADX76" s="47"/>
      <c r="ADY76" s="47"/>
      <c r="ADZ76" s="47"/>
      <c r="AEA76" s="47"/>
      <c r="AEB76" s="47"/>
      <c r="AEC76" s="47"/>
      <c r="AED76" s="47"/>
      <c r="AEE76" s="47"/>
      <c r="AEF76" s="47"/>
      <c r="AEG76" s="47"/>
      <c r="AEH76" s="47"/>
      <c r="AEI76" s="47"/>
      <c r="AEJ76" s="47"/>
      <c r="AEK76" s="47"/>
      <c r="AEL76" s="47"/>
      <c r="AEM76" s="47"/>
      <c r="AEN76" s="47"/>
      <c r="AEO76" s="47"/>
      <c r="AEP76" s="47"/>
      <c r="AEQ76" s="47"/>
      <c r="AER76" s="47"/>
      <c r="AES76" s="47"/>
      <c r="AET76" s="47"/>
      <c r="AEU76" s="47"/>
      <c r="AEV76" s="47"/>
      <c r="AEW76" s="47"/>
      <c r="AEX76" s="47"/>
      <c r="AEY76" s="47"/>
      <c r="AEZ76" s="47"/>
      <c r="AFA76" s="47"/>
      <c r="AFB76" s="47"/>
      <c r="AFC76" s="47"/>
      <c r="AFD76" s="47"/>
      <c r="AFE76" s="47"/>
      <c r="AFF76" s="47"/>
      <c r="AFG76" s="47"/>
      <c r="AFH76" s="47"/>
      <c r="AFI76" s="47"/>
      <c r="AFJ76" s="47"/>
      <c r="AFK76" s="47"/>
      <c r="AFL76" s="47"/>
      <c r="AFM76" s="47"/>
      <c r="AFN76" s="47"/>
      <c r="AFO76" s="47"/>
      <c r="AFP76" s="47"/>
      <c r="AFQ76" s="47"/>
      <c r="AFR76" s="47"/>
      <c r="AFS76" s="47"/>
      <c r="AFT76" s="47"/>
      <c r="AFU76" s="47"/>
      <c r="AFV76" s="47"/>
      <c r="AFW76" s="47"/>
      <c r="AFX76" s="47"/>
      <c r="AFY76" s="47"/>
      <c r="AFZ76" s="47"/>
      <c r="AGA76" s="47"/>
      <c r="AGB76" s="47"/>
      <c r="AGC76" s="47"/>
      <c r="AGD76" s="47"/>
      <c r="AGE76" s="47"/>
      <c r="AGF76" s="47"/>
      <c r="AGG76" s="47"/>
      <c r="AGH76" s="47"/>
      <c r="AGI76" s="47"/>
      <c r="AGJ76" s="47"/>
      <c r="AGK76" s="47"/>
      <c r="AGL76" s="47"/>
      <c r="AGM76" s="47"/>
      <c r="AGN76" s="47"/>
      <c r="AGO76" s="47"/>
      <c r="AGP76" s="47"/>
      <c r="AGQ76" s="47"/>
      <c r="AGR76" s="47"/>
      <c r="AGS76" s="47"/>
      <c r="AGT76" s="47"/>
      <c r="AGU76" s="47"/>
      <c r="AGV76" s="47"/>
      <c r="AGW76" s="47"/>
      <c r="AGX76" s="47"/>
      <c r="AGY76" s="47"/>
      <c r="AGZ76" s="47"/>
      <c r="AHA76" s="47"/>
      <c r="AHB76" s="47"/>
      <c r="AHC76" s="47"/>
      <c r="AHD76" s="47"/>
      <c r="AHE76" s="47"/>
      <c r="AHF76" s="47"/>
      <c r="AHG76" s="47"/>
      <c r="AHH76" s="47"/>
      <c r="AHI76" s="47"/>
      <c r="AHJ76" s="47"/>
      <c r="AHK76" s="47"/>
      <c r="AHL76" s="47"/>
      <c r="AHM76" s="47"/>
      <c r="AHN76" s="47"/>
      <c r="AHO76" s="47"/>
      <c r="AHP76" s="47"/>
      <c r="AHQ76" s="47"/>
      <c r="AHR76" s="47"/>
      <c r="AHS76" s="47"/>
      <c r="AHT76" s="47"/>
      <c r="AHU76" s="47"/>
      <c r="AHV76" s="47"/>
      <c r="AHW76" s="47"/>
      <c r="AHX76" s="47"/>
      <c r="AHY76" s="47"/>
      <c r="AHZ76" s="47"/>
      <c r="AIA76" s="47"/>
      <c r="AIB76" s="47"/>
      <c r="AIC76" s="47"/>
      <c r="AID76" s="47"/>
      <c r="AIE76" s="47"/>
      <c r="AIF76" s="47"/>
      <c r="AIG76" s="47"/>
      <c r="AIH76" s="47"/>
      <c r="AII76" s="47"/>
      <c r="AIJ76" s="47"/>
      <c r="AIK76" s="47"/>
      <c r="AIL76" s="47"/>
      <c r="AIM76" s="47"/>
      <c r="AIN76" s="47"/>
      <c r="AIO76" s="47"/>
      <c r="AIP76" s="47"/>
      <c r="AIQ76" s="47"/>
      <c r="AIR76" s="47"/>
      <c r="AIS76" s="47"/>
      <c r="AIT76" s="47"/>
      <c r="AIU76" s="47"/>
      <c r="AIV76" s="47"/>
      <c r="AIW76" s="47"/>
      <c r="AIX76" s="47"/>
      <c r="AIY76" s="47"/>
      <c r="AIZ76" s="47"/>
      <c r="AJA76" s="47"/>
      <c r="AJB76" s="47"/>
      <c r="AJC76" s="47"/>
      <c r="AJD76" s="47"/>
      <c r="AJE76" s="47"/>
      <c r="AJF76" s="47"/>
      <c r="AJG76" s="47"/>
      <c r="AJH76" s="47"/>
      <c r="AJI76" s="47"/>
      <c r="AJJ76" s="47"/>
      <c r="AJK76" s="47"/>
      <c r="AJL76" s="47"/>
      <c r="AJM76" s="47"/>
      <c r="AJN76" s="47"/>
      <c r="AJO76" s="47"/>
      <c r="AJP76" s="47"/>
      <c r="AJQ76" s="47"/>
      <c r="AJR76" s="47"/>
      <c r="AJS76" s="47"/>
      <c r="AJT76" s="47"/>
      <c r="AJU76" s="47"/>
      <c r="AJV76" s="47"/>
      <c r="AJW76" s="47"/>
      <c r="AJX76" s="47"/>
      <c r="AJY76" s="47"/>
      <c r="AJZ76" s="47"/>
      <c r="AKA76" s="47"/>
      <c r="AKB76" s="47"/>
      <c r="AKC76" s="47"/>
      <c r="AKD76" s="47"/>
      <c r="AKE76" s="47"/>
      <c r="AKF76" s="47"/>
      <c r="AKG76" s="47"/>
      <c r="AKH76" s="47"/>
      <c r="AKI76" s="47"/>
      <c r="AKJ76" s="47"/>
      <c r="AKK76" s="47"/>
      <c r="AKL76" s="47"/>
      <c r="AKM76" s="47"/>
      <c r="AKN76" s="47"/>
      <c r="AKO76" s="47"/>
      <c r="AKP76" s="47"/>
      <c r="AKQ76" s="47"/>
      <c r="AKR76" s="47"/>
      <c r="AKS76" s="47"/>
      <c r="AKT76" s="47"/>
      <c r="AKU76" s="47"/>
      <c r="AKV76" s="47"/>
      <c r="AKW76" s="47"/>
      <c r="AKX76" s="47"/>
      <c r="AKY76" s="47"/>
      <c r="AKZ76" s="47"/>
      <c r="ALA76" s="47"/>
      <c r="ALB76" s="47"/>
      <c r="ALC76" s="47"/>
      <c r="ALD76" s="47"/>
      <c r="ALE76" s="47"/>
      <c r="ALF76" s="47"/>
      <c r="ALG76" s="47"/>
      <c r="ALH76" s="47"/>
      <c r="ALI76" s="47"/>
      <c r="ALJ76" s="47"/>
      <c r="ALK76" s="47"/>
      <c r="ALL76" s="47"/>
      <c r="ALM76" s="47"/>
      <c r="ALN76" s="47"/>
      <c r="ALO76" s="47"/>
      <c r="ALP76" s="47"/>
      <c r="ALQ76" s="47"/>
      <c r="ALR76" s="47"/>
      <c r="ALS76" s="47"/>
      <c r="ALT76" s="47"/>
      <c r="ALU76" s="47"/>
      <c r="ALV76" s="47"/>
      <c r="ALW76" s="47"/>
      <c r="ALX76" s="47"/>
      <c r="ALY76" s="47"/>
      <c r="ALZ76" s="47"/>
      <c r="AMA76" s="47"/>
      <c r="AMB76" s="47"/>
      <c r="AMC76" s="47"/>
      <c r="AMD76" s="47"/>
      <c r="AME76" s="47"/>
      <c r="AMF76" s="47"/>
      <c r="AMG76" s="47"/>
      <c r="AMH76" s="47"/>
      <c r="AMI76" s="47"/>
      <c r="AMJ76" s="47"/>
    </row>
    <row r="77" spans="1:1024" customFormat="1" x14ac:dyDescent="0.25">
      <c r="A77" s="47" t="s">
        <v>1736</v>
      </c>
      <c r="B77" s="47" t="s">
        <v>1736</v>
      </c>
      <c r="C77" s="47" t="s">
        <v>1736</v>
      </c>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47"/>
      <c r="EJ77" s="47"/>
      <c r="EK77" s="47"/>
      <c r="EL77" s="47"/>
      <c r="EM77" s="47"/>
      <c r="EN77" s="47"/>
      <c r="EO77" s="47"/>
      <c r="EP77" s="47"/>
      <c r="EQ77" s="47"/>
      <c r="ER77" s="47"/>
      <c r="ES77" s="47"/>
      <c r="ET77" s="47"/>
      <c r="EU77" s="47"/>
      <c r="EV77" s="47"/>
      <c r="EW77" s="47"/>
      <c r="EX77" s="47"/>
      <c r="EY77" s="47"/>
      <c r="EZ77" s="47"/>
      <c r="FA77" s="47"/>
      <c r="FB77" s="47"/>
      <c r="FC77" s="47"/>
      <c r="FD77" s="47"/>
      <c r="FE77" s="47"/>
      <c r="FF77" s="47"/>
      <c r="FG77" s="47"/>
      <c r="FH77" s="47"/>
      <c r="FI77" s="47"/>
      <c r="FJ77" s="47"/>
      <c r="FK77" s="47"/>
      <c r="FL77" s="47"/>
      <c r="FM77" s="47"/>
      <c r="FN77" s="47"/>
      <c r="FO77" s="47"/>
      <c r="FP77" s="47"/>
      <c r="FQ77" s="47"/>
      <c r="FR77" s="47"/>
      <c r="FS77" s="47"/>
      <c r="FT77" s="47"/>
      <c r="FU77" s="47"/>
      <c r="FV77" s="47"/>
      <c r="FW77" s="47"/>
      <c r="FX77" s="47"/>
      <c r="FY77" s="47"/>
      <c r="FZ77" s="47"/>
      <c r="GA77" s="47"/>
      <c r="GB77" s="47"/>
      <c r="GC77" s="47"/>
      <c r="GD77" s="47"/>
      <c r="GE77" s="47"/>
      <c r="GF77" s="47"/>
      <c r="GG77" s="47"/>
      <c r="GH77" s="47"/>
      <c r="GI77" s="47"/>
      <c r="GJ77" s="47"/>
      <c r="GK77" s="47"/>
      <c r="GL77" s="47"/>
      <c r="GM77" s="47"/>
      <c r="GN77" s="47"/>
      <c r="GO77" s="47"/>
      <c r="GP77" s="47"/>
      <c r="GQ77" s="47"/>
      <c r="GR77" s="47"/>
      <c r="GS77" s="47"/>
      <c r="GT77" s="47"/>
      <c r="GU77" s="47"/>
      <c r="GV77" s="47"/>
      <c r="GW77" s="47"/>
      <c r="GX77" s="47"/>
      <c r="GY77" s="47"/>
      <c r="GZ77" s="47"/>
      <c r="HA77" s="47"/>
      <c r="HB77" s="47"/>
      <c r="HC77" s="47"/>
      <c r="HD77" s="47"/>
      <c r="HE77" s="47"/>
      <c r="HF77" s="47"/>
      <c r="HG77" s="47"/>
      <c r="HH77" s="47"/>
      <c r="HI77" s="47"/>
      <c r="HJ77" s="47"/>
      <c r="HK77" s="47"/>
      <c r="HL77" s="47"/>
      <c r="HM77" s="47"/>
      <c r="HN77" s="47"/>
      <c r="HO77" s="47"/>
      <c r="HP77" s="47"/>
      <c r="HQ77" s="47"/>
      <c r="HR77" s="47"/>
      <c r="HS77" s="47"/>
      <c r="HT77" s="47"/>
      <c r="HU77" s="47"/>
      <c r="HV77" s="47"/>
      <c r="HW77" s="47"/>
      <c r="HX77" s="47"/>
      <c r="HY77" s="47"/>
      <c r="HZ77" s="47"/>
      <c r="IA77" s="47"/>
      <c r="IB77" s="47"/>
      <c r="IC77" s="47"/>
      <c r="ID77" s="47"/>
      <c r="IE77" s="47"/>
      <c r="IF77" s="47"/>
      <c r="IG77" s="47"/>
      <c r="IH77" s="47"/>
      <c r="II77" s="47"/>
      <c r="IJ77" s="47"/>
      <c r="IK77" s="47"/>
      <c r="IL77" s="47"/>
      <c r="IM77" s="47"/>
      <c r="IN77" s="47"/>
      <c r="IO77" s="47"/>
      <c r="IP77" s="47"/>
      <c r="IQ77" s="47"/>
      <c r="IR77" s="47"/>
      <c r="IS77" s="47"/>
      <c r="IT77" s="47"/>
      <c r="IU77" s="47"/>
      <c r="IV77" s="47"/>
      <c r="IW77" s="47"/>
      <c r="IX77" s="47"/>
      <c r="IY77" s="47"/>
      <c r="IZ77" s="47"/>
      <c r="JA77" s="47"/>
      <c r="JB77" s="47"/>
      <c r="JC77" s="47"/>
      <c r="JD77" s="47"/>
      <c r="JE77" s="47"/>
      <c r="JF77" s="47"/>
      <c r="JG77" s="47"/>
      <c r="JH77" s="47"/>
      <c r="JI77" s="47"/>
      <c r="JJ77" s="47"/>
      <c r="JK77" s="47"/>
      <c r="JL77" s="47"/>
      <c r="JM77" s="47"/>
      <c r="JN77" s="47"/>
      <c r="JO77" s="47"/>
      <c r="JP77" s="47"/>
      <c r="JQ77" s="47"/>
      <c r="JR77" s="47"/>
      <c r="JS77" s="47"/>
      <c r="JT77" s="47"/>
      <c r="JU77" s="47"/>
      <c r="JV77" s="47"/>
      <c r="JW77" s="47"/>
      <c r="JX77" s="47"/>
      <c r="JY77" s="47"/>
      <c r="JZ77" s="47"/>
      <c r="KA77" s="47"/>
      <c r="KB77" s="47"/>
      <c r="KC77" s="47"/>
      <c r="KD77" s="47"/>
      <c r="KE77" s="47"/>
      <c r="KF77" s="47"/>
      <c r="KG77" s="47"/>
      <c r="KH77" s="47"/>
      <c r="KI77" s="47"/>
      <c r="KJ77" s="47"/>
      <c r="KK77" s="47"/>
      <c r="KL77" s="47"/>
      <c r="KM77" s="47"/>
      <c r="KN77" s="47"/>
      <c r="KO77" s="47"/>
      <c r="KP77" s="47"/>
      <c r="KQ77" s="47"/>
      <c r="KR77" s="47"/>
      <c r="KS77" s="47"/>
      <c r="KT77" s="47"/>
      <c r="KU77" s="47"/>
      <c r="KV77" s="47"/>
      <c r="KW77" s="47"/>
      <c r="KX77" s="47"/>
      <c r="KY77" s="47"/>
      <c r="KZ77" s="47"/>
      <c r="LA77" s="47"/>
      <c r="LB77" s="47"/>
      <c r="LC77" s="47"/>
      <c r="LD77" s="47"/>
      <c r="LE77" s="47"/>
      <c r="LF77" s="47"/>
      <c r="LG77" s="47"/>
      <c r="LH77" s="47"/>
      <c r="LI77" s="47"/>
      <c r="LJ77" s="47"/>
      <c r="LK77" s="47"/>
      <c r="LL77" s="47"/>
      <c r="LM77" s="47"/>
      <c r="LN77" s="47"/>
      <c r="LO77" s="47"/>
      <c r="LP77" s="47"/>
      <c r="LQ77" s="47"/>
      <c r="LR77" s="47"/>
      <c r="LS77" s="47"/>
      <c r="LT77" s="47"/>
      <c r="LU77" s="47"/>
      <c r="LV77" s="47"/>
      <c r="LW77" s="47"/>
      <c r="LX77" s="47"/>
      <c r="LY77" s="47"/>
      <c r="LZ77" s="47"/>
      <c r="MA77" s="47"/>
      <c r="MB77" s="47"/>
      <c r="MC77" s="47"/>
      <c r="MD77" s="47"/>
      <c r="ME77" s="47"/>
      <c r="MF77" s="47"/>
      <c r="MG77" s="47"/>
      <c r="MH77" s="47"/>
      <c r="MI77" s="47"/>
      <c r="MJ77" s="47"/>
      <c r="MK77" s="47"/>
      <c r="ML77" s="47"/>
      <c r="MM77" s="47"/>
      <c r="MN77" s="47"/>
      <c r="MO77" s="47"/>
      <c r="MP77" s="47"/>
      <c r="MQ77" s="47"/>
      <c r="MR77" s="47"/>
      <c r="MS77" s="47"/>
      <c r="MT77" s="47"/>
      <c r="MU77" s="47"/>
      <c r="MV77" s="47"/>
      <c r="MW77" s="47"/>
      <c r="MX77" s="47"/>
      <c r="MY77" s="47"/>
      <c r="MZ77" s="47"/>
      <c r="NA77" s="47"/>
      <c r="NB77" s="47"/>
      <c r="NC77" s="47"/>
      <c r="ND77" s="47"/>
      <c r="NE77" s="47"/>
      <c r="NF77" s="47"/>
      <c r="NG77" s="47"/>
      <c r="NH77" s="47"/>
      <c r="NI77" s="47"/>
      <c r="NJ77" s="47"/>
      <c r="NK77" s="47"/>
      <c r="NL77" s="47"/>
      <c r="NM77" s="47"/>
      <c r="NN77" s="47"/>
      <c r="NO77" s="47"/>
      <c r="NP77" s="47"/>
      <c r="NQ77" s="47"/>
      <c r="NR77" s="47"/>
      <c r="NS77" s="47"/>
      <c r="NT77" s="47"/>
      <c r="NU77" s="47"/>
      <c r="NV77" s="47"/>
      <c r="NW77" s="47"/>
      <c r="NX77" s="47"/>
      <c r="NY77" s="47"/>
      <c r="NZ77" s="47"/>
      <c r="OA77" s="47"/>
      <c r="OB77" s="47"/>
      <c r="OC77" s="47"/>
      <c r="OD77" s="47"/>
      <c r="OE77" s="47"/>
      <c r="OF77" s="47"/>
      <c r="OG77" s="47"/>
      <c r="OH77" s="47"/>
      <c r="OI77" s="47"/>
      <c r="OJ77" s="47"/>
      <c r="OK77" s="47"/>
      <c r="OL77" s="47"/>
      <c r="OM77" s="47"/>
      <c r="ON77" s="47"/>
      <c r="OO77" s="47"/>
      <c r="OP77" s="47"/>
      <c r="OQ77" s="47"/>
      <c r="OR77" s="47"/>
      <c r="OS77" s="47"/>
      <c r="OT77" s="47"/>
      <c r="OU77" s="47"/>
      <c r="OV77" s="47"/>
      <c r="OW77" s="47"/>
      <c r="OX77" s="47"/>
      <c r="OY77" s="47"/>
      <c r="OZ77" s="47"/>
      <c r="PA77" s="47"/>
      <c r="PB77" s="47"/>
      <c r="PC77" s="47"/>
      <c r="PD77" s="47"/>
      <c r="PE77" s="47"/>
      <c r="PF77" s="47"/>
      <c r="PG77" s="47"/>
      <c r="PH77" s="47"/>
      <c r="PI77" s="47"/>
      <c r="PJ77" s="47"/>
      <c r="PK77" s="47"/>
      <c r="PL77" s="47"/>
      <c r="PM77" s="47"/>
      <c r="PN77" s="47"/>
      <c r="PO77" s="47"/>
      <c r="PP77" s="47"/>
      <c r="PQ77" s="47"/>
      <c r="PR77" s="47"/>
      <c r="PS77" s="47"/>
      <c r="PT77" s="47"/>
      <c r="PU77" s="47"/>
      <c r="PV77" s="47"/>
      <c r="PW77" s="47"/>
      <c r="PX77" s="47"/>
      <c r="PY77" s="47"/>
      <c r="PZ77" s="47"/>
      <c r="QA77" s="47"/>
      <c r="QB77" s="47"/>
      <c r="QC77" s="47"/>
      <c r="QD77" s="47"/>
      <c r="QE77" s="47"/>
      <c r="QF77" s="47"/>
      <c r="QG77" s="47"/>
      <c r="QH77" s="47"/>
      <c r="QI77" s="47"/>
      <c r="QJ77" s="47"/>
      <c r="QK77" s="47"/>
      <c r="QL77" s="47"/>
      <c r="QM77" s="47"/>
      <c r="QN77" s="47"/>
      <c r="QO77" s="47"/>
      <c r="QP77" s="47"/>
      <c r="QQ77" s="47"/>
      <c r="QR77" s="47"/>
      <c r="QS77" s="47"/>
      <c r="QT77" s="47"/>
      <c r="QU77" s="47"/>
      <c r="QV77" s="47"/>
      <c r="QW77" s="47"/>
      <c r="QX77" s="47"/>
      <c r="QY77" s="47"/>
      <c r="QZ77" s="47"/>
      <c r="RA77" s="47"/>
      <c r="RB77" s="47"/>
      <c r="RC77" s="47"/>
      <c r="RD77" s="47"/>
      <c r="RE77" s="47"/>
      <c r="RF77" s="47"/>
      <c r="RG77" s="47"/>
      <c r="RH77" s="47"/>
      <c r="RI77" s="47"/>
      <c r="RJ77" s="47"/>
      <c r="RK77" s="47"/>
      <c r="RL77" s="47"/>
      <c r="RM77" s="47"/>
      <c r="RN77" s="47"/>
      <c r="RO77" s="47"/>
      <c r="RP77" s="47"/>
      <c r="RQ77" s="47"/>
      <c r="RR77" s="47"/>
      <c r="RS77" s="47"/>
      <c r="RT77" s="47"/>
      <c r="RU77" s="47"/>
      <c r="RV77" s="47"/>
      <c r="RW77" s="47"/>
      <c r="RX77" s="47"/>
      <c r="RY77" s="47"/>
      <c r="RZ77" s="47"/>
      <c r="SA77" s="47"/>
      <c r="SB77" s="47"/>
      <c r="SC77" s="47"/>
      <c r="SD77" s="47"/>
      <c r="SE77" s="47"/>
      <c r="SF77" s="47"/>
      <c r="SG77" s="47"/>
      <c r="SH77" s="47"/>
      <c r="SI77" s="47"/>
      <c r="SJ77" s="47"/>
      <c r="SK77" s="47"/>
      <c r="SL77" s="47"/>
      <c r="SM77" s="47"/>
      <c r="SN77" s="47"/>
      <c r="SO77" s="47"/>
      <c r="SP77" s="47"/>
      <c r="SQ77" s="47"/>
      <c r="SR77" s="47"/>
      <c r="SS77" s="47"/>
      <c r="ST77" s="47"/>
      <c r="SU77" s="47"/>
      <c r="SV77" s="47"/>
      <c r="SW77" s="47"/>
      <c r="SX77" s="47"/>
      <c r="SY77" s="47"/>
      <c r="SZ77" s="47"/>
      <c r="TA77" s="47"/>
      <c r="TB77" s="47"/>
      <c r="TC77" s="47"/>
      <c r="TD77" s="47"/>
      <c r="TE77" s="47"/>
      <c r="TF77" s="47"/>
      <c r="TG77" s="47"/>
      <c r="TH77" s="47"/>
      <c r="TI77" s="47"/>
      <c r="TJ77" s="47"/>
      <c r="TK77" s="47"/>
      <c r="TL77" s="47"/>
      <c r="TM77" s="47"/>
      <c r="TN77" s="47"/>
      <c r="TO77" s="47"/>
      <c r="TP77" s="47"/>
      <c r="TQ77" s="47"/>
      <c r="TR77" s="47"/>
      <c r="TS77" s="47"/>
      <c r="TT77" s="47"/>
      <c r="TU77" s="47"/>
      <c r="TV77" s="47"/>
      <c r="TW77" s="47"/>
      <c r="TX77" s="47"/>
      <c r="TY77" s="47"/>
      <c r="TZ77" s="47"/>
      <c r="UA77" s="47"/>
      <c r="UB77" s="47"/>
      <c r="UC77" s="47"/>
      <c r="UD77" s="47"/>
      <c r="UE77" s="47"/>
      <c r="UF77" s="47"/>
      <c r="UG77" s="47"/>
      <c r="UH77" s="47"/>
      <c r="UI77" s="47"/>
      <c r="UJ77" s="47"/>
      <c r="UK77" s="47"/>
      <c r="UL77" s="47"/>
      <c r="UM77" s="47"/>
      <c r="UN77" s="47"/>
      <c r="UO77" s="47"/>
      <c r="UP77" s="47"/>
      <c r="UQ77" s="47"/>
      <c r="UR77" s="47"/>
      <c r="US77" s="47"/>
      <c r="UT77" s="47"/>
      <c r="UU77" s="47"/>
      <c r="UV77" s="47"/>
      <c r="UW77" s="47"/>
      <c r="UX77" s="47"/>
      <c r="UY77" s="47"/>
      <c r="UZ77" s="47"/>
      <c r="VA77" s="47"/>
      <c r="VB77" s="47"/>
      <c r="VC77" s="47"/>
      <c r="VD77" s="47"/>
      <c r="VE77" s="47"/>
      <c r="VF77" s="47"/>
      <c r="VG77" s="47"/>
      <c r="VH77" s="47"/>
      <c r="VI77" s="47"/>
      <c r="VJ77" s="47"/>
      <c r="VK77" s="47"/>
      <c r="VL77" s="47"/>
      <c r="VM77" s="47"/>
      <c r="VN77" s="47"/>
      <c r="VO77" s="47"/>
      <c r="VP77" s="47"/>
      <c r="VQ77" s="47"/>
      <c r="VR77" s="47"/>
      <c r="VS77" s="47"/>
      <c r="VT77" s="47"/>
      <c r="VU77" s="47"/>
      <c r="VV77" s="47"/>
      <c r="VW77" s="47"/>
      <c r="VX77" s="47"/>
      <c r="VY77" s="47"/>
      <c r="VZ77" s="47"/>
      <c r="WA77" s="47"/>
      <c r="WB77" s="47"/>
      <c r="WC77" s="47"/>
      <c r="WD77" s="47"/>
      <c r="WE77" s="47"/>
      <c r="WF77" s="47"/>
      <c r="WG77" s="47"/>
      <c r="WH77" s="47"/>
      <c r="WI77" s="47"/>
      <c r="WJ77" s="47"/>
      <c r="WK77" s="47"/>
      <c r="WL77" s="47"/>
      <c r="WM77" s="47"/>
      <c r="WN77" s="47"/>
      <c r="WO77" s="47"/>
      <c r="WP77" s="47"/>
      <c r="WQ77" s="47"/>
      <c r="WR77" s="47"/>
      <c r="WS77" s="47"/>
      <c r="WT77" s="47"/>
      <c r="WU77" s="47"/>
      <c r="WV77" s="47"/>
      <c r="WW77" s="47"/>
      <c r="WX77" s="47"/>
      <c r="WY77" s="47"/>
      <c r="WZ77" s="47"/>
      <c r="XA77" s="47"/>
      <c r="XB77" s="47"/>
      <c r="XC77" s="47"/>
      <c r="XD77" s="47"/>
      <c r="XE77" s="47"/>
      <c r="XF77" s="47"/>
      <c r="XG77" s="47"/>
      <c r="XH77" s="47"/>
      <c r="XI77" s="47"/>
      <c r="XJ77" s="47"/>
      <c r="XK77" s="47"/>
      <c r="XL77" s="47"/>
      <c r="XM77" s="47"/>
      <c r="XN77" s="47"/>
      <c r="XO77" s="47"/>
      <c r="XP77" s="47"/>
      <c r="XQ77" s="47"/>
      <c r="XR77" s="47"/>
      <c r="XS77" s="47"/>
      <c r="XT77" s="47"/>
      <c r="XU77" s="47"/>
      <c r="XV77" s="47"/>
      <c r="XW77" s="47"/>
      <c r="XX77" s="47"/>
      <c r="XY77" s="47"/>
      <c r="XZ77" s="47"/>
      <c r="YA77" s="47"/>
      <c r="YB77" s="47"/>
      <c r="YC77" s="47"/>
      <c r="YD77" s="47"/>
      <c r="YE77" s="47"/>
      <c r="YF77" s="47"/>
      <c r="YG77" s="47"/>
      <c r="YH77" s="47"/>
      <c r="YI77" s="47"/>
      <c r="YJ77" s="47"/>
      <c r="YK77" s="47"/>
      <c r="YL77" s="47"/>
      <c r="YM77" s="47"/>
      <c r="YN77" s="47"/>
      <c r="YO77" s="47"/>
      <c r="YP77" s="47"/>
      <c r="YQ77" s="47"/>
      <c r="YR77" s="47"/>
      <c r="YS77" s="47"/>
      <c r="YT77" s="47"/>
      <c r="YU77" s="47"/>
      <c r="YV77" s="47"/>
      <c r="YW77" s="47"/>
      <c r="YX77" s="47"/>
      <c r="YY77" s="47"/>
      <c r="YZ77" s="47"/>
      <c r="ZA77" s="47"/>
      <c r="ZB77" s="47"/>
      <c r="ZC77" s="47"/>
      <c r="ZD77" s="47"/>
      <c r="ZE77" s="47"/>
      <c r="ZF77" s="47"/>
      <c r="ZG77" s="47"/>
      <c r="ZH77" s="47"/>
      <c r="ZI77" s="47"/>
      <c r="ZJ77" s="47"/>
      <c r="ZK77" s="47"/>
      <c r="ZL77" s="47"/>
      <c r="ZM77" s="47"/>
      <c r="ZN77" s="47"/>
      <c r="ZO77" s="47"/>
      <c r="ZP77" s="47"/>
      <c r="ZQ77" s="47"/>
      <c r="ZR77" s="47"/>
      <c r="ZS77" s="47"/>
      <c r="ZT77" s="47"/>
      <c r="ZU77" s="47"/>
      <c r="ZV77" s="47"/>
      <c r="ZW77" s="47"/>
      <c r="ZX77" s="47"/>
      <c r="ZY77" s="47"/>
      <c r="ZZ77" s="47"/>
      <c r="AAA77" s="47"/>
      <c r="AAB77" s="47"/>
      <c r="AAC77" s="47"/>
      <c r="AAD77" s="47"/>
      <c r="AAE77" s="47"/>
      <c r="AAF77" s="47"/>
      <c r="AAG77" s="47"/>
      <c r="AAH77" s="47"/>
      <c r="AAI77" s="47"/>
      <c r="AAJ77" s="47"/>
      <c r="AAK77" s="47"/>
      <c r="AAL77" s="47"/>
      <c r="AAM77" s="47"/>
      <c r="AAN77" s="47"/>
      <c r="AAO77" s="47"/>
      <c r="AAP77" s="47"/>
      <c r="AAQ77" s="47"/>
      <c r="AAR77" s="47"/>
      <c r="AAS77" s="47"/>
      <c r="AAT77" s="47"/>
      <c r="AAU77" s="47"/>
      <c r="AAV77" s="47"/>
      <c r="AAW77" s="47"/>
      <c r="AAX77" s="47"/>
      <c r="AAY77" s="47"/>
      <c r="AAZ77" s="47"/>
      <c r="ABA77" s="47"/>
      <c r="ABB77" s="47"/>
      <c r="ABC77" s="47"/>
      <c r="ABD77" s="47"/>
      <c r="ABE77" s="47"/>
      <c r="ABF77" s="47"/>
      <c r="ABG77" s="47"/>
      <c r="ABH77" s="47"/>
      <c r="ABI77" s="47"/>
      <c r="ABJ77" s="47"/>
      <c r="ABK77" s="47"/>
      <c r="ABL77" s="47"/>
      <c r="ABM77" s="47"/>
      <c r="ABN77" s="47"/>
      <c r="ABO77" s="47"/>
      <c r="ABP77" s="47"/>
      <c r="ABQ77" s="47"/>
      <c r="ABR77" s="47"/>
      <c r="ABS77" s="47"/>
      <c r="ABT77" s="47"/>
      <c r="ABU77" s="47"/>
      <c r="ABV77" s="47"/>
      <c r="ABW77" s="47"/>
      <c r="ABX77" s="47"/>
      <c r="ABY77" s="47"/>
      <c r="ABZ77" s="47"/>
      <c r="ACA77" s="47"/>
      <c r="ACB77" s="47"/>
      <c r="ACC77" s="47"/>
      <c r="ACD77" s="47"/>
      <c r="ACE77" s="47"/>
      <c r="ACF77" s="47"/>
      <c r="ACG77" s="47"/>
      <c r="ACH77" s="47"/>
      <c r="ACI77" s="47"/>
      <c r="ACJ77" s="47"/>
      <c r="ACK77" s="47"/>
      <c r="ACL77" s="47"/>
      <c r="ACM77" s="47"/>
      <c r="ACN77" s="47"/>
      <c r="ACO77" s="47"/>
      <c r="ACP77" s="47"/>
      <c r="ACQ77" s="47"/>
      <c r="ACR77" s="47"/>
      <c r="ACS77" s="47"/>
      <c r="ACT77" s="47"/>
      <c r="ACU77" s="47"/>
      <c r="ACV77" s="47"/>
      <c r="ACW77" s="47"/>
      <c r="ACX77" s="47"/>
      <c r="ACY77" s="47"/>
      <c r="ACZ77" s="47"/>
      <c r="ADA77" s="47"/>
      <c r="ADB77" s="47"/>
      <c r="ADC77" s="47"/>
      <c r="ADD77" s="47"/>
      <c r="ADE77" s="47"/>
      <c r="ADF77" s="47"/>
      <c r="ADG77" s="47"/>
      <c r="ADH77" s="47"/>
      <c r="ADI77" s="47"/>
      <c r="ADJ77" s="47"/>
      <c r="ADK77" s="47"/>
      <c r="ADL77" s="47"/>
      <c r="ADM77" s="47"/>
      <c r="ADN77" s="47"/>
      <c r="ADO77" s="47"/>
      <c r="ADP77" s="47"/>
      <c r="ADQ77" s="47"/>
      <c r="ADR77" s="47"/>
      <c r="ADS77" s="47"/>
      <c r="ADT77" s="47"/>
      <c r="ADU77" s="47"/>
      <c r="ADV77" s="47"/>
      <c r="ADW77" s="47"/>
      <c r="ADX77" s="47"/>
      <c r="ADY77" s="47"/>
      <c r="ADZ77" s="47"/>
      <c r="AEA77" s="47"/>
      <c r="AEB77" s="47"/>
      <c r="AEC77" s="47"/>
      <c r="AED77" s="47"/>
      <c r="AEE77" s="47"/>
      <c r="AEF77" s="47"/>
      <c r="AEG77" s="47"/>
      <c r="AEH77" s="47"/>
      <c r="AEI77" s="47"/>
      <c r="AEJ77" s="47"/>
      <c r="AEK77" s="47"/>
      <c r="AEL77" s="47"/>
      <c r="AEM77" s="47"/>
      <c r="AEN77" s="47"/>
      <c r="AEO77" s="47"/>
      <c r="AEP77" s="47"/>
      <c r="AEQ77" s="47"/>
      <c r="AER77" s="47"/>
      <c r="AES77" s="47"/>
      <c r="AET77" s="47"/>
      <c r="AEU77" s="47"/>
      <c r="AEV77" s="47"/>
      <c r="AEW77" s="47"/>
      <c r="AEX77" s="47"/>
      <c r="AEY77" s="47"/>
      <c r="AEZ77" s="47"/>
      <c r="AFA77" s="47"/>
      <c r="AFB77" s="47"/>
      <c r="AFC77" s="47"/>
      <c r="AFD77" s="47"/>
      <c r="AFE77" s="47"/>
      <c r="AFF77" s="47"/>
      <c r="AFG77" s="47"/>
      <c r="AFH77" s="47"/>
      <c r="AFI77" s="47"/>
      <c r="AFJ77" s="47"/>
      <c r="AFK77" s="47"/>
      <c r="AFL77" s="47"/>
      <c r="AFM77" s="47"/>
      <c r="AFN77" s="47"/>
      <c r="AFO77" s="47"/>
      <c r="AFP77" s="47"/>
      <c r="AFQ77" s="47"/>
      <c r="AFR77" s="47"/>
      <c r="AFS77" s="47"/>
      <c r="AFT77" s="47"/>
      <c r="AFU77" s="47"/>
      <c r="AFV77" s="47"/>
      <c r="AFW77" s="47"/>
      <c r="AFX77" s="47"/>
      <c r="AFY77" s="47"/>
      <c r="AFZ77" s="47"/>
      <c r="AGA77" s="47"/>
      <c r="AGB77" s="47"/>
      <c r="AGC77" s="47"/>
      <c r="AGD77" s="47"/>
      <c r="AGE77" s="47"/>
      <c r="AGF77" s="47"/>
      <c r="AGG77" s="47"/>
      <c r="AGH77" s="47"/>
      <c r="AGI77" s="47"/>
      <c r="AGJ77" s="47"/>
      <c r="AGK77" s="47"/>
      <c r="AGL77" s="47"/>
      <c r="AGM77" s="47"/>
      <c r="AGN77" s="47"/>
      <c r="AGO77" s="47"/>
      <c r="AGP77" s="47"/>
      <c r="AGQ77" s="47"/>
      <c r="AGR77" s="47"/>
      <c r="AGS77" s="47"/>
      <c r="AGT77" s="47"/>
      <c r="AGU77" s="47"/>
      <c r="AGV77" s="47"/>
      <c r="AGW77" s="47"/>
      <c r="AGX77" s="47"/>
      <c r="AGY77" s="47"/>
      <c r="AGZ77" s="47"/>
      <c r="AHA77" s="47"/>
      <c r="AHB77" s="47"/>
      <c r="AHC77" s="47"/>
      <c r="AHD77" s="47"/>
      <c r="AHE77" s="47"/>
      <c r="AHF77" s="47"/>
      <c r="AHG77" s="47"/>
      <c r="AHH77" s="47"/>
      <c r="AHI77" s="47"/>
      <c r="AHJ77" s="47"/>
      <c r="AHK77" s="47"/>
      <c r="AHL77" s="47"/>
      <c r="AHM77" s="47"/>
      <c r="AHN77" s="47"/>
      <c r="AHO77" s="47"/>
      <c r="AHP77" s="47"/>
      <c r="AHQ77" s="47"/>
      <c r="AHR77" s="47"/>
      <c r="AHS77" s="47"/>
      <c r="AHT77" s="47"/>
      <c r="AHU77" s="47"/>
      <c r="AHV77" s="47"/>
      <c r="AHW77" s="47"/>
      <c r="AHX77" s="47"/>
      <c r="AHY77" s="47"/>
      <c r="AHZ77" s="47"/>
      <c r="AIA77" s="47"/>
      <c r="AIB77" s="47"/>
      <c r="AIC77" s="47"/>
      <c r="AID77" s="47"/>
      <c r="AIE77" s="47"/>
      <c r="AIF77" s="47"/>
      <c r="AIG77" s="47"/>
      <c r="AIH77" s="47"/>
      <c r="AII77" s="47"/>
      <c r="AIJ77" s="47"/>
      <c r="AIK77" s="47"/>
      <c r="AIL77" s="47"/>
      <c r="AIM77" s="47"/>
      <c r="AIN77" s="47"/>
      <c r="AIO77" s="47"/>
      <c r="AIP77" s="47"/>
      <c r="AIQ77" s="47"/>
      <c r="AIR77" s="47"/>
      <c r="AIS77" s="47"/>
      <c r="AIT77" s="47"/>
      <c r="AIU77" s="47"/>
      <c r="AIV77" s="47"/>
      <c r="AIW77" s="47"/>
      <c r="AIX77" s="47"/>
      <c r="AIY77" s="47"/>
      <c r="AIZ77" s="47"/>
      <c r="AJA77" s="47"/>
      <c r="AJB77" s="47"/>
      <c r="AJC77" s="47"/>
      <c r="AJD77" s="47"/>
      <c r="AJE77" s="47"/>
      <c r="AJF77" s="47"/>
      <c r="AJG77" s="47"/>
      <c r="AJH77" s="47"/>
      <c r="AJI77" s="47"/>
      <c r="AJJ77" s="47"/>
      <c r="AJK77" s="47"/>
      <c r="AJL77" s="47"/>
      <c r="AJM77" s="47"/>
      <c r="AJN77" s="47"/>
      <c r="AJO77" s="47"/>
      <c r="AJP77" s="47"/>
      <c r="AJQ77" s="47"/>
      <c r="AJR77" s="47"/>
      <c r="AJS77" s="47"/>
      <c r="AJT77" s="47"/>
      <c r="AJU77" s="47"/>
      <c r="AJV77" s="47"/>
      <c r="AJW77" s="47"/>
      <c r="AJX77" s="47"/>
      <c r="AJY77" s="47"/>
      <c r="AJZ77" s="47"/>
      <c r="AKA77" s="47"/>
      <c r="AKB77" s="47"/>
      <c r="AKC77" s="47"/>
      <c r="AKD77" s="47"/>
      <c r="AKE77" s="47"/>
      <c r="AKF77" s="47"/>
      <c r="AKG77" s="47"/>
      <c r="AKH77" s="47"/>
      <c r="AKI77" s="47"/>
      <c r="AKJ77" s="47"/>
      <c r="AKK77" s="47"/>
      <c r="AKL77" s="47"/>
      <c r="AKM77" s="47"/>
      <c r="AKN77" s="47"/>
      <c r="AKO77" s="47"/>
      <c r="AKP77" s="47"/>
      <c r="AKQ77" s="47"/>
      <c r="AKR77" s="47"/>
      <c r="AKS77" s="47"/>
      <c r="AKT77" s="47"/>
      <c r="AKU77" s="47"/>
      <c r="AKV77" s="47"/>
      <c r="AKW77" s="47"/>
      <c r="AKX77" s="47"/>
      <c r="AKY77" s="47"/>
      <c r="AKZ77" s="47"/>
      <c r="ALA77" s="47"/>
      <c r="ALB77" s="47"/>
      <c r="ALC77" s="47"/>
      <c r="ALD77" s="47"/>
      <c r="ALE77" s="47"/>
      <c r="ALF77" s="47"/>
      <c r="ALG77" s="47"/>
      <c r="ALH77" s="47"/>
      <c r="ALI77" s="47"/>
      <c r="ALJ77" s="47"/>
      <c r="ALK77" s="47"/>
      <c r="ALL77" s="47"/>
      <c r="ALM77" s="47"/>
      <c r="ALN77" s="47"/>
      <c r="ALO77" s="47"/>
      <c r="ALP77" s="47"/>
      <c r="ALQ77" s="47"/>
      <c r="ALR77" s="47"/>
      <c r="ALS77" s="47"/>
      <c r="ALT77" s="47"/>
      <c r="ALU77" s="47"/>
      <c r="ALV77" s="47"/>
      <c r="ALW77" s="47"/>
      <c r="ALX77" s="47"/>
      <c r="ALY77" s="47"/>
      <c r="ALZ77" s="47"/>
      <c r="AMA77" s="47"/>
      <c r="AMB77" s="47"/>
      <c r="AMC77" s="47"/>
      <c r="AMD77" s="47"/>
      <c r="AME77" s="47"/>
      <c r="AMF77" s="47"/>
      <c r="AMG77" s="47"/>
      <c r="AMH77" s="47"/>
      <c r="AMI77" s="47"/>
      <c r="AMJ77" s="47"/>
    </row>
  </sheetData>
  <conditionalFormatting sqref="C62 C48:C51">
    <cfRule type="expression" dxfId="8868" priority="111">
      <formula>$A48="calculate"</formula>
    </cfRule>
  </conditionalFormatting>
  <conditionalFormatting sqref="C47">
    <cfRule type="expression" dxfId="8867" priority="110">
      <formula>$A46="calculate"</formula>
    </cfRule>
  </conditionalFormatting>
  <conditionalFormatting sqref="C62">
    <cfRule type="expression" dxfId="8866" priority="297125">
      <formula>AND(#REF!="section",$A62="begin group")</formula>
    </cfRule>
    <cfRule type="expression" dxfId="8865" priority="297126">
      <formula>AND(#REF! = "section",$A62 = "end group")</formula>
    </cfRule>
    <cfRule type="expression" dxfId="8864" priority="297127">
      <formula xml:space="preserve"> $A62 = "begin group"</formula>
    </cfRule>
    <cfRule type="expression" dxfId="8863" priority="297128">
      <formula xml:space="preserve"> AND(#REF!="gg",$A62 = "end group")</formula>
    </cfRule>
  </conditionalFormatting>
  <conditionalFormatting sqref="C47">
    <cfRule type="expression" dxfId="8862" priority="297139">
      <formula>AND(#REF!="section",$A46="begin group")</formula>
    </cfRule>
    <cfRule type="expression" dxfId="8861" priority="297140">
      <formula>AND(#REF! = "section",$A46 = "end group")</formula>
    </cfRule>
    <cfRule type="expression" dxfId="8860" priority="297141">
      <formula xml:space="preserve"> $A46 = "begin group"</formula>
    </cfRule>
    <cfRule type="expression" dxfId="8859" priority="297142">
      <formula xml:space="preserve"> AND(#REF!="gg",$A46 = "end group")</formula>
    </cfRule>
  </conditionalFormatting>
  <conditionalFormatting sqref="C48:C51">
    <cfRule type="expression" dxfId="8858" priority="68">
      <formula>AND($H48="section",$A48="begin group")</formula>
    </cfRule>
    <cfRule type="expression" dxfId="8857" priority="69">
      <formula>AND($H48 = "section",$A48 = "end group")</formula>
    </cfRule>
    <cfRule type="expression" dxfId="8856" priority="70">
      <formula xml:space="preserve"> $A48 = "begin group"</formula>
    </cfRule>
    <cfRule type="expression" dxfId="8855" priority="71">
      <formula xml:space="preserve"> AND($H48="gg",$A48 = "end group")</formula>
    </cfRule>
  </conditionalFormatting>
  <conditionalFormatting sqref="C40">
    <cfRule type="expression" dxfId="8854" priority="58">
      <formula>$A40="calculate"</formula>
    </cfRule>
  </conditionalFormatting>
  <conditionalFormatting sqref="C39 C35:C37">
    <cfRule type="expression" dxfId="8853" priority="57">
      <formula>$A34="calculate"</formula>
    </cfRule>
  </conditionalFormatting>
  <conditionalFormatting sqref="C34">
    <cfRule type="expression" dxfId="8852" priority="56">
      <formula>$A32="calculate"</formula>
    </cfRule>
  </conditionalFormatting>
  <conditionalFormatting sqref="C38">
    <cfRule type="expression" dxfId="8851" priority="55">
      <formula>$A37="calculate"</formula>
    </cfRule>
  </conditionalFormatting>
  <conditionalFormatting sqref="C32:C33">
    <cfRule type="expression" dxfId="8850" priority="54">
      <formula>$A39="calculate"</formula>
    </cfRule>
  </conditionalFormatting>
  <conditionalFormatting sqref="C40">
    <cfRule type="expression" dxfId="8849" priority="50">
      <formula>AND($H40="section",$A40="begin group")</formula>
    </cfRule>
    <cfRule type="expression" dxfId="8848" priority="51">
      <formula>AND($H40 = "section",$A40 = "end group")</formula>
    </cfRule>
    <cfRule type="expression" dxfId="8847" priority="52">
      <formula xml:space="preserve"> $A40 = "begin group"</formula>
    </cfRule>
    <cfRule type="expression" dxfId="8846" priority="53">
      <formula xml:space="preserve"> AND($H40="gg",$A40 = "end group")</formula>
    </cfRule>
  </conditionalFormatting>
  <conditionalFormatting sqref="C34">
    <cfRule type="expression" dxfId="8845" priority="46">
      <formula>AND($H32="section",$A32="begin group")</formula>
    </cfRule>
    <cfRule type="expression" dxfId="8844" priority="47">
      <formula>AND($H32 = "section",$A32 = "end group")</formula>
    </cfRule>
    <cfRule type="expression" dxfId="8843" priority="48">
      <formula xml:space="preserve"> $A32 = "begin group"</formula>
    </cfRule>
    <cfRule type="expression" dxfId="8842" priority="49">
      <formula xml:space="preserve"> AND($H32="gg",$A32 = "end group")</formula>
    </cfRule>
  </conditionalFormatting>
  <conditionalFormatting sqref="C35:C39">
    <cfRule type="expression" dxfId="8841" priority="42">
      <formula>AND($H34="section",$A34="begin group")</formula>
    </cfRule>
    <cfRule type="expression" dxfId="8840" priority="43">
      <formula>AND($H34 = "section",$A34 = "end group")</formula>
    </cfRule>
    <cfRule type="expression" dxfId="8839" priority="44">
      <formula xml:space="preserve"> $A34 = "begin group"</formula>
    </cfRule>
    <cfRule type="expression" dxfId="8838" priority="45">
      <formula xml:space="preserve"> AND($H34="gg",$A34 = "end group")</formula>
    </cfRule>
  </conditionalFormatting>
  <conditionalFormatting sqref="C40">
    <cfRule type="expression" dxfId="8837" priority="39">
      <formula>AND($S$1="disabled",$S40="yes")</formula>
    </cfRule>
    <cfRule type="expression" dxfId="8836" priority="40">
      <formula>$A40 = "begin repeat"</formula>
    </cfRule>
    <cfRule type="expression" dxfId="8835" priority="41">
      <formula xml:space="preserve"> #REF! = "end repeat"</formula>
    </cfRule>
  </conditionalFormatting>
  <conditionalFormatting sqref="C32:C33">
    <cfRule type="expression" dxfId="8834" priority="35">
      <formula>AND($H39="section",$A39="begin group")</formula>
    </cfRule>
    <cfRule type="expression" dxfId="8833" priority="36">
      <formula>AND($H39 = "section",$A39 = "end group")</formula>
    </cfRule>
    <cfRule type="expression" dxfId="8832" priority="37">
      <formula xml:space="preserve"> $A39 = "begin group"</formula>
    </cfRule>
    <cfRule type="expression" dxfId="8831" priority="38">
      <formula xml:space="preserve"> AND($H39="gg",$A39 = "end group")</formula>
    </cfRule>
  </conditionalFormatting>
  <conditionalFormatting sqref="C35:C39">
    <cfRule type="expression" dxfId="8830" priority="32">
      <formula>AND($S$1="disabled",$S34="yes")</formula>
    </cfRule>
    <cfRule type="expression" dxfId="8829" priority="33">
      <formula>$A34 = "begin repeat"</formula>
    </cfRule>
    <cfRule type="expression" dxfId="8828" priority="34">
      <formula xml:space="preserve"> #REF! = "end repeat"</formula>
    </cfRule>
  </conditionalFormatting>
  <conditionalFormatting sqref="C32:C33">
    <cfRule type="expression" dxfId="8827" priority="29">
      <formula>AND($S$1="disabled",$S39="yes")</formula>
    </cfRule>
    <cfRule type="expression" dxfId="8826" priority="30">
      <formula>$A39 = "begin repeat"</formula>
    </cfRule>
    <cfRule type="expression" dxfId="8825" priority="31">
      <formula xml:space="preserve"> #REF! = "end repeat"</formula>
    </cfRule>
  </conditionalFormatting>
  <conditionalFormatting sqref="C34">
    <cfRule type="expression" dxfId="8824" priority="26">
      <formula>AND($S$1="disabled",$S32="yes")</formula>
    </cfRule>
    <cfRule type="expression" dxfId="8823" priority="27">
      <formula>$A32 = "begin repeat"</formula>
    </cfRule>
    <cfRule type="expression" dxfId="8822" priority="28">
      <formula xml:space="preserve"> #REF! = "end repeat"</formula>
    </cfRule>
  </conditionalFormatting>
  <conditionalFormatting sqref="C44:C45">
    <cfRule type="expression" dxfId="8821" priority="22">
      <formula>$A44="calculate"</formula>
    </cfRule>
  </conditionalFormatting>
  <conditionalFormatting sqref="C44:C45">
    <cfRule type="expression" dxfId="8820" priority="18">
      <formula>AND($H44="section",$A44="begin group")</formula>
    </cfRule>
    <cfRule type="expression" dxfId="8819" priority="19">
      <formula>AND($H44 = "section",$A44 = "end group")</formula>
    </cfRule>
    <cfRule type="expression" dxfId="8818" priority="20">
      <formula xml:space="preserve"> $A44 = "begin group"</formula>
    </cfRule>
    <cfRule type="expression" dxfId="8817" priority="21">
      <formula xml:space="preserve"> AND($H44="gg",$A44 = "end group")</formula>
    </cfRule>
  </conditionalFormatting>
  <conditionalFormatting sqref="C57">
    <cfRule type="expression" dxfId="8816" priority="904554">
      <formula>#REF!="calculate"</formula>
    </cfRule>
  </conditionalFormatting>
  <conditionalFormatting sqref="C46">
    <cfRule type="expression" dxfId="8815" priority="904556">
      <formula>#REF!="calculate"</formula>
    </cfRule>
  </conditionalFormatting>
  <conditionalFormatting sqref="C57">
    <cfRule type="expression" dxfId="8814" priority="904557">
      <formula>AND(#REF!="section",#REF!="begin group")</formula>
    </cfRule>
    <cfRule type="expression" dxfId="8813" priority="904558">
      <formula>AND(#REF! = "section",#REF! = "end group")</formula>
    </cfRule>
    <cfRule type="expression" dxfId="8812" priority="904559">
      <formula xml:space="preserve"> #REF! = "begin group"</formula>
    </cfRule>
    <cfRule type="expression" dxfId="8811" priority="904560">
      <formula xml:space="preserve"> AND(#REF!="gg",#REF! = "end group")</formula>
    </cfRule>
  </conditionalFormatting>
  <conditionalFormatting sqref="C46">
    <cfRule type="expression" dxfId="8810" priority="904565">
      <formula>AND(#REF!="section",#REF!="begin group")</formula>
    </cfRule>
    <cfRule type="expression" dxfId="8809" priority="904566">
      <formula>AND(#REF! = "section",#REF! = "end group")</formula>
    </cfRule>
    <cfRule type="expression" dxfId="8808" priority="904567">
      <formula xml:space="preserve"> #REF! = "begin group"</formula>
    </cfRule>
    <cfRule type="expression" dxfId="8807" priority="904568">
      <formula xml:space="preserve"> AND(#REF!="gg",#REF! = "end group")</formula>
    </cfRule>
  </conditionalFormatting>
  <conditionalFormatting sqref="C47">
    <cfRule type="expression" dxfId="8806" priority="904569">
      <formula>AND(#REF!="disabled",#REF!="yes")</formula>
    </cfRule>
    <cfRule type="expression" dxfId="8805" priority="904570">
      <formula>$A46 = "begin repeat"</formula>
    </cfRule>
    <cfRule type="expression" dxfId="8804" priority="904571">
      <formula xml:space="preserve"> #REF! = "end repeat"</formula>
    </cfRule>
  </conditionalFormatting>
  <conditionalFormatting sqref="C46">
    <cfRule type="expression" dxfId="8803" priority="904572">
      <formula>AND(#REF!="disabled",#REF!="yes")</formula>
    </cfRule>
    <cfRule type="expression" dxfId="8802" priority="904573">
      <formula>#REF! = "begin repeat"</formula>
    </cfRule>
    <cfRule type="expression" dxfId="8801" priority="904574">
      <formula xml:space="preserve"> $A61 = "end repeat"</formula>
    </cfRule>
  </conditionalFormatting>
  <conditionalFormatting sqref="C57">
    <cfRule type="expression" dxfId="8800" priority="904575">
      <formula>AND(#REF!="disabled",#REF!="yes")</formula>
    </cfRule>
    <cfRule type="expression" dxfId="8799" priority="904576">
      <formula>#REF! = "begin repeat"</formula>
    </cfRule>
    <cfRule type="expression" dxfId="8798" priority="904577">
      <formula xml:space="preserve"> $A69 = "end repeat"</formula>
    </cfRule>
  </conditionalFormatting>
  <conditionalFormatting sqref="D74:E74">
    <cfRule type="expression" dxfId="8797" priority="17">
      <formula>NOT($A74=$A73)</formula>
    </cfRule>
  </conditionalFormatting>
  <conditionalFormatting sqref="C62">
    <cfRule type="expression" dxfId="8796" priority="1568525">
      <formula>AND(#REF!="disabled",#REF!="yes")</formula>
    </cfRule>
    <cfRule type="expression" dxfId="8795" priority="1568526">
      <formula>$A62 = "begin repeat"</formula>
    </cfRule>
    <cfRule type="expression" dxfId="8794" priority="1568527">
      <formula xml:space="preserve"> $A93 = "end repeat"</formula>
    </cfRule>
  </conditionalFormatting>
  <conditionalFormatting sqref="C52:C55">
    <cfRule type="expression" dxfId="8793" priority="16">
      <formula>$A52="calculate"</formula>
    </cfRule>
  </conditionalFormatting>
  <conditionalFormatting sqref="C52:C55">
    <cfRule type="expression" dxfId="8792" priority="12">
      <formula>AND($H52="section",$A52="begin group")</formula>
    </cfRule>
    <cfRule type="expression" dxfId="8791" priority="13">
      <formula>AND($H52 = "section",$A52 = "end group")</formula>
    </cfRule>
    <cfRule type="expression" dxfId="8790" priority="14">
      <formula xml:space="preserve"> $A52 = "begin group"</formula>
    </cfRule>
    <cfRule type="expression" dxfId="8789" priority="15">
      <formula xml:space="preserve"> AND($H52="gg",$A52 = "end group")</formula>
    </cfRule>
  </conditionalFormatting>
  <conditionalFormatting sqref="C48:C56">
    <cfRule type="expression" dxfId="8788" priority="1573658">
      <formula>AND($S$1="disabled",$S48="yes")</formula>
    </cfRule>
    <cfRule type="expression" dxfId="8787" priority="1573659">
      <formula>$A48 = "begin repeat"</formula>
    </cfRule>
    <cfRule type="expression" dxfId="8786" priority="1573660">
      <formula xml:space="preserve"> $A61 = "end repeat"</formula>
    </cfRule>
  </conditionalFormatting>
  <conditionalFormatting sqref="C44:C45">
    <cfRule type="expression" dxfId="8785" priority="1573661">
      <formula>AND($S$1="disabled",$S44="yes")</formula>
    </cfRule>
    <cfRule type="expression" dxfId="8784" priority="1573662">
      <formula>$A44 = "begin repeat"</formula>
    </cfRule>
    <cfRule type="expression" dxfId="8783" priority="1573663">
      <formula xml:space="preserve"> $A71 = "end repeat"</formula>
    </cfRule>
  </conditionalFormatting>
  <conditionalFormatting sqref="C56">
    <cfRule type="expression" dxfId="8782" priority="8">
      <formula>$A56="calculate"</formula>
    </cfRule>
  </conditionalFormatting>
  <conditionalFormatting sqref="C56">
    <cfRule type="expression" dxfId="8781" priority="4">
      <formula>AND($H56="section",$A56="begin group")</formula>
    </cfRule>
    <cfRule type="expression" dxfId="8780" priority="5">
      <formula>AND($H56 = "section",$A56 = "end group")</formula>
    </cfRule>
    <cfRule type="expression" dxfId="8779" priority="6">
      <formula xml:space="preserve"> $A56 = "begin group"</formula>
    </cfRule>
    <cfRule type="expression" dxfId="8778" priority="7">
      <formula xml:space="preserve"> AND($H56="gg",$A56 = "end group")</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
  <sheetViews>
    <sheetView tabSelected="1" topLeftCell="B1" workbookViewId="0">
      <pane ySplit="2" topLeftCell="A3" activePane="bottomLeft" state="frozen"/>
      <selection pane="bottomLeft" activeCell="K8" sqref="K8"/>
    </sheetView>
  </sheetViews>
  <sheetFormatPr defaultColWidth="9.140625" defaultRowHeight="15" x14ac:dyDescent="0.25"/>
  <cols>
    <col min="1" max="1" width="51.85546875" style="8" customWidth="1"/>
    <col min="2" max="2" width="31.5703125" style="8" bestFit="1" customWidth="1"/>
    <col min="3" max="3" width="11" style="8" bestFit="1" customWidth="1"/>
    <col min="4" max="4" width="67.7109375" style="8" bestFit="1" customWidth="1"/>
    <col min="5" max="5" width="11.28515625" style="8" bestFit="1" customWidth="1"/>
    <col min="6" max="6" width="15.28515625" style="8" bestFit="1" customWidth="1"/>
    <col min="7" max="7" width="17.5703125" style="8" bestFit="1" customWidth="1"/>
    <col min="8" max="16384" width="9.140625" style="8"/>
  </cols>
  <sheetData>
    <row r="1" spans="1:9" s="5" customFormat="1" ht="15.75" x14ac:dyDescent="0.25">
      <c r="A1" s="1" t="s">
        <v>14</v>
      </c>
      <c r="B1" s="1" t="s">
        <v>15</v>
      </c>
      <c r="C1" s="2" t="s">
        <v>16</v>
      </c>
      <c r="D1" s="2" t="s">
        <v>17</v>
      </c>
      <c r="E1" s="1" t="s">
        <v>18</v>
      </c>
      <c r="F1" s="1" t="s">
        <v>19</v>
      </c>
      <c r="G1" s="3" t="s">
        <v>20</v>
      </c>
      <c r="H1" s="4" t="s">
        <v>21</v>
      </c>
      <c r="I1" s="4" t="s">
        <v>472</v>
      </c>
    </row>
    <row r="2" spans="1:9" s="5" customFormat="1" x14ac:dyDescent="0.25">
      <c r="A2" s="6" t="str">
        <f ca="1">CONCATENATE(I2," (G",H2," v", C2,")")</f>
        <v>AIO_Form_Demo (G3 v2604061814)</v>
      </c>
      <c r="B2" s="6" t="str">
        <f>CONCATENATE(I2,"_G",H2)</f>
        <v>AIO_Form_Demo_G3</v>
      </c>
      <c r="C2" s="6" t="str">
        <f ca="1">TEXT(YEAR(NOW())-2000, "00") &amp; TEXT(MONTH(NOW()), "00") &amp; TEXT(DAY(NOW()), "00") &amp; TEXT(HOUR(NOW()), "00") &amp; TEXT(MINUTE(NOW()), "00")</f>
        <v>2604061814</v>
      </c>
      <c r="D2" s="25" t="s">
        <v>473</v>
      </c>
      <c r="E2" s="38"/>
      <c r="F2" s="39" t="s">
        <v>42</v>
      </c>
      <c r="G2" s="6" t="s">
        <v>1328</v>
      </c>
      <c r="H2" s="7" t="s">
        <v>1769</v>
      </c>
      <c r="I2" s="5" t="s">
        <v>1765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 Tuan Anh</cp:lastModifiedBy>
  <dcterms:created xsi:type="dcterms:W3CDTF">2016-08-19T02:20:02Z</dcterms:created>
  <dcterms:modified xsi:type="dcterms:W3CDTF">2026-04-06T11:14:30Z</dcterms:modified>
</cp:coreProperties>
</file>